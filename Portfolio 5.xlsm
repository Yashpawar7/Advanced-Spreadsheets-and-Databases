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LL DOCUMENTS\ASTON NOTES\Referred\SUBMISSION\"/>
    </mc:Choice>
  </mc:AlternateContent>
  <xr:revisionPtr revIDLastSave="0" documentId="13_ncr:1_{7EA7CC7C-95B2-480C-8426-6396325F0420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Task 5.0" sheetId="1" r:id="rId1"/>
    <sheet name="Task 5.1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1" l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K32" i="1"/>
  <c r="K37" i="1"/>
  <c r="K46" i="1"/>
  <c r="K51" i="1"/>
  <c r="K73" i="1"/>
  <c r="K103" i="1"/>
  <c r="K104" i="1"/>
  <c r="K105" i="1"/>
  <c r="K128" i="1"/>
  <c r="K148" i="1"/>
  <c r="K149" i="1"/>
  <c r="K162" i="1"/>
  <c r="K168" i="1"/>
  <c r="K175" i="1"/>
  <c r="K201" i="1"/>
  <c r="K205" i="1"/>
  <c r="K207" i="1"/>
  <c r="K208" i="1"/>
  <c r="K209" i="1"/>
  <c r="K226" i="1"/>
  <c r="K237" i="1"/>
  <c r="K257" i="1"/>
  <c r="K285" i="1"/>
  <c r="K291" i="1"/>
  <c r="K305" i="1"/>
  <c r="K311" i="1"/>
  <c r="K355" i="1"/>
  <c r="K356" i="1"/>
  <c r="K387" i="1"/>
  <c r="K393" i="1"/>
  <c r="K394" i="1"/>
  <c r="K405" i="1"/>
  <c r="K441" i="1"/>
  <c r="K448" i="1"/>
  <c r="K459" i="1"/>
  <c r="K467" i="1"/>
  <c r="K482" i="1"/>
  <c r="K487" i="1"/>
  <c r="K529" i="1"/>
  <c r="K536" i="1"/>
  <c r="K542" i="1"/>
  <c r="K543" i="1"/>
  <c r="K545" i="1"/>
  <c r="K564" i="1"/>
  <c r="K572" i="1"/>
  <c r="K593" i="1"/>
  <c r="K627" i="1"/>
  <c r="K628" i="1"/>
  <c r="K631" i="1"/>
  <c r="K633" i="1"/>
  <c r="K638" i="1"/>
  <c r="K655" i="1"/>
  <c r="K669" i="1"/>
  <c r="K691" i="1"/>
  <c r="K713" i="1"/>
  <c r="K721" i="1"/>
  <c r="K723" i="1"/>
  <c r="K724" i="1"/>
  <c r="K730" i="1"/>
  <c r="K731" i="1"/>
  <c r="K732" i="1"/>
  <c r="K755" i="1"/>
  <c r="K782" i="1"/>
  <c r="K799" i="1"/>
  <c r="K803" i="1"/>
  <c r="K805" i="1"/>
  <c r="K819" i="1"/>
  <c r="K820" i="1"/>
  <c r="K821" i="1"/>
  <c r="K837" i="1"/>
  <c r="K871" i="1"/>
  <c r="K883" i="1"/>
  <c r="K884" i="1"/>
  <c r="K897" i="1"/>
  <c r="K901" i="1"/>
  <c r="K903" i="1"/>
  <c r="K907" i="1"/>
  <c r="K916" i="1"/>
  <c r="K943" i="1"/>
  <c r="K951" i="1"/>
  <c r="K955" i="1"/>
  <c r="K958" i="1"/>
  <c r="K974" i="1"/>
  <c r="K980" i="1"/>
  <c r="K981" i="1"/>
  <c r="K999" i="1"/>
  <c r="K1000" i="1"/>
  <c r="J13" i="1"/>
  <c r="K13" i="1" s="1"/>
  <c r="J16" i="1"/>
  <c r="K16" i="1" s="1"/>
  <c r="J17" i="1"/>
  <c r="K17" i="1" s="1"/>
  <c r="J18" i="1"/>
  <c r="K18" i="1" s="1"/>
  <c r="J48" i="1"/>
  <c r="K48" i="1" s="1"/>
  <c r="J53" i="1"/>
  <c r="K53" i="1" s="1"/>
  <c r="J73" i="1"/>
  <c r="J95" i="1"/>
  <c r="K95" i="1" s="1"/>
  <c r="J97" i="1"/>
  <c r="K97" i="1" s="1"/>
  <c r="J100" i="1"/>
  <c r="K100" i="1" s="1"/>
  <c r="J101" i="1"/>
  <c r="K101" i="1" s="1"/>
  <c r="J106" i="1"/>
  <c r="K106" i="1" s="1"/>
  <c r="J115" i="1"/>
  <c r="K115" i="1" s="1"/>
  <c r="J121" i="1"/>
  <c r="K121" i="1" s="1"/>
  <c r="J127" i="1"/>
  <c r="K127" i="1" s="1"/>
  <c r="J136" i="1"/>
  <c r="K136" i="1" s="1"/>
  <c r="J137" i="1"/>
  <c r="K137" i="1" s="1"/>
  <c r="J161" i="1"/>
  <c r="K161" i="1" s="1"/>
  <c r="J179" i="1"/>
  <c r="K179" i="1" s="1"/>
  <c r="J186" i="1"/>
  <c r="K186" i="1" s="1"/>
  <c r="J187" i="1"/>
  <c r="K187" i="1" s="1"/>
  <c r="J188" i="1"/>
  <c r="K188" i="1" s="1"/>
  <c r="J189" i="1"/>
  <c r="K189" i="1" s="1"/>
  <c r="J190" i="1"/>
  <c r="K190" i="1" s="1"/>
  <c r="J191" i="1"/>
  <c r="K191" i="1" s="1"/>
  <c r="J201" i="1"/>
  <c r="J239" i="1"/>
  <c r="K239" i="1" s="1"/>
  <c r="J247" i="1"/>
  <c r="K247" i="1" s="1"/>
  <c r="J264" i="1"/>
  <c r="K264" i="1" s="1"/>
  <c r="J269" i="1"/>
  <c r="K269" i="1" s="1"/>
  <c r="J270" i="1"/>
  <c r="K270" i="1" s="1"/>
  <c r="J272" i="1"/>
  <c r="K272" i="1" s="1"/>
  <c r="J273" i="1"/>
  <c r="K273" i="1" s="1"/>
  <c r="J275" i="1"/>
  <c r="K275" i="1" s="1"/>
  <c r="J285" i="1"/>
  <c r="J286" i="1"/>
  <c r="K286" i="1" s="1"/>
  <c r="J289" i="1"/>
  <c r="K289" i="1" s="1"/>
  <c r="J307" i="1"/>
  <c r="K307" i="1" s="1"/>
  <c r="J308" i="1"/>
  <c r="K308" i="1" s="1"/>
  <c r="J311" i="1"/>
  <c r="J312" i="1"/>
  <c r="K312" i="1" s="1"/>
  <c r="J317" i="1"/>
  <c r="K317" i="1" s="1"/>
  <c r="J322" i="1"/>
  <c r="K322" i="1" s="1"/>
  <c r="J334" i="1"/>
  <c r="K334" i="1" s="1"/>
  <c r="J347" i="1"/>
  <c r="K347" i="1" s="1"/>
  <c r="J350" i="1"/>
  <c r="K350" i="1" s="1"/>
  <c r="J358" i="1"/>
  <c r="K358" i="1" s="1"/>
  <c r="J359" i="1"/>
  <c r="K359" i="1" s="1"/>
  <c r="J368" i="1"/>
  <c r="K368" i="1" s="1"/>
  <c r="J389" i="1"/>
  <c r="K389" i="1" s="1"/>
  <c r="J390" i="1"/>
  <c r="K390" i="1" s="1"/>
  <c r="J391" i="1"/>
  <c r="K391" i="1" s="1"/>
  <c r="J397" i="1"/>
  <c r="K397" i="1" s="1"/>
  <c r="J398" i="1"/>
  <c r="K398" i="1" s="1"/>
  <c r="J400" i="1"/>
  <c r="K400" i="1" s="1"/>
  <c r="J403" i="1"/>
  <c r="K403" i="1" s="1"/>
  <c r="J413" i="1"/>
  <c r="K413" i="1" s="1"/>
  <c r="J414" i="1"/>
  <c r="K414" i="1" s="1"/>
  <c r="J416" i="1"/>
  <c r="K416" i="1" s="1"/>
  <c r="J425" i="1"/>
  <c r="K425" i="1" s="1"/>
  <c r="J431" i="1"/>
  <c r="K431" i="1" s="1"/>
  <c r="J439" i="1"/>
  <c r="K439" i="1" s="1"/>
  <c r="J441" i="1"/>
  <c r="J446" i="1"/>
  <c r="K446" i="1" s="1"/>
  <c r="J448" i="1"/>
  <c r="J464" i="1"/>
  <c r="K464" i="1" s="1"/>
  <c r="J465" i="1"/>
  <c r="K465" i="1" s="1"/>
  <c r="J466" i="1"/>
  <c r="K466" i="1" s="1"/>
  <c r="J467" i="1"/>
  <c r="J468" i="1"/>
  <c r="K468" i="1" s="1"/>
  <c r="J469" i="1"/>
  <c r="K469" i="1" s="1"/>
  <c r="J471" i="1"/>
  <c r="K471" i="1" s="1"/>
  <c r="J473" i="1"/>
  <c r="K473" i="1" s="1"/>
  <c r="J494" i="1"/>
  <c r="K494" i="1" s="1"/>
  <c r="J498" i="1"/>
  <c r="K498" i="1" s="1"/>
  <c r="J502" i="1"/>
  <c r="K502" i="1" s="1"/>
  <c r="J513" i="1"/>
  <c r="K513" i="1" s="1"/>
  <c r="J519" i="1"/>
  <c r="K519" i="1" s="1"/>
  <c r="J528" i="1"/>
  <c r="K528" i="1" s="1"/>
  <c r="J533" i="1"/>
  <c r="K533" i="1" s="1"/>
  <c r="J537" i="1"/>
  <c r="K537" i="1" s="1"/>
  <c r="J538" i="1"/>
  <c r="K538" i="1" s="1"/>
  <c r="J539" i="1"/>
  <c r="K539" i="1" s="1"/>
  <c r="J542" i="1"/>
  <c r="J543" i="1"/>
  <c r="J545" i="1"/>
  <c r="J566" i="1"/>
  <c r="K566" i="1" s="1"/>
  <c r="J567" i="1"/>
  <c r="K567" i="1" s="1"/>
  <c r="J583" i="1"/>
  <c r="K583" i="1" s="1"/>
  <c r="J591" i="1"/>
  <c r="K591" i="1" s="1"/>
  <c r="J601" i="1"/>
  <c r="K601" i="1" s="1"/>
  <c r="J607" i="1"/>
  <c r="K607" i="1" s="1"/>
  <c r="J608" i="1"/>
  <c r="K608" i="1" s="1"/>
  <c r="J611" i="1"/>
  <c r="K611" i="1" s="1"/>
  <c r="J612" i="1"/>
  <c r="K612" i="1" s="1"/>
  <c r="J617" i="1"/>
  <c r="K617" i="1" s="1"/>
  <c r="J641" i="1"/>
  <c r="K641" i="1" s="1"/>
  <c r="J642" i="1"/>
  <c r="K642" i="1" s="1"/>
  <c r="J643" i="1"/>
  <c r="K643" i="1" s="1"/>
  <c r="J646" i="1"/>
  <c r="K646" i="1" s="1"/>
  <c r="J656" i="1"/>
  <c r="K656" i="1" s="1"/>
  <c r="J660" i="1"/>
  <c r="K660" i="1" s="1"/>
  <c r="J670" i="1"/>
  <c r="K670" i="1" s="1"/>
  <c r="J681" i="1"/>
  <c r="K681" i="1" s="1"/>
  <c r="J687" i="1"/>
  <c r="K687" i="1" s="1"/>
  <c r="J693" i="1"/>
  <c r="K693" i="1" s="1"/>
  <c r="J705" i="1"/>
  <c r="K705" i="1" s="1"/>
  <c r="J706" i="1"/>
  <c r="K706" i="1" s="1"/>
  <c r="J709" i="1"/>
  <c r="K709" i="1" s="1"/>
  <c r="J711" i="1"/>
  <c r="K711" i="1" s="1"/>
  <c r="J724" i="1"/>
  <c r="J727" i="1"/>
  <c r="K727" i="1" s="1"/>
  <c r="J734" i="1"/>
  <c r="K734" i="1" s="1"/>
  <c r="J749" i="1"/>
  <c r="K749" i="1" s="1"/>
  <c r="J750" i="1"/>
  <c r="K750" i="1" s="1"/>
  <c r="J754" i="1"/>
  <c r="K754" i="1" s="1"/>
  <c r="J768" i="1"/>
  <c r="K768" i="1" s="1"/>
  <c r="J769" i="1"/>
  <c r="K769" i="1" s="1"/>
  <c r="J770" i="1"/>
  <c r="K770" i="1" s="1"/>
  <c r="J774" i="1"/>
  <c r="K774" i="1" s="1"/>
  <c r="J775" i="1"/>
  <c r="K775" i="1" s="1"/>
  <c r="J781" i="1"/>
  <c r="K781" i="1" s="1"/>
  <c r="J788" i="1"/>
  <c r="K788" i="1" s="1"/>
  <c r="J801" i="1"/>
  <c r="K801" i="1" s="1"/>
  <c r="J802" i="1"/>
  <c r="K802" i="1" s="1"/>
  <c r="J806" i="1"/>
  <c r="K806" i="1" s="1"/>
  <c r="J809" i="1"/>
  <c r="K809" i="1" s="1"/>
  <c r="J810" i="1"/>
  <c r="K810" i="1" s="1"/>
  <c r="J816" i="1"/>
  <c r="K816" i="1" s="1"/>
  <c r="J829" i="1"/>
  <c r="K829" i="1" s="1"/>
  <c r="J830" i="1"/>
  <c r="K830" i="1" s="1"/>
  <c r="J831" i="1"/>
  <c r="K831" i="1" s="1"/>
  <c r="J832" i="1"/>
  <c r="K832" i="1" s="1"/>
  <c r="J833" i="1"/>
  <c r="K833" i="1" s="1"/>
  <c r="J835" i="1"/>
  <c r="K835" i="1" s="1"/>
  <c r="J836" i="1"/>
  <c r="K836" i="1" s="1"/>
  <c r="J852" i="1"/>
  <c r="K852" i="1" s="1"/>
  <c r="J853" i="1"/>
  <c r="K853" i="1" s="1"/>
  <c r="J856" i="1"/>
  <c r="K856" i="1" s="1"/>
  <c r="J861" i="1"/>
  <c r="K861" i="1" s="1"/>
  <c r="J862" i="1"/>
  <c r="K862" i="1" s="1"/>
  <c r="J867" i="1"/>
  <c r="K867" i="1" s="1"/>
  <c r="J885" i="1"/>
  <c r="K885" i="1" s="1"/>
  <c r="J886" i="1"/>
  <c r="K886" i="1" s="1"/>
  <c r="J895" i="1"/>
  <c r="K895" i="1" s="1"/>
  <c r="J900" i="1"/>
  <c r="K900" i="1" s="1"/>
  <c r="J905" i="1"/>
  <c r="K905" i="1" s="1"/>
  <c r="J912" i="1"/>
  <c r="K912" i="1" s="1"/>
  <c r="J913" i="1"/>
  <c r="K913" i="1" s="1"/>
  <c r="J914" i="1"/>
  <c r="K914" i="1" s="1"/>
  <c r="J915" i="1"/>
  <c r="K915" i="1" s="1"/>
  <c r="J926" i="1"/>
  <c r="K926" i="1" s="1"/>
  <c r="J927" i="1"/>
  <c r="K927" i="1" s="1"/>
  <c r="J948" i="1"/>
  <c r="K948" i="1" s="1"/>
  <c r="J949" i="1"/>
  <c r="K949" i="1" s="1"/>
  <c r="J950" i="1"/>
  <c r="K950" i="1" s="1"/>
  <c r="J960" i="1"/>
  <c r="K960" i="1" s="1"/>
  <c r="J969" i="1"/>
  <c r="K969" i="1" s="1"/>
  <c r="J973" i="1"/>
  <c r="K973" i="1" s="1"/>
  <c r="J974" i="1"/>
  <c r="J975" i="1"/>
  <c r="K975" i="1" s="1"/>
  <c r="J978" i="1"/>
  <c r="K978" i="1" s="1"/>
  <c r="J990" i="1"/>
  <c r="K990" i="1" s="1"/>
  <c r="J997" i="1"/>
  <c r="K997" i="1" s="1"/>
  <c r="J998" i="1"/>
  <c r="K998" i="1" s="1"/>
  <c r="J1005" i="1"/>
  <c r="K1005" i="1" s="1"/>
  <c r="J1006" i="1"/>
  <c r="K1006" i="1" s="1"/>
  <c r="J1007" i="1"/>
  <c r="K1007" i="1" s="1"/>
  <c r="J1008" i="1"/>
  <c r="K1008" i="1" s="1"/>
  <c r="J1009" i="1"/>
  <c r="K1009" i="1" s="1"/>
  <c r="J1010" i="1"/>
  <c r="K1010" i="1" s="1"/>
  <c r="J1017" i="1"/>
  <c r="K1017" i="1" s="1"/>
  <c r="I5" i="1"/>
  <c r="J5" i="1" s="1"/>
  <c r="K5" i="1" s="1"/>
  <c r="I6" i="1"/>
  <c r="J6" i="1" s="1"/>
  <c r="K6" i="1" s="1"/>
  <c r="I9" i="1"/>
  <c r="J9" i="1" s="1"/>
  <c r="K9" i="1" s="1"/>
  <c r="I13" i="1"/>
  <c r="I14" i="1"/>
  <c r="J14" i="1" s="1"/>
  <c r="K14" i="1" s="1"/>
  <c r="I19" i="1"/>
  <c r="J19" i="1" s="1"/>
  <c r="K19" i="1" s="1"/>
  <c r="I20" i="1"/>
  <c r="J20" i="1" s="1"/>
  <c r="K20" i="1" s="1"/>
  <c r="I21" i="1"/>
  <c r="J21" i="1" s="1"/>
  <c r="K21" i="1" s="1"/>
  <c r="I25" i="1"/>
  <c r="J25" i="1" s="1"/>
  <c r="K25" i="1" s="1"/>
  <c r="I29" i="1"/>
  <c r="J29" i="1" s="1"/>
  <c r="K29" i="1" s="1"/>
  <c r="I30" i="1"/>
  <c r="J30" i="1" s="1"/>
  <c r="K30" i="1" s="1"/>
  <c r="I33" i="1"/>
  <c r="J33" i="1" s="1"/>
  <c r="K33" i="1" s="1"/>
  <c r="I34" i="1"/>
  <c r="J34" i="1" s="1"/>
  <c r="K34" i="1" s="1"/>
  <c r="I38" i="1"/>
  <c r="J38" i="1" s="1"/>
  <c r="K38" i="1" s="1"/>
  <c r="I41" i="1"/>
  <c r="J41" i="1" s="1"/>
  <c r="K41" i="1" s="1"/>
  <c r="I45" i="1"/>
  <c r="J45" i="1" s="1"/>
  <c r="K45" i="1" s="1"/>
  <c r="I46" i="1"/>
  <c r="J46" i="1" s="1"/>
  <c r="I47" i="1"/>
  <c r="J47" i="1" s="1"/>
  <c r="K47" i="1" s="1"/>
  <c r="I48" i="1"/>
  <c r="I57" i="1"/>
  <c r="J57" i="1" s="1"/>
  <c r="K57" i="1" s="1"/>
  <c r="I61" i="1"/>
  <c r="J61" i="1" s="1"/>
  <c r="K61" i="1" s="1"/>
  <c r="I62" i="1"/>
  <c r="J62" i="1" s="1"/>
  <c r="K62" i="1" s="1"/>
  <c r="I63" i="1"/>
  <c r="J63" i="1" s="1"/>
  <c r="K63" i="1" s="1"/>
  <c r="I64" i="1"/>
  <c r="J64" i="1" s="1"/>
  <c r="K64" i="1" s="1"/>
  <c r="I65" i="1"/>
  <c r="J65" i="1" s="1"/>
  <c r="K65" i="1" s="1"/>
  <c r="I66" i="1"/>
  <c r="J66" i="1" s="1"/>
  <c r="K66" i="1" s="1"/>
  <c r="I67" i="1"/>
  <c r="J67" i="1" s="1"/>
  <c r="K67" i="1" s="1"/>
  <c r="I73" i="1"/>
  <c r="I78" i="1"/>
  <c r="J78" i="1" s="1"/>
  <c r="K78" i="1" s="1"/>
  <c r="I83" i="1"/>
  <c r="J83" i="1" s="1"/>
  <c r="K83" i="1" s="1"/>
  <c r="I84" i="1"/>
  <c r="J84" i="1" s="1"/>
  <c r="K84" i="1" s="1"/>
  <c r="I85" i="1"/>
  <c r="J85" i="1" s="1"/>
  <c r="K85" i="1" s="1"/>
  <c r="I86" i="1"/>
  <c r="J86" i="1" s="1"/>
  <c r="K86" i="1" s="1"/>
  <c r="I93" i="1"/>
  <c r="J93" i="1" s="1"/>
  <c r="K93" i="1" s="1"/>
  <c r="I94" i="1"/>
  <c r="J94" i="1" s="1"/>
  <c r="K94" i="1" s="1"/>
  <c r="I98" i="1"/>
  <c r="J98" i="1" s="1"/>
  <c r="K98" i="1" s="1"/>
  <c r="I100" i="1"/>
  <c r="I101" i="1"/>
  <c r="I102" i="1"/>
  <c r="J102" i="1" s="1"/>
  <c r="K102" i="1" s="1"/>
  <c r="I105" i="1"/>
  <c r="J105" i="1" s="1"/>
  <c r="I109" i="1"/>
  <c r="J109" i="1" s="1"/>
  <c r="K109" i="1" s="1"/>
  <c r="I112" i="1"/>
  <c r="J112" i="1" s="1"/>
  <c r="K112" i="1" s="1"/>
  <c r="I113" i="1"/>
  <c r="J113" i="1" s="1"/>
  <c r="K113" i="1" s="1"/>
  <c r="I117" i="1"/>
  <c r="J117" i="1" s="1"/>
  <c r="K117" i="1" s="1"/>
  <c r="I118" i="1"/>
  <c r="J118" i="1" s="1"/>
  <c r="K118" i="1" s="1"/>
  <c r="I121" i="1"/>
  <c r="I125" i="1"/>
  <c r="J125" i="1" s="1"/>
  <c r="K125" i="1" s="1"/>
  <c r="I126" i="1"/>
  <c r="J126" i="1" s="1"/>
  <c r="K126" i="1" s="1"/>
  <c r="I127" i="1"/>
  <c r="I128" i="1"/>
  <c r="J128" i="1" s="1"/>
  <c r="I131" i="1"/>
  <c r="J131" i="1" s="1"/>
  <c r="K131" i="1" s="1"/>
  <c r="I137" i="1"/>
  <c r="I141" i="1"/>
  <c r="J141" i="1" s="1"/>
  <c r="K141" i="1" s="1"/>
  <c r="I142" i="1"/>
  <c r="J142" i="1" s="1"/>
  <c r="K142" i="1" s="1"/>
  <c r="I143" i="1"/>
  <c r="J143" i="1" s="1"/>
  <c r="K143" i="1" s="1"/>
  <c r="I144" i="1"/>
  <c r="J144" i="1" s="1"/>
  <c r="K144" i="1" s="1"/>
  <c r="I145" i="1"/>
  <c r="J145" i="1" s="1"/>
  <c r="K145" i="1" s="1"/>
  <c r="I146" i="1"/>
  <c r="J146" i="1" s="1"/>
  <c r="K146" i="1" s="1"/>
  <c r="I147" i="1"/>
  <c r="J147" i="1" s="1"/>
  <c r="K147" i="1" s="1"/>
  <c r="I150" i="1"/>
  <c r="J150" i="1" s="1"/>
  <c r="K150" i="1" s="1"/>
  <c r="I157" i="1"/>
  <c r="J157" i="1" s="1"/>
  <c r="K157" i="1" s="1"/>
  <c r="I158" i="1"/>
  <c r="J158" i="1" s="1"/>
  <c r="K158" i="1" s="1"/>
  <c r="I159" i="1"/>
  <c r="J159" i="1" s="1"/>
  <c r="K159" i="1" s="1"/>
  <c r="I163" i="1"/>
  <c r="J163" i="1" s="1"/>
  <c r="K163" i="1" s="1"/>
  <c r="I164" i="1"/>
  <c r="J164" i="1" s="1"/>
  <c r="K164" i="1" s="1"/>
  <c r="I165" i="1"/>
  <c r="J165" i="1" s="1"/>
  <c r="K165" i="1" s="1"/>
  <c r="I166" i="1"/>
  <c r="J166" i="1" s="1"/>
  <c r="K166" i="1" s="1"/>
  <c r="I169" i="1"/>
  <c r="J169" i="1" s="1"/>
  <c r="K169" i="1" s="1"/>
  <c r="I170" i="1"/>
  <c r="J170" i="1" s="1"/>
  <c r="K170" i="1" s="1"/>
  <c r="I173" i="1"/>
  <c r="J173" i="1" s="1"/>
  <c r="K173" i="1" s="1"/>
  <c r="I176" i="1"/>
  <c r="J176" i="1" s="1"/>
  <c r="K176" i="1" s="1"/>
  <c r="I177" i="1"/>
  <c r="J177" i="1" s="1"/>
  <c r="K177" i="1" s="1"/>
  <c r="I179" i="1"/>
  <c r="I180" i="1"/>
  <c r="J180" i="1" s="1"/>
  <c r="K180" i="1" s="1"/>
  <c r="I181" i="1"/>
  <c r="J181" i="1" s="1"/>
  <c r="K181" i="1" s="1"/>
  <c r="I185" i="1"/>
  <c r="J185" i="1" s="1"/>
  <c r="K185" i="1" s="1"/>
  <c r="I190" i="1"/>
  <c r="I191" i="1"/>
  <c r="I192" i="1"/>
  <c r="J192" i="1" s="1"/>
  <c r="K192" i="1" s="1"/>
  <c r="I195" i="1"/>
  <c r="J195" i="1" s="1"/>
  <c r="K195" i="1" s="1"/>
  <c r="I196" i="1"/>
  <c r="J196" i="1" s="1"/>
  <c r="K196" i="1" s="1"/>
  <c r="I197" i="1"/>
  <c r="J197" i="1" s="1"/>
  <c r="K197" i="1" s="1"/>
  <c r="I198" i="1"/>
  <c r="J198" i="1" s="1"/>
  <c r="K198" i="1" s="1"/>
  <c r="I200" i="1"/>
  <c r="J200" i="1" s="1"/>
  <c r="K200" i="1" s="1"/>
  <c r="I201" i="1"/>
  <c r="I205" i="1"/>
  <c r="J205" i="1" s="1"/>
  <c r="I206" i="1"/>
  <c r="J206" i="1" s="1"/>
  <c r="K206" i="1" s="1"/>
  <c r="I211" i="1"/>
  <c r="J211" i="1" s="1"/>
  <c r="K211" i="1" s="1"/>
  <c r="I217" i="1"/>
  <c r="J217" i="1" s="1"/>
  <c r="K217" i="1" s="1"/>
  <c r="I221" i="1"/>
  <c r="J221" i="1" s="1"/>
  <c r="K221" i="1" s="1"/>
  <c r="I222" i="1"/>
  <c r="J222" i="1" s="1"/>
  <c r="K222" i="1" s="1"/>
  <c r="I223" i="1"/>
  <c r="J223" i="1" s="1"/>
  <c r="K223" i="1" s="1"/>
  <c r="I224" i="1"/>
  <c r="J224" i="1" s="1"/>
  <c r="K224" i="1" s="1"/>
  <c r="I225" i="1"/>
  <c r="J225" i="1" s="1"/>
  <c r="K225" i="1" s="1"/>
  <c r="I237" i="1"/>
  <c r="J237" i="1" s="1"/>
  <c r="I238" i="1"/>
  <c r="J238" i="1" s="1"/>
  <c r="K238" i="1" s="1"/>
  <c r="I239" i="1"/>
  <c r="I240" i="1"/>
  <c r="J240" i="1" s="1"/>
  <c r="K240" i="1" s="1"/>
  <c r="I241" i="1"/>
  <c r="J241" i="1" s="1"/>
  <c r="K241" i="1" s="1"/>
  <c r="I242" i="1"/>
  <c r="J242" i="1" s="1"/>
  <c r="K242" i="1" s="1"/>
  <c r="I243" i="1"/>
  <c r="J243" i="1" s="1"/>
  <c r="K243" i="1" s="1"/>
  <c r="I244" i="1"/>
  <c r="J244" i="1" s="1"/>
  <c r="K244" i="1" s="1"/>
  <c r="I245" i="1"/>
  <c r="J245" i="1" s="1"/>
  <c r="K245" i="1" s="1"/>
  <c r="I249" i="1"/>
  <c r="J249" i="1" s="1"/>
  <c r="K249" i="1" s="1"/>
  <c r="I255" i="1"/>
  <c r="J255" i="1" s="1"/>
  <c r="K255" i="1" s="1"/>
  <c r="I259" i="1"/>
  <c r="J259" i="1" s="1"/>
  <c r="K259" i="1" s="1"/>
  <c r="I265" i="1"/>
  <c r="J265" i="1" s="1"/>
  <c r="K265" i="1" s="1"/>
  <c r="I269" i="1"/>
  <c r="I270" i="1"/>
  <c r="I271" i="1"/>
  <c r="J271" i="1" s="1"/>
  <c r="K271" i="1" s="1"/>
  <c r="I274" i="1"/>
  <c r="J274" i="1" s="1"/>
  <c r="K274" i="1" s="1"/>
  <c r="I275" i="1"/>
  <c r="I276" i="1"/>
  <c r="J276" i="1" s="1"/>
  <c r="K276" i="1" s="1"/>
  <c r="I277" i="1"/>
  <c r="J277" i="1" s="1"/>
  <c r="K277" i="1" s="1"/>
  <c r="I281" i="1"/>
  <c r="J281" i="1" s="1"/>
  <c r="K281" i="1" s="1"/>
  <c r="I285" i="1"/>
  <c r="I286" i="1"/>
  <c r="I293" i="1"/>
  <c r="J293" i="1" s="1"/>
  <c r="K293" i="1" s="1"/>
  <c r="I294" i="1"/>
  <c r="J294" i="1" s="1"/>
  <c r="K294" i="1" s="1"/>
  <c r="I297" i="1"/>
  <c r="J297" i="1" s="1"/>
  <c r="K297" i="1" s="1"/>
  <c r="I301" i="1"/>
  <c r="J301" i="1" s="1"/>
  <c r="K301" i="1" s="1"/>
  <c r="I302" i="1"/>
  <c r="J302" i="1" s="1"/>
  <c r="K302" i="1" s="1"/>
  <c r="I303" i="1"/>
  <c r="J303" i="1" s="1"/>
  <c r="K303" i="1" s="1"/>
  <c r="I308" i="1"/>
  <c r="I309" i="1"/>
  <c r="J309" i="1" s="1"/>
  <c r="K309" i="1" s="1"/>
  <c r="I313" i="1"/>
  <c r="J313" i="1" s="1"/>
  <c r="K313" i="1" s="1"/>
  <c r="I317" i="1"/>
  <c r="I318" i="1"/>
  <c r="J318" i="1" s="1"/>
  <c r="K318" i="1" s="1"/>
  <c r="I319" i="1"/>
  <c r="J319" i="1" s="1"/>
  <c r="K319" i="1" s="1"/>
  <c r="I320" i="1"/>
  <c r="J320" i="1" s="1"/>
  <c r="K320" i="1" s="1"/>
  <c r="I321" i="1"/>
  <c r="J321" i="1" s="1"/>
  <c r="K321" i="1" s="1"/>
  <c r="I322" i="1"/>
  <c r="I323" i="1"/>
  <c r="J323" i="1" s="1"/>
  <c r="K323" i="1" s="1"/>
  <c r="I324" i="1"/>
  <c r="J324" i="1" s="1"/>
  <c r="K324" i="1" s="1"/>
  <c r="I329" i="1"/>
  <c r="J329" i="1" s="1"/>
  <c r="K329" i="1" s="1"/>
  <c r="I334" i="1"/>
  <c r="I335" i="1"/>
  <c r="J335" i="1" s="1"/>
  <c r="K335" i="1" s="1"/>
  <c r="I336" i="1"/>
  <c r="J336" i="1" s="1"/>
  <c r="K336" i="1" s="1"/>
  <c r="I337" i="1"/>
  <c r="J337" i="1" s="1"/>
  <c r="K337" i="1" s="1"/>
  <c r="I340" i="1"/>
  <c r="J340" i="1" s="1"/>
  <c r="K340" i="1" s="1"/>
  <c r="I341" i="1"/>
  <c r="J341" i="1" s="1"/>
  <c r="K341" i="1" s="1"/>
  <c r="I342" i="1"/>
  <c r="J342" i="1" s="1"/>
  <c r="K342" i="1" s="1"/>
  <c r="I344" i="1"/>
  <c r="J344" i="1" s="1"/>
  <c r="K344" i="1" s="1"/>
  <c r="I349" i="1"/>
  <c r="J349" i="1" s="1"/>
  <c r="K349" i="1" s="1"/>
  <c r="I350" i="1"/>
  <c r="I353" i="1"/>
  <c r="J353" i="1" s="1"/>
  <c r="K353" i="1" s="1"/>
  <c r="I354" i="1"/>
  <c r="J354" i="1" s="1"/>
  <c r="K354" i="1" s="1"/>
  <c r="I355" i="1"/>
  <c r="J355" i="1" s="1"/>
  <c r="I356" i="1"/>
  <c r="J356" i="1" s="1"/>
  <c r="I361" i="1"/>
  <c r="J361" i="1" s="1"/>
  <c r="K361" i="1" s="1"/>
  <c r="I365" i="1"/>
  <c r="J365" i="1" s="1"/>
  <c r="K365" i="1" s="1"/>
  <c r="I368" i="1"/>
  <c r="I372" i="1"/>
  <c r="J372" i="1" s="1"/>
  <c r="K372" i="1" s="1"/>
  <c r="I373" i="1"/>
  <c r="J373" i="1" s="1"/>
  <c r="K373" i="1" s="1"/>
  <c r="I374" i="1"/>
  <c r="J374" i="1" s="1"/>
  <c r="K374" i="1" s="1"/>
  <c r="I376" i="1"/>
  <c r="J376" i="1" s="1"/>
  <c r="K376" i="1" s="1"/>
  <c r="I377" i="1"/>
  <c r="J377" i="1" s="1"/>
  <c r="K377" i="1" s="1"/>
  <c r="I378" i="1"/>
  <c r="J378" i="1" s="1"/>
  <c r="K378" i="1" s="1"/>
  <c r="I381" i="1"/>
  <c r="J381" i="1" s="1"/>
  <c r="K381" i="1" s="1"/>
  <c r="I382" i="1"/>
  <c r="J382" i="1" s="1"/>
  <c r="K382" i="1" s="1"/>
  <c r="I387" i="1"/>
  <c r="J387" i="1" s="1"/>
  <c r="I388" i="1"/>
  <c r="J388" i="1" s="1"/>
  <c r="K388" i="1" s="1"/>
  <c r="I393" i="1"/>
  <c r="J393" i="1" s="1"/>
  <c r="I397" i="1"/>
  <c r="I398" i="1"/>
  <c r="I399" i="1"/>
  <c r="J399" i="1" s="1"/>
  <c r="K399" i="1" s="1"/>
  <c r="I400" i="1"/>
  <c r="I401" i="1"/>
  <c r="J401" i="1" s="1"/>
  <c r="K401" i="1" s="1"/>
  <c r="I402" i="1"/>
  <c r="J402" i="1" s="1"/>
  <c r="K402" i="1" s="1"/>
  <c r="I403" i="1"/>
  <c r="I406" i="1"/>
  <c r="J406" i="1" s="1"/>
  <c r="K406" i="1" s="1"/>
  <c r="I408" i="1"/>
  <c r="J408" i="1" s="1"/>
  <c r="K408" i="1" s="1"/>
  <c r="I413" i="1"/>
  <c r="I414" i="1"/>
  <c r="I415" i="1"/>
  <c r="J415" i="1" s="1"/>
  <c r="K415" i="1" s="1"/>
  <c r="I416" i="1"/>
  <c r="I419" i="1"/>
  <c r="J419" i="1" s="1"/>
  <c r="K419" i="1" s="1"/>
  <c r="I420" i="1"/>
  <c r="J420" i="1" s="1"/>
  <c r="K420" i="1" s="1"/>
  <c r="I421" i="1"/>
  <c r="J421" i="1" s="1"/>
  <c r="K421" i="1" s="1"/>
  <c r="I422" i="1"/>
  <c r="J422" i="1" s="1"/>
  <c r="K422" i="1" s="1"/>
  <c r="I425" i="1"/>
  <c r="I429" i="1"/>
  <c r="J429" i="1" s="1"/>
  <c r="K429" i="1" s="1"/>
  <c r="I432" i="1"/>
  <c r="J432" i="1" s="1"/>
  <c r="K432" i="1" s="1"/>
  <c r="I433" i="1"/>
  <c r="J433" i="1" s="1"/>
  <c r="K433" i="1" s="1"/>
  <c r="I434" i="1"/>
  <c r="J434" i="1" s="1"/>
  <c r="K434" i="1" s="1"/>
  <c r="I436" i="1"/>
  <c r="J436" i="1" s="1"/>
  <c r="K436" i="1" s="1"/>
  <c r="I437" i="1"/>
  <c r="J437" i="1" s="1"/>
  <c r="K437" i="1" s="1"/>
  <c r="I438" i="1"/>
  <c r="J438" i="1" s="1"/>
  <c r="K438" i="1" s="1"/>
  <c r="I441" i="1"/>
  <c r="I446" i="1"/>
  <c r="I447" i="1"/>
  <c r="J447" i="1" s="1"/>
  <c r="K447" i="1" s="1"/>
  <c r="I448" i="1"/>
  <c r="I451" i="1"/>
  <c r="J451" i="1" s="1"/>
  <c r="K451" i="1" s="1"/>
  <c r="I452" i="1"/>
  <c r="J452" i="1" s="1"/>
  <c r="K452" i="1" s="1"/>
  <c r="I453" i="1"/>
  <c r="J453" i="1" s="1"/>
  <c r="K453" i="1" s="1"/>
  <c r="I454" i="1"/>
  <c r="J454" i="1" s="1"/>
  <c r="K454" i="1" s="1"/>
  <c r="I457" i="1"/>
  <c r="J457" i="1" s="1"/>
  <c r="K457" i="1" s="1"/>
  <c r="I461" i="1"/>
  <c r="J461" i="1" s="1"/>
  <c r="K461" i="1" s="1"/>
  <c r="I462" i="1"/>
  <c r="J462" i="1" s="1"/>
  <c r="K462" i="1" s="1"/>
  <c r="I463" i="1"/>
  <c r="J463" i="1" s="1"/>
  <c r="K463" i="1" s="1"/>
  <c r="I473" i="1"/>
  <c r="I474" i="1"/>
  <c r="J474" i="1" s="1"/>
  <c r="K474" i="1" s="1"/>
  <c r="I477" i="1"/>
  <c r="J477" i="1" s="1"/>
  <c r="K477" i="1" s="1"/>
  <c r="I478" i="1"/>
  <c r="J478" i="1" s="1"/>
  <c r="K478" i="1" s="1"/>
  <c r="I479" i="1"/>
  <c r="J479" i="1" s="1"/>
  <c r="K479" i="1" s="1"/>
  <c r="I480" i="1"/>
  <c r="J480" i="1" s="1"/>
  <c r="K480" i="1" s="1"/>
  <c r="I481" i="1"/>
  <c r="J481" i="1" s="1"/>
  <c r="K481" i="1" s="1"/>
  <c r="I482" i="1"/>
  <c r="J482" i="1" s="1"/>
  <c r="I493" i="1"/>
  <c r="J493" i="1" s="1"/>
  <c r="K493" i="1" s="1"/>
  <c r="I494" i="1"/>
  <c r="I496" i="1"/>
  <c r="J496" i="1" s="1"/>
  <c r="K496" i="1" s="1"/>
  <c r="I498" i="1"/>
  <c r="I499" i="1"/>
  <c r="J499" i="1" s="1"/>
  <c r="K499" i="1" s="1"/>
  <c r="I500" i="1"/>
  <c r="J500" i="1" s="1"/>
  <c r="K500" i="1" s="1"/>
  <c r="I501" i="1"/>
  <c r="J501" i="1" s="1"/>
  <c r="K501" i="1" s="1"/>
  <c r="I505" i="1"/>
  <c r="J505" i="1" s="1"/>
  <c r="K505" i="1" s="1"/>
  <c r="I506" i="1"/>
  <c r="J506" i="1" s="1"/>
  <c r="K506" i="1" s="1"/>
  <c r="I511" i="1"/>
  <c r="J511" i="1" s="1"/>
  <c r="K511" i="1" s="1"/>
  <c r="I512" i="1"/>
  <c r="J512" i="1" s="1"/>
  <c r="K512" i="1" s="1"/>
  <c r="I515" i="1"/>
  <c r="J515" i="1" s="1"/>
  <c r="K515" i="1" s="1"/>
  <c r="I516" i="1"/>
  <c r="J516" i="1" s="1"/>
  <c r="K516" i="1" s="1"/>
  <c r="I521" i="1"/>
  <c r="J521" i="1" s="1"/>
  <c r="K521" i="1" s="1"/>
  <c r="I525" i="1"/>
  <c r="J525" i="1" s="1"/>
  <c r="K525" i="1" s="1"/>
  <c r="I526" i="1"/>
  <c r="J526" i="1" s="1"/>
  <c r="K526" i="1" s="1"/>
  <c r="I527" i="1"/>
  <c r="J527" i="1" s="1"/>
  <c r="K527" i="1" s="1"/>
  <c r="I531" i="1"/>
  <c r="J531" i="1" s="1"/>
  <c r="K531" i="1" s="1"/>
  <c r="I532" i="1"/>
  <c r="J532" i="1" s="1"/>
  <c r="K532" i="1" s="1"/>
  <c r="I533" i="1"/>
  <c r="I534" i="1"/>
  <c r="J534" i="1" s="1"/>
  <c r="K534" i="1" s="1"/>
  <c r="I537" i="1"/>
  <c r="I541" i="1"/>
  <c r="J541" i="1" s="1"/>
  <c r="K541" i="1" s="1"/>
  <c r="I542" i="1"/>
  <c r="I549" i="1"/>
  <c r="J549" i="1" s="1"/>
  <c r="K549" i="1" s="1"/>
  <c r="I550" i="1"/>
  <c r="J550" i="1" s="1"/>
  <c r="K550" i="1" s="1"/>
  <c r="I552" i="1"/>
  <c r="J552" i="1" s="1"/>
  <c r="K552" i="1" s="1"/>
  <c r="I553" i="1"/>
  <c r="J553" i="1" s="1"/>
  <c r="K553" i="1" s="1"/>
  <c r="I557" i="1"/>
  <c r="J557" i="1" s="1"/>
  <c r="K557" i="1" s="1"/>
  <c r="I558" i="1"/>
  <c r="J558" i="1" s="1"/>
  <c r="K558" i="1" s="1"/>
  <c r="I559" i="1"/>
  <c r="J559" i="1" s="1"/>
  <c r="K559" i="1" s="1"/>
  <c r="I563" i="1"/>
  <c r="J563" i="1" s="1"/>
  <c r="K563" i="1" s="1"/>
  <c r="I564" i="1"/>
  <c r="J564" i="1" s="1"/>
  <c r="I569" i="1"/>
  <c r="J569" i="1" s="1"/>
  <c r="K569" i="1" s="1"/>
  <c r="I573" i="1"/>
  <c r="J573" i="1" s="1"/>
  <c r="K573" i="1" s="1"/>
  <c r="I574" i="1"/>
  <c r="J574" i="1" s="1"/>
  <c r="K574" i="1" s="1"/>
  <c r="I575" i="1"/>
  <c r="J575" i="1" s="1"/>
  <c r="K575" i="1" s="1"/>
  <c r="I576" i="1"/>
  <c r="J576" i="1" s="1"/>
  <c r="K576" i="1" s="1"/>
  <c r="I577" i="1"/>
  <c r="J577" i="1" s="1"/>
  <c r="K577" i="1" s="1"/>
  <c r="I578" i="1"/>
  <c r="J578" i="1" s="1"/>
  <c r="K578" i="1" s="1"/>
  <c r="I579" i="1"/>
  <c r="J579" i="1" s="1"/>
  <c r="K579" i="1" s="1"/>
  <c r="I580" i="1"/>
  <c r="J580" i="1" s="1"/>
  <c r="K580" i="1" s="1"/>
  <c r="I582" i="1"/>
  <c r="J582" i="1" s="1"/>
  <c r="K582" i="1" s="1"/>
  <c r="I585" i="1"/>
  <c r="J585" i="1" s="1"/>
  <c r="K585" i="1" s="1"/>
  <c r="I590" i="1"/>
  <c r="J590" i="1" s="1"/>
  <c r="K590" i="1" s="1"/>
  <c r="I591" i="1"/>
  <c r="I595" i="1"/>
  <c r="J595" i="1" s="1"/>
  <c r="K595" i="1" s="1"/>
  <c r="I596" i="1"/>
  <c r="J596" i="1" s="1"/>
  <c r="K596" i="1" s="1"/>
  <c r="I597" i="1"/>
  <c r="J597" i="1" s="1"/>
  <c r="K597" i="1" s="1"/>
  <c r="I598" i="1"/>
  <c r="J598" i="1" s="1"/>
  <c r="K598" i="1" s="1"/>
  <c r="I605" i="1"/>
  <c r="J605" i="1" s="1"/>
  <c r="K605" i="1" s="1"/>
  <c r="I606" i="1"/>
  <c r="J606" i="1" s="1"/>
  <c r="K606" i="1" s="1"/>
  <c r="I609" i="1"/>
  <c r="J609" i="1" s="1"/>
  <c r="K609" i="1" s="1"/>
  <c r="I611" i="1"/>
  <c r="I612" i="1"/>
  <c r="I613" i="1"/>
  <c r="J613" i="1" s="1"/>
  <c r="K613" i="1" s="1"/>
  <c r="I617" i="1"/>
  <c r="I621" i="1"/>
  <c r="J621" i="1" s="1"/>
  <c r="K621" i="1" s="1"/>
  <c r="I623" i="1"/>
  <c r="J623" i="1" s="1"/>
  <c r="K623" i="1" s="1"/>
  <c r="I624" i="1"/>
  <c r="J624" i="1" s="1"/>
  <c r="K624" i="1" s="1"/>
  <c r="I625" i="1"/>
  <c r="J625" i="1" s="1"/>
  <c r="K625" i="1" s="1"/>
  <c r="I628" i="1"/>
  <c r="J628" i="1" s="1"/>
  <c r="I629" i="1"/>
  <c r="J629" i="1" s="1"/>
  <c r="K629" i="1" s="1"/>
  <c r="I630" i="1"/>
  <c r="J630" i="1" s="1"/>
  <c r="K630" i="1" s="1"/>
  <c r="I633" i="1"/>
  <c r="J633" i="1" s="1"/>
  <c r="I637" i="1"/>
  <c r="J637" i="1" s="1"/>
  <c r="K637" i="1" s="1"/>
  <c r="I638" i="1"/>
  <c r="J638" i="1" s="1"/>
  <c r="I643" i="1"/>
  <c r="I644" i="1"/>
  <c r="J644" i="1" s="1"/>
  <c r="K644" i="1" s="1"/>
  <c r="I648" i="1"/>
  <c r="J648" i="1" s="1"/>
  <c r="K648" i="1" s="1"/>
  <c r="I649" i="1"/>
  <c r="J649" i="1" s="1"/>
  <c r="K649" i="1" s="1"/>
  <c r="I650" i="1"/>
  <c r="J650" i="1" s="1"/>
  <c r="K650" i="1" s="1"/>
  <c r="I653" i="1"/>
  <c r="J653" i="1" s="1"/>
  <c r="K653" i="1" s="1"/>
  <c r="I654" i="1"/>
  <c r="J654" i="1" s="1"/>
  <c r="K654" i="1" s="1"/>
  <c r="I655" i="1"/>
  <c r="J655" i="1" s="1"/>
  <c r="I656" i="1"/>
  <c r="I659" i="1"/>
  <c r="J659" i="1" s="1"/>
  <c r="K659" i="1" s="1"/>
  <c r="I661" i="1"/>
  <c r="J661" i="1" s="1"/>
  <c r="K661" i="1" s="1"/>
  <c r="I669" i="1"/>
  <c r="J669" i="1" s="1"/>
  <c r="I670" i="1"/>
  <c r="I671" i="1"/>
  <c r="J671" i="1" s="1"/>
  <c r="K671" i="1" s="1"/>
  <c r="I672" i="1"/>
  <c r="J672" i="1" s="1"/>
  <c r="K672" i="1" s="1"/>
  <c r="I673" i="1"/>
  <c r="J673" i="1" s="1"/>
  <c r="K673" i="1" s="1"/>
  <c r="I674" i="1"/>
  <c r="J674" i="1" s="1"/>
  <c r="K674" i="1" s="1"/>
  <c r="I675" i="1"/>
  <c r="J675" i="1" s="1"/>
  <c r="K675" i="1" s="1"/>
  <c r="I676" i="1"/>
  <c r="J676" i="1" s="1"/>
  <c r="K676" i="1" s="1"/>
  <c r="I677" i="1"/>
  <c r="J677" i="1" s="1"/>
  <c r="K677" i="1" s="1"/>
  <c r="I678" i="1"/>
  <c r="J678" i="1" s="1"/>
  <c r="K678" i="1" s="1"/>
  <c r="I681" i="1"/>
  <c r="I685" i="1"/>
  <c r="J685" i="1" s="1"/>
  <c r="K685" i="1" s="1"/>
  <c r="I688" i="1"/>
  <c r="J688" i="1" s="1"/>
  <c r="K688" i="1" s="1"/>
  <c r="I691" i="1"/>
  <c r="J691" i="1" s="1"/>
  <c r="I692" i="1"/>
  <c r="J692" i="1" s="1"/>
  <c r="K692" i="1" s="1"/>
  <c r="I693" i="1"/>
  <c r="I694" i="1"/>
  <c r="J694" i="1" s="1"/>
  <c r="K694" i="1" s="1"/>
  <c r="I697" i="1"/>
  <c r="J697" i="1" s="1"/>
  <c r="K697" i="1" s="1"/>
  <c r="I702" i="1"/>
  <c r="J702" i="1" s="1"/>
  <c r="K702" i="1" s="1"/>
  <c r="I703" i="1"/>
  <c r="J703" i="1" s="1"/>
  <c r="K703" i="1" s="1"/>
  <c r="I704" i="1"/>
  <c r="J704" i="1" s="1"/>
  <c r="K704" i="1" s="1"/>
  <c r="I708" i="1"/>
  <c r="J708" i="1" s="1"/>
  <c r="K708" i="1" s="1"/>
  <c r="I709" i="1"/>
  <c r="I710" i="1"/>
  <c r="J710" i="1" s="1"/>
  <c r="K710" i="1" s="1"/>
  <c r="I713" i="1"/>
  <c r="J713" i="1" s="1"/>
  <c r="I717" i="1"/>
  <c r="J717" i="1" s="1"/>
  <c r="K717" i="1" s="1"/>
  <c r="I718" i="1"/>
  <c r="J718" i="1" s="1"/>
  <c r="K718" i="1" s="1"/>
  <c r="I719" i="1"/>
  <c r="J719" i="1" s="1"/>
  <c r="K719" i="1" s="1"/>
  <c r="I721" i="1"/>
  <c r="J721" i="1" s="1"/>
  <c r="I723" i="1"/>
  <c r="J723" i="1" s="1"/>
  <c r="I726" i="1"/>
  <c r="J726" i="1" s="1"/>
  <c r="K726" i="1" s="1"/>
  <c r="I728" i="1"/>
  <c r="J728" i="1" s="1"/>
  <c r="K728" i="1" s="1"/>
  <c r="I729" i="1"/>
  <c r="J729" i="1" s="1"/>
  <c r="K729" i="1" s="1"/>
  <c r="I733" i="1"/>
  <c r="J733" i="1" s="1"/>
  <c r="K733" i="1" s="1"/>
  <c r="I734" i="1"/>
  <c r="I735" i="1"/>
  <c r="J735" i="1" s="1"/>
  <c r="K735" i="1" s="1"/>
  <c r="I740" i="1"/>
  <c r="J740" i="1" s="1"/>
  <c r="K740" i="1" s="1"/>
  <c r="I741" i="1"/>
  <c r="J741" i="1" s="1"/>
  <c r="K741" i="1" s="1"/>
  <c r="I742" i="1"/>
  <c r="J742" i="1" s="1"/>
  <c r="K742" i="1" s="1"/>
  <c r="I749" i="1"/>
  <c r="I750" i="1"/>
  <c r="I751" i="1"/>
  <c r="J751" i="1" s="1"/>
  <c r="K751" i="1" s="1"/>
  <c r="I752" i="1"/>
  <c r="J752" i="1" s="1"/>
  <c r="K752" i="1" s="1"/>
  <c r="I753" i="1"/>
  <c r="J753" i="1" s="1"/>
  <c r="K753" i="1" s="1"/>
  <c r="I755" i="1"/>
  <c r="J755" i="1" s="1"/>
  <c r="I756" i="1"/>
  <c r="J756" i="1" s="1"/>
  <c r="K756" i="1" s="1"/>
  <c r="I757" i="1"/>
  <c r="J757" i="1" s="1"/>
  <c r="K757" i="1" s="1"/>
  <c r="I761" i="1"/>
  <c r="J761" i="1" s="1"/>
  <c r="K761" i="1" s="1"/>
  <c r="I767" i="1"/>
  <c r="J767" i="1" s="1"/>
  <c r="K767" i="1" s="1"/>
  <c r="I768" i="1"/>
  <c r="I769" i="1"/>
  <c r="I770" i="1"/>
  <c r="I771" i="1"/>
  <c r="J771" i="1" s="1"/>
  <c r="K771" i="1" s="1"/>
  <c r="I772" i="1"/>
  <c r="J772" i="1" s="1"/>
  <c r="K772" i="1" s="1"/>
  <c r="I773" i="1"/>
  <c r="J773" i="1" s="1"/>
  <c r="K773" i="1" s="1"/>
  <c r="I774" i="1"/>
  <c r="I776" i="1"/>
  <c r="J776" i="1" s="1"/>
  <c r="K776" i="1" s="1"/>
  <c r="I777" i="1"/>
  <c r="J777" i="1" s="1"/>
  <c r="K777" i="1" s="1"/>
  <c r="I781" i="1"/>
  <c r="I782" i="1"/>
  <c r="J782" i="1" s="1"/>
  <c r="I783" i="1"/>
  <c r="J783" i="1" s="1"/>
  <c r="K783" i="1" s="1"/>
  <c r="I788" i="1"/>
  <c r="I789" i="1"/>
  <c r="J789" i="1" s="1"/>
  <c r="K789" i="1" s="1"/>
  <c r="I790" i="1"/>
  <c r="J790" i="1" s="1"/>
  <c r="K790" i="1" s="1"/>
  <c r="I792" i="1"/>
  <c r="J792" i="1" s="1"/>
  <c r="K792" i="1" s="1"/>
  <c r="I793" i="1"/>
  <c r="J793" i="1" s="1"/>
  <c r="K793" i="1" s="1"/>
  <c r="I794" i="1"/>
  <c r="J794" i="1" s="1"/>
  <c r="K794" i="1" s="1"/>
  <c r="I797" i="1"/>
  <c r="J797" i="1" s="1"/>
  <c r="K797" i="1" s="1"/>
  <c r="I798" i="1"/>
  <c r="J798" i="1" s="1"/>
  <c r="K798" i="1" s="1"/>
  <c r="I800" i="1"/>
  <c r="J800" i="1" s="1"/>
  <c r="K800" i="1" s="1"/>
  <c r="I801" i="1"/>
  <c r="I809" i="1"/>
  <c r="I813" i="1"/>
  <c r="J813" i="1" s="1"/>
  <c r="K813" i="1" s="1"/>
  <c r="I814" i="1"/>
  <c r="J814" i="1" s="1"/>
  <c r="K814" i="1" s="1"/>
  <c r="I815" i="1"/>
  <c r="J815" i="1" s="1"/>
  <c r="K815" i="1" s="1"/>
  <c r="I816" i="1"/>
  <c r="I817" i="1"/>
  <c r="J817" i="1" s="1"/>
  <c r="K817" i="1" s="1"/>
  <c r="I819" i="1"/>
  <c r="J819" i="1" s="1"/>
  <c r="I820" i="1"/>
  <c r="J820" i="1" s="1"/>
  <c r="I821" i="1"/>
  <c r="J821" i="1" s="1"/>
  <c r="I825" i="1"/>
  <c r="J825" i="1" s="1"/>
  <c r="K825" i="1" s="1"/>
  <c r="I826" i="1"/>
  <c r="J826" i="1" s="1"/>
  <c r="K826" i="1" s="1"/>
  <c r="I829" i="1"/>
  <c r="I830" i="1"/>
  <c r="I831" i="1"/>
  <c r="I832" i="1"/>
  <c r="I835" i="1"/>
  <c r="I836" i="1"/>
  <c r="I838" i="1"/>
  <c r="J838" i="1" s="1"/>
  <c r="K838" i="1" s="1"/>
  <c r="I841" i="1"/>
  <c r="J841" i="1" s="1"/>
  <c r="K841" i="1" s="1"/>
  <c r="I846" i="1"/>
  <c r="J846" i="1" s="1"/>
  <c r="K846" i="1" s="1"/>
  <c r="I847" i="1"/>
  <c r="J847" i="1" s="1"/>
  <c r="K847" i="1" s="1"/>
  <c r="I848" i="1"/>
  <c r="J848" i="1" s="1"/>
  <c r="K848" i="1" s="1"/>
  <c r="I849" i="1"/>
  <c r="J849" i="1" s="1"/>
  <c r="K849" i="1" s="1"/>
  <c r="I850" i="1"/>
  <c r="J850" i="1" s="1"/>
  <c r="K850" i="1" s="1"/>
  <c r="I852" i="1"/>
  <c r="I853" i="1"/>
  <c r="I854" i="1"/>
  <c r="J854" i="1" s="1"/>
  <c r="K854" i="1" s="1"/>
  <c r="I861" i="1"/>
  <c r="I862" i="1"/>
  <c r="I865" i="1"/>
  <c r="J865" i="1" s="1"/>
  <c r="K865" i="1" s="1"/>
  <c r="I867" i="1"/>
  <c r="I868" i="1"/>
  <c r="J868" i="1" s="1"/>
  <c r="K868" i="1" s="1"/>
  <c r="I869" i="1"/>
  <c r="J869" i="1" s="1"/>
  <c r="K869" i="1" s="1"/>
  <c r="I870" i="1"/>
  <c r="J870" i="1" s="1"/>
  <c r="K870" i="1" s="1"/>
  <c r="I873" i="1"/>
  <c r="J873" i="1" s="1"/>
  <c r="K873" i="1" s="1"/>
  <c r="I877" i="1"/>
  <c r="J877" i="1" s="1"/>
  <c r="K877" i="1" s="1"/>
  <c r="I879" i="1"/>
  <c r="J879" i="1" s="1"/>
  <c r="K879" i="1" s="1"/>
  <c r="I880" i="1"/>
  <c r="J880" i="1" s="1"/>
  <c r="K880" i="1" s="1"/>
  <c r="I888" i="1"/>
  <c r="J888" i="1" s="1"/>
  <c r="K888" i="1" s="1"/>
  <c r="I889" i="1"/>
  <c r="J889" i="1" s="1"/>
  <c r="K889" i="1" s="1"/>
  <c r="I890" i="1"/>
  <c r="J890" i="1" s="1"/>
  <c r="K890" i="1" s="1"/>
  <c r="I893" i="1"/>
  <c r="J893" i="1" s="1"/>
  <c r="K893" i="1" s="1"/>
  <c r="I894" i="1"/>
  <c r="J894" i="1" s="1"/>
  <c r="K894" i="1" s="1"/>
  <c r="I895" i="1"/>
  <c r="I896" i="1"/>
  <c r="J896" i="1" s="1"/>
  <c r="K896" i="1" s="1"/>
  <c r="I898" i="1"/>
  <c r="J898" i="1" s="1"/>
  <c r="K898" i="1" s="1"/>
  <c r="I900" i="1"/>
  <c r="I905" i="1"/>
  <c r="I909" i="1"/>
  <c r="J909" i="1" s="1"/>
  <c r="K909" i="1" s="1"/>
  <c r="I910" i="1"/>
  <c r="J910" i="1" s="1"/>
  <c r="K910" i="1" s="1"/>
  <c r="I911" i="1"/>
  <c r="J911" i="1" s="1"/>
  <c r="K911" i="1" s="1"/>
  <c r="I912" i="1"/>
  <c r="I913" i="1"/>
  <c r="I914" i="1"/>
  <c r="I915" i="1"/>
  <c r="I917" i="1"/>
  <c r="J917" i="1" s="1"/>
  <c r="K917" i="1" s="1"/>
  <c r="I918" i="1"/>
  <c r="J918" i="1" s="1"/>
  <c r="K918" i="1" s="1"/>
  <c r="I920" i="1"/>
  <c r="J920" i="1" s="1"/>
  <c r="K920" i="1" s="1"/>
  <c r="I925" i="1"/>
  <c r="J925" i="1" s="1"/>
  <c r="K925" i="1" s="1"/>
  <c r="I926" i="1"/>
  <c r="I927" i="1"/>
  <c r="I928" i="1"/>
  <c r="J928" i="1" s="1"/>
  <c r="K928" i="1" s="1"/>
  <c r="I929" i="1"/>
  <c r="J929" i="1" s="1"/>
  <c r="K929" i="1" s="1"/>
  <c r="I932" i="1"/>
  <c r="J932" i="1" s="1"/>
  <c r="K932" i="1" s="1"/>
  <c r="I933" i="1"/>
  <c r="J933" i="1" s="1"/>
  <c r="K933" i="1" s="1"/>
  <c r="I934" i="1"/>
  <c r="J934" i="1" s="1"/>
  <c r="K934" i="1" s="1"/>
  <c r="I937" i="1"/>
  <c r="J937" i="1" s="1"/>
  <c r="K937" i="1" s="1"/>
  <c r="I941" i="1"/>
  <c r="J941" i="1" s="1"/>
  <c r="K941" i="1" s="1"/>
  <c r="I944" i="1"/>
  <c r="J944" i="1" s="1"/>
  <c r="K944" i="1" s="1"/>
  <c r="I945" i="1"/>
  <c r="J945" i="1" s="1"/>
  <c r="K945" i="1" s="1"/>
  <c r="I946" i="1"/>
  <c r="J946" i="1" s="1"/>
  <c r="K946" i="1" s="1"/>
  <c r="I947" i="1"/>
  <c r="J947" i="1" s="1"/>
  <c r="K947" i="1" s="1"/>
  <c r="I952" i="1"/>
  <c r="J952" i="1" s="1"/>
  <c r="K952" i="1" s="1"/>
  <c r="I953" i="1"/>
  <c r="J953" i="1" s="1"/>
  <c r="K953" i="1" s="1"/>
  <c r="I958" i="1"/>
  <c r="J958" i="1" s="1"/>
  <c r="I959" i="1"/>
  <c r="J959" i="1" s="1"/>
  <c r="K959" i="1" s="1"/>
  <c r="I960" i="1"/>
  <c r="I963" i="1"/>
  <c r="J963" i="1" s="1"/>
  <c r="K963" i="1" s="1"/>
  <c r="I964" i="1"/>
  <c r="J964" i="1" s="1"/>
  <c r="K964" i="1" s="1"/>
  <c r="I965" i="1"/>
  <c r="J965" i="1" s="1"/>
  <c r="K965" i="1" s="1"/>
  <c r="I966" i="1"/>
  <c r="J966" i="1" s="1"/>
  <c r="K966" i="1" s="1"/>
  <c r="I969" i="1"/>
  <c r="I973" i="1"/>
  <c r="I974" i="1"/>
  <c r="I975" i="1"/>
  <c r="I977" i="1"/>
  <c r="J977" i="1" s="1"/>
  <c r="K977" i="1" s="1"/>
  <c r="I985" i="1"/>
  <c r="J985" i="1" s="1"/>
  <c r="K985" i="1" s="1"/>
  <c r="I986" i="1"/>
  <c r="J986" i="1" s="1"/>
  <c r="K986" i="1" s="1"/>
  <c r="I989" i="1"/>
  <c r="J989" i="1" s="1"/>
  <c r="K989" i="1" s="1"/>
  <c r="I990" i="1"/>
  <c r="I991" i="1"/>
  <c r="J991" i="1" s="1"/>
  <c r="K991" i="1" s="1"/>
  <c r="I992" i="1"/>
  <c r="J992" i="1" s="1"/>
  <c r="K992" i="1" s="1"/>
  <c r="I993" i="1"/>
  <c r="J993" i="1" s="1"/>
  <c r="K993" i="1" s="1"/>
  <c r="I1005" i="1"/>
  <c r="I1006" i="1"/>
  <c r="I1007" i="1"/>
  <c r="I1008" i="1"/>
  <c r="I1009" i="1"/>
  <c r="I1010" i="1"/>
  <c r="I1011" i="1"/>
  <c r="J1011" i="1" s="1"/>
  <c r="K1011" i="1" s="1"/>
  <c r="I1012" i="1"/>
  <c r="J1012" i="1" s="1"/>
  <c r="K1012" i="1" s="1"/>
  <c r="I1013" i="1"/>
  <c r="J1013" i="1" s="1"/>
  <c r="K1013" i="1" s="1"/>
  <c r="I1017" i="1"/>
  <c r="I1026" i="1"/>
  <c r="J1026" i="1" s="1"/>
  <c r="K1026" i="1" s="1"/>
  <c r="H5" i="1"/>
  <c r="H6" i="1"/>
  <c r="H7" i="1"/>
  <c r="I7" i="1" s="1"/>
  <c r="J7" i="1" s="1"/>
  <c r="K7" i="1" s="1"/>
  <c r="H8" i="1"/>
  <c r="I8" i="1" s="1"/>
  <c r="J8" i="1" s="1"/>
  <c r="K8" i="1" s="1"/>
  <c r="H9" i="1"/>
  <c r="H10" i="1"/>
  <c r="I10" i="1" s="1"/>
  <c r="J10" i="1" s="1"/>
  <c r="K10" i="1" s="1"/>
  <c r="H11" i="1"/>
  <c r="I11" i="1" s="1"/>
  <c r="J11" i="1" s="1"/>
  <c r="K11" i="1" s="1"/>
  <c r="H12" i="1"/>
  <c r="I12" i="1" s="1"/>
  <c r="J12" i="1" s="1"/>
  <c r="K12" i="1" s="1"/>
  <c r="H13" i="1"/>
  <c r="H14" i="1"/>
  <c r="H15" i="1"/>
  <c r="I15" i="1" s="1"/>
  <c r="J15" i="1" s="1"/>
  <c r="K15" i="1" s="1"/>
  <c r="H16" i="1"/>
  <c r="I16" i="1" s="1"/>
  <c r="H17" i="1"/>
  <c r="I17" i="1" s="1"/>
  <c r="H18" i="1"/>
  <c r="I18" i="1" s="1"/>
  <c r="H19" i="1"/>
  <c r="H20" i="1"/>
  <c r="H21" i="1"/>
  <c r="H22" i="1"/>
  <c r="I22" i="1" s="1"/>
  <c r="J22" i="1" s="1"/>
  <c r="K22" i="1" s="1"/>
  <c r="H23" i="1"/>
  <c r="I23" i="1" s="1"/>
  <c r="J23" i="1" s="1"/>
  <c r="K23" i="1" s="1"/>
  <c r="H24" i="1"/>
  <c r="I24" i="1" s="1"/>
  <c r="J24" i="1" s="1"/>
  <c r="K24" i="1" s="1"/>
  <c r="H25" i="1"/>
  <c r="H26" i="1"/>
  <c r="I26" i="1" s="1"/>
  <c r="J26" i="1" s="1"/>
  <c r="K26" i="1" s="1"/>
  <c r="H27" i="1"/>
  <c r="I27" i="1" s="1"/>
  <c r="J27" i="1" s="1"/>
  <c r="K27" i="1" s="1"/>
  <c r="H28" i="1"/>
  <c r="I28" i="1" s="1"/>
  <c r="J28" i="1" s="1"/>
  <c r="K28" i="1" s="1"/>
  <c r="H29" i="1"/>
  <c r="H30" i="1"/>
  <c r="H31" i="1"/>
  <c r="I31" i="1" s="1"/>
  <c r="J31" i="1" s="1"/>
  <c r="K31" i="1" s="1"/>
  <c r="H32" i="1"/>
  <c r="I32" i="1" s="1"/>
  <c r="J32" i="1" s="1"/>
  <c r="H33" i="1"/>
  <c r="H34" i="1"/>
  <c r="H35" i="1"/>
  <c r="I35" i="1" s="1"/>
  <c r="J35" i="1" s="1"/>
  <c r="K35" i="1" s="1"/>
  <c r="H36" i="1"/>
  <c r="I36" i="1" s="1"/>
  <c r="J36" i="1" s="1"/>
  <c r="K36" i="1" s="1"/>
  <c r="H37" i="1"/>
  <c r="I37" i="1" s="1"/>
  <c r="J37" i="1" s="1"/>
  <c r="H38" i="1"/>
  <c r="H39" i="1"/>
  <c r="I39" i="1" s="1"/>
  <c r="J39" i="1" s="1"/>
  <c r="K39" i="1" s="1"/>
  <c r="H40" i="1"/>
  <c r="I40" i="1" s="1"/>
  <c r="J40" i="1" s="1"/>
  <c r="K40" i="1" s="1"/>
  <c r="H41" i="1"/>
  <c r="H42" i="1"/>
  <c r="I42" i="1" s="1"/>
  <c r="J42" i="1" s="1"/>
  <c r="K42" i="1" s="1"/>
  <c r="H43" i="1"/>
  <c r="I43" i="1" s="1"/>
  <c r="J43" i="1" s="1"/>
  <c r="K43" i="1" s="1"/>
  <c r="H44" i="1"/>
  <c r="I44" i="1" s="1"/>
  <c r="J44" i="1" s="1"/>
  <c r="K44" i="1" s="1"/>
  <c r="H45" i="1"/>
  <c r="H46" i="1"/>
  <c r="H47" i="1"/>
  <c r="H48" i="1"/>
  <c r="H49" i="1"/>
  <c r="I49" i="1" s="1"/>
  <c r="J49" i="1" s="1"/>
  <c r="K49" i="1" s="1"/>
  <c r="H50" i="1"/>
  <c r="I50" i="1" s="1"/>
  <c r="J50" i="1" s="1"/>
  <c r="K50" i="1" s="1"/>
  <c r="H51" i="1"/>
  <c r="I51" i="1" s="1"/>
  <c r="J51" i="1" s="1"/>
  <c r="H52" i="1"/>
  <c r="I52" i="1" s="1"/>
  <c r="J52" i="1" s="1"/>
  <c r="K52" i="1" s="1"/>
  <c r="H53" i="1"/>
  <c r="I53" i="1" s="1"/>
  <c r="H54" i="1"/>
  <c r="I54" i="1" s="1"/>
  <c r="J54" i="1" s="1"/>
  <c r="K54" i="1" s="1"/>
  <c r="H55" i="1"/>
  <c r="I55" i="1" s="1"/>
  <c r="J55" i="1" s="1"/>
  <c r="K55" i="1" s="1"/>
  <c r="H56" i="1"/>
  <c r="I56" i="1" s="1"/>
  <c r="J56" i="1" s="1"/>
  <c r="K56" i="1" s="1"/>
  <c r="H57" i="1"/>
  <c r="H58" i="1"/>
  <c r="I58" i="1" s="1"/>
  <c r="J58" i="1" s="1"/>
  <c r="K58" i="1" s="1"/>
  <c r="H59" i="1"/>
  <c r="I59" i="1" s="1"/>
  <c r="J59" i="1" s="1"/>
  <c r="K59" i="1" s="1"/>
  <c r="H60" i="1"/>
  <c r="I60" i="1" s="1"/>
  <c r="J60" i="1" s="1"/>
  <c r="K60" i="1" s="1"/>
  <c r="H61" i="1"/>
  <c r="H62" i="1"/>
  <c r="H63" i="1"/>
  <c r="H64" i="1"/>
  <c r="H65" i="1"/>
  <c r="H66" i="1"/>
  <c r="H67" i="1"/>
  <c r="H68" i="1"/>
  <c r="I68" i="1" s="1"/>
  <c r="J68" i="1" s="1"/>
  <c r="K68" i="1" s="1"/>
  <c r="H69" i="1"/>
  <c r="I69" i="1" s="1"/>
  <c r="J69" i="1" s="1"/>
  <c r="K69" i="1" s="1"/>
  <c r="H70" i="1"/>
  <c r="I70" i="1" s="1"/>
  <c r="J70" i="1" s="1"/>
  <c r="K70" i="1" s="1"/>
  <c r="H71" i="1"/>
  <c r="I71" i="1" s="1"/>
  <c r="J71" i="1" s="1"/>
  <c r="K71" i="1" s="1"/>
  <c r="H72" i="1"/>
  <c r="I72" i="1" s="1"/>
  <c r="J72" i="1" s="1"/>
  <c r="K72" i="1" s="1"/>
  <c r="H73" i="1"/>
  <c r="H74" i="1"/>
  <c r="I74" i="1" s="1"/>
  <c r="J74" i="1" s="1"/>
  <c r="K74" i="1" s="1"/>
  <c r="H75" i="1"/>
  <c r="I75" i="1" s="1"/>
  <c r="J75" i="1" s="1"/>
  <c r="K75" i="1" s="1"/>
  <c r="H76" i="1"/>
  <c r="I76" i="1" s="1"/>
  <c r="J76" i="1" s="1"/>
  <c r="K76" i="1" s="1"/>
  <c r="H77" i="1"/>
  <c r="I77" i="1" s="1"/>
  <c r="J77" i="1" s="1"/>
  <c r="K77" i="1" s="1"/>
  <c r="H78" i="1"/>
  <c r="H79" i="1"/>
  <c r="I79" i="1" s="1"/>
  <c r="J79" i="1" s="1"/>
  <c r="K79" i="1" s="1"/>
  <c r="H80" i="1"/>
  <c r="I80" i="1" s="1"/>
  <c r="J80" i="1" s="1"/>
  <c r="K80" i="1" s="1"/>
  <c r="H81" i="1"/>
  <c r="I81" i="1" s="1"/>
  <c r="J81" i="1" s="1"/>
  <c r="K81" i="1" s="1"/>
  <c r="H82" i="1"/>
  <c r="I82" i="1" s="1"/>
  <c r="J82" i="1" s="1"/>
  <c r="K82" i="1" s="1"/>
  <c r="H83" i="1"/>
  <c r="H84" i="1"/>
  <c r="H85" i="1"/>
  <c r="H86" i="1"/>
  <c r="H87" i="1"/>
  <c r="I87" i="1" s="1"/>
  <c r="J87" i="1" s="1"/>
  <c r="K87" i="1" s="1"/>
  <c r="H88" i="1"/>
  <c r="I88" i="1" s="1"/>
  <c r="J88" i="1" s="1"/>
  <c r="K88" i="1" s="1"/>
  <c r="H89" i="1"/>
  <c r="I89" i="1" s="1"/>
  <c r="J89" i="1" s="1"/>
  <c r="K89" i="1" s="1"/>
  <c r="H90" i="1"/>
  <c r="I90" i="1" s="1"/>
  <c r="J90" i="1" s="1"/>
  <c r="K90" i="1" s="1"/>
  <c r="H91" i="1"/>
  <c r="I91" i="1" s="1"/>
  <c r="J91" i="1" s="1"/>
  <c r="K91" i="1" s="1"/>
  <c r="H92" i="1"/>
  <c r="I92" i="1" s="1"/>
  <c r="J92" i="1" s="1"/>
  <c r="K92" i="1" s="1"/>
  <c r="H93" i="1"/>
  <c r="H94" i="1"/>
  <c r="H95" i="1"/>
  <c r="I95" i="1" s="1"/>
  <c r="H96" i="1"/>
  <c r="I96" i="1" s="1"/>
  <c r="J96" i="1" s="1"/>
  <c r="K96" i="1" s="1"/>
  <c r="H97" i="1"/>
  <c r="I97" i="1" s="1"/>
  <c r="H98" i="1"/>
  <c r="H99" i="1"/>
  <c r="I99" i="1" s="1"/>
  <c r="J99" i="1" s="1"/>
  <c r="K99" i="1" s="1"/>
  <c r="H100" i="1"/>
  <c r="H101" i="1"/>
  <c r="H102" i="1"/>
  <c r="H103" i="1"/>
  <c r="I103" i="1" s="1"/>
  <c r="J103" i="1" s="1"/>
  <c r="H104" i="1"/>
  <c r="I104" i="1" s="1"/>
  <c r="J104" i="1" s="1"/>
  <c r="H105" i="1"/>
  <c r="H106" i="1"/>
  <c r="I106" i="1" s="1"/>
  <c r="H107" i="1"/>
  <c r="I107" i="1" s="1"/>
  <c r="J107" i="1" s="1"/>
  <c r="K107" i="1" s="1"/>
  <c r="H108" i="1"/>
  <c r="I108" i="1" s="1"/>
  <c r="J108" i="1" s="1"/>
  <c r="K108" i="1" s="1"/>
  <c r="H109" i="1"/>
  <c r="H110" i="1"/>
  <c r="I110" i="1" s="1"/>
  <c r="J110" i="1" s="1"/>
  <c r="K110" i="1" s="1"/>
  <c r="H111" i="1"/>
  <c r="I111" i="1" s="1"/>
  <c r="J111" i="1" s="1"/>
  <c r="K111" i="1" s="1"/>
  <c r="H112" i="1"/>
  <c r="H113" i="1"/>
  <c r="H114" i="1"/>
  <c r="I114" i="1" s="1"/>
  <c r="J114" i="1" s="1"/>
  <c r="K114" i="1" s="1"/>
  <c r="H115" i="1"/>
  <c r="I115" i="1" s="1"/>
  <c r="H116" i="1"/>
  <c r="I116" i="1" s="1"/>
  <c r="J116" i="1" s="1"/>
  <c r="K116" i="1" s="1"/>
  <c r="H117" i="1"/>
  <c r="H118" i="1"/>
  <c r="H119" i="1"/>
  <c r="I119" i="1" s="1"/>
  <c r="J119" i="1" s="1"/>
  <c r="K119" i="1" s="1"/>
  <c r="H120" i="1"/>
  <c r="I120" i="1" s="1"/>
  <c r="J120" i="1" s="1"/>
  <c r="K120" i="1" s="1"/>
  <c r="H121" i="1"/>
  <c r="H122" i="1"/>
  <c r="I122" i="1" s="1"/>
  <c r="J122" i="1" s="1"/>
  <c r="K122" i="1" s="1"/>
  <c r="H123" i="1"/>
  <c r="I123" i="1" s="1"/>
  <c r="J123" i="1" s="1"/>
  <c r="K123" i="1" s="1"/>
  <c r="H124" i="1"/>
  <c r="I124" i="1" s="1"/>
  <c r="J124" i="1" s="1"/>
  <c r="K124" i="1" s="1"/>
  <c r="H125" i="1"/>
  <c r="H126" i="1"/>
  <c r="H127" i="1"/>
  <c r="H128" i="1"/>
  <c r="H129" i="1"/>
  <c r="I129" i="1" s="1"/>
  <c r="J129" i="1" s="1"/>
  <c r="K129" i="1" s="1"/>
  <c r="H130" i="1"/>
  <c r="I130" i="1" s="1"/>
  <c r="J130" i="1" s="1"/>
  <c r="K130" i="1" s="1"/>
  <c r="H131" i="1"/>
  <c r="H132" i="1"/>
  <c r="I132" i="1" s="1"/>
  <c r="J132" i="1" s="1"/>
  <c r="K132" i="1" s="1"/>
  <c r="H133" i="1"/>
  <c r="I133" i="1" s="1"/>
  <c r="J133" i="1" s="1"/>
  <c r="K133" i="1" s="1"/>
  <c r="H134" i="1"/>
  <c r="I134" i="1" s="1"/>
  <c r="J134" i="1" s="1"/>
  <c r="K134" i="1" s="1"/>
  <c r="H135" i="1"/>
  <c r="I135" i="1" s="1"/>
  <c r="J135" i="1" s="1"/>
  <c r="K135" i="1" s="1"/>
  <c r="H136" i="1"/>
  <c r="I136" i="1" s="1"/>
  <c r="H137" i="1"/>
  <c r="H138" i="1"/>
  <c r="I138" i="1" s="1"/>
  <c r="J138" i="1" s="1"/>
  <c r="K138" i="1" s="1"/>
  <c r="H139" i="1"/>
  <c r="I139" i="1" s="1"/>
  <c r="J139" i="1" s="1"/>
  <c r="K139" i="1" s="1"/>
  <c r="H140" i="1"/>
  <c r="I140" i="1" s="1"/>
  <c r="J140" i="1" s="1"/>
  <c r="K140" i="1" s="1"/>
  <c r="H141" i="1"/>
  <c r="H142" i="1"/>
  <c r="H143" i="1"/>
  <c r="H144" i="1"/>
  <c r="H145" i="1"/>
  <c r="H146" i="1"/>
  <c r="H147" i="1"/>
  <c r="H148" i="1"/>
  <c r="I148" i="1" s="1"/>
  <c r="J148" i="1" s="1"/>
  <c r="H149" i="1"/>
  <c r="I149" i="1" s="1"/>
  <c r="J149" i="1" s="1"/>
  <c r="H150" i="1"/>
  <c r="H151" i="1"/>
  <c r="I151" i="1" s="1"/>
  <c r="J151" i="1" s="1"/>
  <c r="K151" i="1" s="1"/>
  <c r="H152" i="1"/>
  <c r="I152" i="1" s="1"/>
  <c r="J152" i="1" s="1"/>
  <c r="K152" i="1" s="1"/>
  <c r="H153" i="1"/>
  <c r="I153" i="1" s="1"/>
  <c r="J153" i="1" s="1"/>
  <c r="K153" i="1" s="1"/>
  <c r="H154" i="1"/>
  <c r="I154" i="1" s="1"/>
  <c r="J154" i="1" s="1"/>
  <c r="K154" i="1" s="1"/>
  <c r="H155" i="1"/>
  <c r="I155" i="1" s="1"/>
  <c r="J155" i="1" s="1"/>
  <c r="K155" i="1" s="1"/>
  <c r="H156" i="1"/>
  <c r="I156" i="1" s="1"/>
  <c r="J156" i="1" s="1"/>
  <c r="K156" i="1" s="1"/>
  <c r="H157" i="1"/>
  <c r="H158" i="1"/>
  <c r="H159" i="1"/>
  <c r="H160" i="1"/>
  <c r="I160" i="1" s="1"/>
  <c r="J160" i="1" s="1"/>
  <c r="K160" i="1" s="1"/>
  <c r="H161" i="1"/>
  <c r="I161" i="1" s="1"/>
  <c r="H162" i="1"/>
  <c r="I162" i="1" s="1"/>
  <c r="J162" i="1" s="1"/>
  <c r="H163" i="1"/>
  <c r="H164" i="1"/>
  <c r="H165" i="1"/>
  <c r="H166" i="1"/>
  <c r="H167" i="1"/>
  <c r="I167" i="1" s="1"/>
  <c r="J167" i="1" s="1"/>
  <c r="K167" i="1" s="1"/>
  <c r="H168" i="1"/>
  <c r="I168" i="1" s="1"/>
  <c r="J168" i="1" s="1"/>
  <c r="H169" i="1"/>
  <c r="H170" i="1"/>
  <c r="H171" i="1"/>
  <c r="I171" i="1" s="1"/>
  <c r="J171" i="1" s="1"/>
  <c r="K171" i="1" s="1"/>
  <c r="H172" i="1"/>
  <c r="I172" i="1" s="1"/>
  <c r="J172" i="1" s="1"/>
  <c r="K172" i="1" s="1"/>
  <c r="H173" i="1"/>
  <c r="H174" i="1"/>
  <c r="I174" i="1" s="1"/>
  <c r="J174" i="1" s="1"/>
  <c r="K174" i="1" s="1"/>
  <c r="H175" i="1"/>
  <c r="I175" i="1" s="1"/>
  <c r="J175" i="1" s="1"/>
  <c r="H176" i="1"/>
  <c r="H177" i="1"/>
  <c r="H178" i="1"/>
  <c r="I178" i="1" s="1"/>
  <c r="J178" i="1" s="1"/>
  <c r="K178" i="1" s="1"/>
  <c r="H179" i="1"/>
  <c r="H180" i="1"/>
  <c r="H181" i="1"/>
  <c r="H182" i="1"/>
  <c r="I182" i="1" s="1"/>
  <c r="J182" i="1" s="1"/>
  <c r="K182" i="1" s="1"/>
  <c r="H183" i="1"/>
  <c r="I183" i="1" s="1"/>
  <c r="J183" i="1" s="1"/>
  <c r="K183" i="1" s="1"/>
  <c r="H184" i="1"/>
  <c r="I184" i="1" s="1"/>
  <c r="J184" i="1" s="1"/>
  <c r="K184" i="1" s="1"/>
  <c r="H185" i="1"/>
  <c r="H186" i="1"/>
  <c r="I186" i="1" s="1"/>
  <c r="H187" i="1"/>
  <c r="I187" i="1" s="1"/>
  <c r="H188" i="1"/>
  <c r="I188" i="1" s="1"/>
  <c r="H189" i="1"/>
  <c r="I189" i="1" s="1"/>
  <c r="H190" i="1"/>
  <c r="H191" i="1"/>
  <c r="H192" i="1"/>
  <c r="H193" i="1"/>
  <c r="I193" i="1" s="1"/>
  <c r="J193" i="1" s="1"/>
  <c r="K193" i="1" s="1"/>
  <c r="H194" i="1"/>
  <c r="I194" i="1" s="1"/>
  <c r="J194" i="1" s="1"/>
  <c r="K194" i="1" s="1"/>
  <c r="H195" i="1"/>
  <c r="H196" i="1"/>
  <c r="H197" i="1"/>
  <c r="H198" i="1"/>
  <c r="H199" i="1"/>
  <c r="I199" i="1" s="1"/>
  <c r="J199" i="1" s="1"/>
  <c r="K199" i="1" s="1"/>
  <c r="H200" i="1"/>
  <c r="H201" i="1"/>
  <c r="H202" i="1"/>
  <c r="I202" i="1" s="1"/>
  <c r="J202" i="1" s="1"/>
  <c r="K202" i="1" s="1"/>
  <c r="H203" i="1"/>
  <c r="I203" i="1" s="1"/>
  <c r="J203" i="1" s="1"/>
  <c r="K203" i="1" s="1"/>
  <c r="H204" i="1"/>
  <c r="I204" i="1" s="1"/>
  <c r="J204" i="1" s="1"/>
  <c r="K204" i="1" s="1"/>
  <c r="H205" i="1"/>
  <c r="H206" i="1"/>
  <c r="H207" i="1"/>
  <c r="I207" i="1" s="1"/>
  <c r="J207" i="1" s="1"/>
  <c r="H208" i="1"/>
  <c r="I208" i="1" s="1"/>
  <c r="J208" i="1" s="1"/>
  <c r="H209" i="1"/>
  <c r="I209" i="1" s="1"/>
  <c r="J209" i="1" s="1"/>
  <c r="H210" i="1"/>
  <c r="I210" i="1" s="1"/>
  <c r="J210" i="1" s="1"/>
  <c r="K210" i="1" s="1"/>
  <c r="H211" i="1"/>
  <c r="H212" i="1"/>
  <c r="I212" i="1" s="1"/>
  <c r="J212" i="1" s="1"/>
  <c r="K212" i="1" s="1"/>
  <c r="H213" i="1"/>
  <c r="I213" i="1" s="1"/>
  <c r="J213" i="1" s="1"/>
  <c r="K213" i="1" s="1"/>
  <c r="H214" i="1"/>
  <c r="I214" i="1" s="1"/>
  <c r="J214" i="1" s="1"/>
  <c r="K214" i="1" s="1"/>
  <c r="H215" i="1"/>
  <c r="I215" i="1" s="1"/>
  <c r="J215" i="1" s="1"/>
  <c r="K215" i="1" s="1"/>
  <c r="H216" i="1"/>
  <c r="I216" i="1" s="1"/>
  <c r="J216" i="1" s="1"/>
  <c r="K216" i="1" s="1"/>
  <c r="H217" i="1"/>
  <c r="H218" i="1"/>
  <c r="I218" i="1" s="1"/>
  <c r="J218" i="1" s="1"/>
  <c r="K218" i="1" s="1"/>
  <c r="H219" i="1"/>
  <c r="I219" i="1" s="1"/>
  <c r="J219" i="1" s="1"/>
  <c r="K219" i="1" s="1"/>
  <c r="H220" i="1"/>
  <c r="I220" i="1" s="1"/>
  <c r="J220" i="1" s="1"/>
  <c r="K220" i="1" s="1"/>
  <c r="H221" i="1"/>
  <c r="H222" i="1"/>
  <c r="H223" i="1"/>
  <c r="H224" i="1"/>
  <c r="H225" i="1"/>
  <c r="H226" i="1"/>
  <c r="I226" i="1" s="1"/>
  <c r="J226" i="1" s="1"/>
  <c r="H227" i="1"/>
  <c r="I227" i="1" s="1"/>
  <c r="J227" i="1" s="1"/>
  <c r="K227" i="1" s="1"/>
  <c r="H228" i="1"/>
  <c r="I228" i="1" s="1"/>
  <c r="J228" i="1" s="1"/>
  <c r="K228" i="1" s="1"/>
  <c r="H229" i="1"/>
  <c r="I229" i="1" s="1"/>
  <c r="J229" i="1" s="1"/>
  <c r="K229" i="1" s="1"/>
  <c r="H230" i="1"/>
  <c r="I230" i="1" s="1"/>
  <c r="J230" i="1" s="1"/>
  <c r="K230" i="1" s="1"/>
  <c r="H231" i="1"/>
  <c r="I231" i="1" s="1"/>
  <c r="J231" i="1" s="1"/>
  <c r="K231" i="1" s="1"/>
  <c r="H232" i="1"/>
  <c r="I232" i="1" s="1"/>
  <c r="J232" i="1" s="1"/>
  <c r="K232" i="1" s="1"/>
  <c r="H233" i="1"/>
  <c r="I233" i="1" s="1"/>
  <c r="J233" i="1" s="1"/>
  <c r="K233" i="1" s="1"/>
  <c r="H234" i="1"/>
  <c r="I234" i="1" s="1"/>
  <c r="J234" i="1" s="1"/>
  <c r="K234" i="1" s="1"/>
  <c r="H235" i="1"/>
  <c r="I235" i="1" s="1"/>
  <c r="J235" i="1" s="1"/>
  <c r="K235" i="1" s="1"/>
  <c r="H236" i="1"/>
  <c r="I236" i="1" s="1"/>
  <c r="J236" i="1" s="1"/>
  <c r="K236" i="1" s="1"/>
  <c r="H237" i="1"/>
  <c r="H238" i="1"/>
  <c r="H239" i="1"/>
  <c r="H240" i="1"/>
  <c r="H241" i="1"/>
  <c r="H242" i="1"/>
  <c r="H243" i="1"/>
  <c r="H244" i="1"/>
  <c r="H245" i="1"/>
  <c r="H246" i="1"/>
  <c r="I246" i="1" s="1"/>
  <c r="J246" i="1" s="1"/>
  <c r="K246" i="1" s="1"/>
  <c r="H247" i="1"/>
  <c r="I247" i="1" s="1"/>
  <c r="H248" i="1"/>
  <c r="I248" i="1" s="1"/>
  <c r="J248" i="1" s="1"/>
  <c r="K248" i="1" s="1"/>
  <c r="H249" i="1"/>
  <c r="H250" i="1"/>
  <c r="I250" i="1" s="1"/>
  <c r="J250" i="1" s="1"/>
  <c r="K250" i="1" s="1"/>
  <c r="H251" i="1"/>
  <c r="I251" i="1" s="1"/>
  <c r="J251" i="1" s="1"/>
  <c r="K251" i="1" s="1"/>
  <c r="H252" i="1"/>
  <c r="I252" i="1" s="1"/>
  <c r="J252" i="1" s="1"/>
  <c r="K252" i="1" s="1"/>
  <c r="H253" i="1"/>
  <c r="I253" i="1" s="1"/>
  <c r="J253" i="1" s="1"/>
  <c r="K253" i="1" s="1"/>
  <c r="H254" i="1"/>
  <c r="I254" i="1" s="1"/>
  <c r="J254" i="1" s="1"/>
  <c r="K254" i="1" s="1"/>
  <c r="H255" i="1"/>
  <c r="H256" i="1"/>
  <c r="I256" i="1" s="1"/>
  <c r="J256" i="1" s="1"/>
  <c r="K256" i="1" s="1"/>
  <c r="H257" i="1"/>
  <c r="I257" i="1" s="1"/>
  <c r="J257" i="1" s="1"/>
  <c r="H258" i="1"/>
  <c r="I258" i="1" s="1"/>
  <c r="J258" i="1" s="1"/>
  <c r="K258" i="1" s="1"/>
  <c r="H259" i="1"/>
  <c r="H260" i="1"/>
  <c r="I260" i="1" s="1"/>
  <c r="J260" i="1" s="1"/>
  <c r="K260" i="1" s="1"/>
  <c r="H261" i="1"/>
  <c r="I261" i="1" s="1"/>
  <c r="J261" i="1" s="1"/>
  <c r="K261" i="1" s="1"/>
  <c r="H262" i="1"/>
  <c r="I262" i="1" s="1"/>
  <c r="J262" i="1" s="1"/>
  <c r="K262" i="1" s="1"/>
  <c r="H263" i="1"/>
  <c r="I263" i="1" s="1"/>
  <c r="J263" i="1" s="1"/>
  <c r="K263" i="1" s="1"/>
  <c r="H264" i="1"/>
  <c r="I264" i="1" s="1"/>
  <c r="H265" i="1"/>
  <c r="H266" i="1"/>
  <c r="I266" i="1" s="1"/>
  <c r="J266" i="1" s="1"/>
  <c r="K266" i="1" s="1"/>
  <c r="H267" i="1"/>
  <c r="I267" i="1" s="1"/>
  <c r="J267" i="1" s="1"/>
  <c r="K267" i="1" s="1"/>
  <c r="H268" i="1"/>
  <c r="I268" i="1" s="1"/>
  <c r="J268" i="1" s="1"/>
  <c r="K268" i="1" s="1"/>
  <c r="H269" i="1"/>
  <c r="H270" i="1"/>
  <c r="H271" i="1"/>
  <c r="H272" i="1"/>
  <c r="I272" i="1" s="1"/>
  <c r="H273" i="1"/>
  <c r="I273" i="1" s="1"/>
  <c r="H274" i="1"/>
  <c r="H275" i="1"/>
  <c r="H276" i="1"/>
  <c r="H277" i="1"/>
  <c r="H278" i="1"/>
  <c r="I278" i="1" s="1"/>
  <c r="J278" i="1" s="1"/>
  <c r="K278" i="1" s="1"/>
  <c r="H279" i="1"/>
  <c r="I279" i="1" s="1"/>
  <c r="J279" i="1" s="1"/>
  <c r="K279" i="1" s="1"/>
  <c r="H280" i="1"/>
  <c r="I280" i="1" s="1"/>
  <c r="J280" i="1" s="1"/>
  <c r="K280" i="1" s="1"/>
  <c r="H281" i="1"/>
  <c r="H282" i="1"/>
  <c r="I282" i="1" s="1"/>
  <c r="J282" i="1" s="1"/>
  <c r="K282" i="1" s="1"/>
  <c r="H283" i="1"/>
  <c r="I283" i="1" s="1"/>
  <c r="J283" i="1" s="1"/>
  <c r="K283" i="1" s="1"/>
  <c r="H284" i="1"/>
  <c r="I284" i="1" s="1"/>
  <c r="J284" i="1" s="1"/>
  <c r="K284" i="1" s="1"/>
  <c r="H285" i="1"/>
  <c r="H286" i="1"/>
  <c r="H287" i="1"/>
  <c r="I287" i="1" s="1"/>
  <c r="J287" i="1" s="1"/>
  <c r="K287" i="1" s="1"/>
  <c r="H288" i="1"/>
  <c r="I288" i="1" s="1"/>
  <c r="J288" i="1" s="1"/>
  <c r="K288" i="1" s="1"/>
  <c r="H289" i="1"/>
  <c r="I289" i="1" s="1"/>
  <c r="H290" i="1"/>
  <c r="I290" i="1" s="1"/>
  <c r="J290" i="1" s="1"/>
  <c r="K290" i="1" s="1"/>
  <c r="H291" i="1"/>
  <c r="I291" i="1" s="1"/>
  <c r="J291" i="1" s="1"/>
  <c r="H292" i="1"/>
  <c r="I292" i="1" s="1"/>
  <c r="J292" i="1" s="1"/>
  <c r="K292" i="1" s="1"/>
  <c r="H293" i="1"/>
  <c r="H294" i="1"/>
  <c r="H295" i="1"/>
  <c r="I295" i="1" s="1"/>
  <c r="J295" i="1" s="1"/>
  <c r="K295" i="1" s="1"/>
  <c r="H296" i="1"/>
  <c r="I296" i="1" s="1"/>
  <c r="J296" i="1" s="1"/>
  <c r="K296" i="1" s="1"/>
  <c r="H297" i="1"/>
  <c r="H298" i="1"/>
  <c r="I298" i="1" s="1"/>
  <c r="J298" i="1" s="1"/>
  <c r="K298" i="1" s="1"/>
  <c r="H299" i="1"/>
  <c r="I299" i="1" s="1"/>
  <c r="J299" i="1" s="1"/>
  <c r="K299" i="1" s="1"/>
  <c r="H300" i="1"/>
  <c r="I300" i="1" s="1"/>
  <c r="J300" i="1" s="1"/>
  <c r="K300" i="1" s="1"/>
  <c r="H301" i="1"/>
  <c r="H302" i="1"/>
  <c r="H303" i="1"/>
  <c r="H304" i="1"/>
  <c r="I304" i="1" s="1"/>
  <c r="J304" i="1" s="1"/>
  <c r="K304" i="1" s="1"/>
  <c r="H305" i="1"/>
  <c r="I305" i="1" s="1"/>
  <c r="J305" i="1" s="1"/>
  <c r="H306" i="1"/>
  <c r="I306" i="1" s="1"/>
  <c r="J306" i="1" s="1"/>
  <c r="K306" i="1" s="1"/>
  <c r="H307" i="1"/>
  <c r="I307" i="1" s="1"/>
  <c r="H308" i="1"/>
  <c r="H309" i="1"/>
  <c r="H310" i="1"/>
  <c r="I310" i="1" s="1"/>
  <c r="J310" i="1" s="1"/>
  <c r="K310" i="1" s="1"/>
  <c r="H311" i="1"/>
  <c r="I311" i="1" s="1"/>
  <c r="H312" i="1"/>
  <c r="I312" i="1" s="1"/>
  <c r="H313" i="1"/>
  <c r="H314" i="1"/>
  <c r="I314" i="1" s="1"/>
  <c r="J314" i="1" s="1"/>
  <c r="K314" i="1" s="1"/>
  <c r="H315" i="1"/>
  <c r="I315" i="1" s="1"/>
  <c r="J315" i="1" s="1"/>
  <c r="K315" i="1" s="1"/>
  <c r="H316" i="1"/>
  <c r="I316" i="1" s="1"/>
  <c r="J316" i="1" s="1"/>
  <c r="K316" i="1" s="1"/>
  <c r="H317" i="1"/>
  <c r="H318" i="1"/>
  <c r="H319" i="1"/>
  <c r="H320" i="1"/>
  <c r="H321" i="1"/>
  <c r="H322" i="1"/>
  <c r="H323" i="1"/>
  <c r="H324" i="1"/>
  <c r="H325" i="1"/>
  <c r="I325" i="1" s="1"/>
  <c r="J325" i="1" s="1"/>
  <c r="K325" i="1" s="1"/>
  <c r="H326" i="1"/>
  <c r="I326" i="1" s="1"/>
  <c r="J326" i="1" s="1"/>
  <c r="K326" i="1" s="1"/>
  <c r="H327" i="1"/>
  <c r="I327" i="1" s="1"/>
  <c r="J327" i="1" s="1"/>
  <c r="K327" i="1" s="1"/>
  <c r="H328" i="1"/>
  <c r="I328" i="1" s="1"/>
  <c r="J328" i="1" s="1"/>
  <c r="K328" i="1" s="1"/>
  <c r="H329" i="1"/>
  <c r="H330" i="1"/>
  <c r="I330" i="1" s="1"/>
  <c r="J330" i="1" s="1"/>
  <c r="K330" i="1" s="1"/>
  <c r="H331" i="1"/>
  <c r="I331" i="1" s="1"/>
  <c r="J331" i="1" s="1"/>
  <c r="K331" i="1" s="1"/>
  <c r="H332" i="1"/>
  <c r="I332" i="1" s="1"/>
  <c r="J332" i="1" s="1"/>
  <c r="K332" i="1" s="1"/>
  <c r="H333" i="1"/>
  <c r="I333" i="1" s="1"/>
  <c r="J333" i="1" s="1"/>
  <c r="K333" i="1" s="1"/>
  <c r="H334" i="1"/>
  <c r="H335" i="1"/>
  <c r="H336" i="1"/>
  <c r="H337" i="1"/>
  <c r="H338" i="1"/>
  <c r="I338" i="1" s="1"/>
  <c r="J338" i="1" s="1"/>
  <c r="K338" i="1" s="1"/>
  <c r="H339" i="1"/>
  <c r="I339" i="1" s="1"/>
  <c r="J339" i="1" s="1"/>
  <c r="K339" i="1" s="1"/>
  <c r="H340" i="1"/>
  <c r="H341" i="1"/>
  <c r="H342" i="1"/>
  <c r="H343" i="1"/>
  <c r="I343" i="1" s="1"/>
  <c r="J343" i="1" s="1"/>
  <c r="K343" i="1" s="1"/>
  <c r="H344" i="1"/>
  <c r="H345" i="1"/>
  <c r="I345" i="1" s="1"/>
  <c r="J345" i="1" s="1"/>
  <c r="K345" i="1" s="1"/>
  <c r="H346" i="1"/>
  <c r="I346" i="1" s="1"/>
  <c r="J346" i="1" s="1"/>
  <c r="K346" i="1" s="1"/>
  <c r="H347" i="1"/>
  <c r="I347" i="1" s="1"/>
  <c r="H348" i="1"/>
  <c r="I348" i="1" s="1"/>
  <c r="J348" i="1" s="1"/>
  <c r="K348" i="1" s="1"/>
  <c r="H349" i="1"/>
  <c r="H350" i="1"/>
  <c r="H351" i="1"/>
  <c r="I351" i="1" s="1"/>
  <c r="J351" i="1" s="1"/>
  <c r="K351" i="1" s="1"/>
  <c r="H352" i="1"/>
  <c r="I352" i="1" s="1"/>
  <c r="J352" i="1" s="1"/>
  <c r="K352" i="1" s="1"/>
  <c r="H353" i="1"/>
  <c r="H354" i="1"/>
  <c r="H355" i="1"/>
  <c r="H356" i="1"/>
  <c r="H357" i="1"/>
  <c r="I357" i="1" s="1"/>
  <c r="J357" i="1" s="1"/>
  <c r="K357" i="1" s="1"/>
  <c r="H358" i="1"/>
  <c r="I358" i="1" s="1"/>
  <c r="H359" i="1"/>
  <c r="I359" i="1" s="1"/>
  <c r="H360" i="1"/>
  <c r="I360" i="1" s="1"/>
  <c r="J360" i="1" s="1"/>
  <c r="K360" i="1" s="1"/>
  <c r="H361" i="1"/>
  <c r="H362" i="1"/>
  <c r="I362" i="1" s="1"/>
  <c r="J362" i="1" s="1"/>
  <c r="K362" i="1" s="1"/>
  <c r="H363" i="1"/>
  <c r="I363" i="1" s="1"/>
  <c r="J363" i="1" s="1"/>
  <c r="K363" i="1" s="1"/>
  <c r="H364" i="1"/>
  <c r="I364" i="1" s="1"/>
  <c r="J364" i="1" s="1"/>
  <c r="K364" i="1" s="1"/>
  <c r="H365" i="1"/>
  <c r="H366" i="1"/>
  <c r="I366" i="1" s="1"/>
  <c r="J366" i="1" s="1"/>
  <c r="K366" i="1" s="1"/>
  <c r="H367" i="1"/>
  <c r="I367" i="1" s="1"/>
  <c r="J367" i="1" s="1"/>
  <c r="K367" i="1" s="1"/>
  <c r="H368" i="1"/>
  <c r="H369" i="1"/>
  <c r="I369" i="1" s="1"/>
  <c r="J369" i="1" s="1"/>
  <c r="K369" i="1" s="1"/>
  <c r="H370" i="1"/>
  <c r="I370" i="1" s="1"/>
  <c r="J370" i="1" s="1"/>
  <c r="K370" i="1" s="1"/>
  <c r="H371" i="1"/>
  <c r="I371" i="1" s="1"/>
  <c r="J371" i="1" s="1"/>
  <c r="K371" i="1" s="1"/>
  <c r="H372" i="1"/>
  <c r="H373" i="1"/>
  <c r="H374" i="1"/>
  <c r="H375" i="1"/>
  <c r="I375" i="1" s="1"/>
  <c r="J375" i="1" s="1"/>
  <c r="K375" i="1" s="1"/>
  <c r="H376" i="1"/>
  <c r="H377" i="1"/>
  <c r="H378" i="1"/>
  <c r="H379" i="1"/>
  <c r="I379" i="1" s="1"/>
  <c r="J379" i="1" s="1"/>
  <c r="K379" i="1" s="1"/>
  <c r="H380" i="1"/>
  <c r="I380" i="1" s="1"/>
  <c r="J380" i="1" s="1"/>
  <c r="K380" i="1" s="1"/>
  <c r="H381" i="1"/>
  <c r="H382" i="1"/>
  <c r="H383" i="1"/>
  <c r="I383" i="1" s="1"/>
  <c r="J383" i="1" s="1"/>
  <c r="K383" i="1" s="1"/>
  <c r="H384" i="1"/>
  <c r="I384" i="1" s="1"/>
  <c r="J384" i="1" s="1"/>
  <c r="K384" i="1" s="1"/>
  <c r="H385" i="1"/>
  <c r="I385" i="1" s="1"/>
  <c r="J385" i="1" s="1"/>
  <c r="K385" i="1" s="1"/>
  <c r="H386" i="1"/>
  <c r="I386" i="1" s="1"/>
  <c r="J386" i="1" s="1"/>
  <c r="K386" i="1" s="1"/>
  <c r="H387" i="1"/>
  <c r="H388" i="1"/>
  <c r="H389" i="1"/>
  <c r="I389" i="1" s="1"/>
  <c r="H390" i="1"/>
  <c r="I390" i="1" s="1"/>
  <c r="H391" i="1"/>
  <c r="I391" i="1" s="1"/>
  <c r="H392" i="1"/>
  <c r="I392" i="1" s="1"/>
  <c r="J392" i="1" s="1"/>
  <c r="K392" i="1" s="1"/>
  <c r="H393" i="1"/>
  <c r="H394" i="1"/>
  <c r="I394" i="1" s="1"/>
  <c r="J394" i="1" s="1"/>
  <c r="H395" i="1"/>
  <c r="I395" i="1" s="1"/>
  <c r="J395" i="1" s="1"/>
  <c r="K395" i="1" s="1"/>
  <c r="H396" i="1"/>
  <c r="I396" i="1" s="1"/>
  <c r="J396" i="1" s="1"/>
  <c r="K396" i="1" s="1"/>
  <c r="H397" i="1"/>
  <c r="H398" i="1"/>
  <c r="H399" i="1"/>
  <c r="H400" i="1"/>
  <c r="H401" i="1"/>
  <c r="H402" i="1"/>
  <c r="H403" i="1"/>
  <c r="H404" i="1"/>
  <c r="I404" i="1" s="1"/>
  <c r="J404" i="1" s="1"/>
  <c r="K404" i="1" s="1"/>
  <c r="H405" i="1"/>
  <c r="I405" i="1" s="1"/>
  <c r="J405" i="1" s="1"/>
  <c r="H406" i="1"/>
  <c r="H407" i="1"/>
  <c r="I407" i="1" s="1"/>
  <c r="J407" i="1" s="1"/>
  <c r="K407" i="1" s="1"/>
  <c r="H408" i="1"/>
  <c r="H409" i="1"/>
  <c r="I409" i="1" s="1"/>
  <c r="J409" i="1" s="1"/>
  <c r="K409" i="1" s="1"/>
  <c r="H410" i="1"/>
  <c r="I410" i="1" s="1"/>
  <c r="J410" i="1" s="1"/>
  <c r="K410" i="1" s="1"/>
  <c r="H411" i="1"/>
  <c r="I411" i="1" s="1"/>
  <c r="J411" i="1" s="1"/>
  <c r="K411" i="1" s="1"/>
  <c r="H412" i="1"/>
  <c r="I412" i="1" s="1"/>
  <c r="J412" i="1" s="1"/>
  <c r="K412" i="1" s="1"/>
  <c r="H413" i="1"/>
  <c r="H414" i="1"/>
  <c r="H415" i="1"/>
  <c r="H416" i="1"/>
  <c r="H417" i="1"/>
  <c r="I417" i="1" s="1"/>
  <c r="J417" i="1" s="1"/>
  <c r="K417" i="1" s="1"/>
  <c r="H418" i="1"/>
  <c r="I418" i="1" s="1"/>
  <c r="J418" i="1" s="1"/>
  <c r="K418" i="1" s="1"/>
  <c r="H419" i="1"/>
  <c r="H420" i="1"/>
  <c r="H421" i="1"/>
  <c r="H422" i="1"/>
  <c r="H423" i="1"/>
  <c r="I423" i="1" s="1"/>
  <c r="J423" i="1" s="1"/>
  <c r="K423" i="1" s="1"/>
  <c r="H424" i="1"/>
  <c r="I424" i="1" s="1"/>
  <c r="J424" i="1" s="1"/>
  <c r="K424" i="1" s="1"/>
  <c r="H425" i="1"/>
  <c r="H426" i="1"/>
  <c r="I426" i="1" s="1"/>
  <c r="J426" i="1" s="1"/>
  <c r="K426" i="1" s="1"/>
  <c r="H427" i="1"/>
  <c r="I427" i="1" s="1"/>
  <c r="J427" i="1" s="1"/>
  <c r="K427" i="1" s="1"/>
  <c r="H428" i="1"/>
  <c r="I428" i="1" s="1"/>
  <c r="J428" i="1" s="1"/>
  <c r="K428" i="1" s="1"/>
  <c r="H429" i="1"/>
  <c r="H430" i="1"/>
  <c r="I430" i="1" s="1"/>
  <c r="J430" i="1" s="1"/>
  <c r="K430" i="1" s="1"/>
  <c r="H431" i="1"/>
  <c r="I431" i="1" s="1"/>
  <c r="H432" i="1"/>
  <c r="H433" i="1"/>
  <c r="H434" i="1"/>
  <c r="H435" i="1"/>
  <c r="I435" i="1" s="1"/>
  <c r="J435" i="1" s="1"/>
  <c r="K435" i="1" s="1"/>
  <c r="H436" i="1"/>
  <c r="H437" i="1"/>
  <c r="H438" i="1"/>
  <c r="H439" i="1"/>
  <c r="I439" i="1" s="1"/>
  <c r="H440" i="1"/>
  <c r="I440" i="1" s="1"/>
  <c r="J440" i="1" s="1"/>
  <c r="K440" i="1" s="1"/>
  <c r="H441" i="1"/>
  <c r="H442" i="1"/>
  <c r="I442" i="1" s="1"/>
  <c r="J442" i="1" s="1"/>
  <c r="K442" i="1" s="1"/>
  <c r="H443" i="1"/>
  <c r="I443" i="1" s="1"/>
  <c r="J443" i="1" s="1"/>
  <c r="K443" i="1" s="1"/>
  <c r="H444" i="1"/>
  <c r="I444" i="1" s="1"/>
  <c r="J444" i="1" s="1"/>
  <c r="K444" i="1" s="1"/>
  <c r="H445" i="1"/>
  <c r="I445" i="1" s="1"/>
  <c r="J445" i="1" s="1"/>
  <c r="K445" i="1" s="1"/>
  <c r="H446" i="1"/>
  <c r="H447" i="1"/>
  <c r="H448" i="1"/>
  <c r="H449" i="1"/>
  <c r="I449" i="1" s="1"/>
  <c r="J449" i="1" s="1"/>
  <c r="K449" i="1" s="1"/>
  <c r="H450" i="1"/>
  <c r="I450" i="1" s="1"/>
  <c r="J450" i="1" s="1"/>
  <c r="K450" i="1" s="1"/>
  <c r="H451" i="1"/>
  <c r="H452" i="1"/>
  <c r="H453" i="1"/>
  <c r="H454" i="1"/>
  <c r="H455" i="1"/>
  <c r="I455" i="1" s="1"/>
  <c r="J455" i="1" s="1"/>
  <c r="K455" i="1" s="1"/>
  <c r="H456" i="1"/>
  <c r="I456" i="1" s="1"/>
  <c r="J456" i="1" s="1"/>
  <c r="K456" i="1" s="1"/>
  <c r="H457" i="1"/>
  <c r="H458" i="1"/>
  <c r="I458" i="1" s="1"/>
  <c r="J458" i="1" s="1"/>
  <c r="K458" i="1" s="1"/>
  <c r="H459" i="1"/>
  <c r="I459" i="1" s="1"/>
  <c r="J459" i="1" s="1"/>
  <c r="H460" i="1"/>
  <c r="I460" i="1" s="1"/>
  <c r="J460" i="1" s="1"/>
  <c r="K460" i="1" s="1"/>
  <c r="H461" i="1"/>
  <c r="H462" i="1"/>
  <c r="H463" i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J470" i="1" s="1"/>
  <c r="K470" i="1" s="1"/>
  <c r="H471" i="1"/>
  <c r="I471" i="1" s="1"/>
  <c r="H472" i="1"/>
  <c r="I472" i="1" s="1"/>
  <c r="J472" i="1" s="1"/>
  <c r="K472" i="1" s="1"/>
  <c r="H473" i="1"/>
  <c r="H474" i="1"/>
  <c r="H475" i="1"/>
  <c r="I475" i="1" s="1"/>
  <c r="J475" i="1" s="1"/>
  <c r="K475" i="1" s="1"/>
  <c r="H476" i="1"/>
  <c r="I476" i="1" s="1"/>
  <c r="J476" i="1" s="1"/>
  <c r="K476" i="1" s="1"/>
  <c r="H477" i="1"/>
  <c r="H478" i="1"/>
  <c r="H479" i="1"/>
  <c r="H480" i="1"/>
  <c r="H481" i="1"/>
  <c r="H482" i="1"/>
  <c r="H483" i="1"/>
  <c r="I483" i="1" s="1"/>
  <c r="J483" i="1" s="1"/>
  <c r="K483" i="1" s="1"/>
  <c r="H484" i="1"/>
  <c r="I484" i="1" s="1"/>
  <c r="J484" i="1" s="1"/>
  <c r="K484" i="1" s="1"/>
  <c r="H485" i="1"/>
  <c r="I485" i="1" s="1"/>
  <c r="J485" i="1" s="1"/>
  <c r="K485" i="1" s="1"/>
  <c r="H486" i="1"/>
  <c r="I486" i="1" s="1"/>
  <c r="J486" i="1" s="1"/>
  <c r="K486" i="1" s="1"/>
  <c r="H487" i="1"/>
  <c r="I487" i="1" s="1"/>
  <c r="J487" i="1" s="1"/>
  <c r="H488" i="1"/>
  <c r="I488" i="1" s="1"/>
  <c r="J488" i="1" s="1"/>
  <c r="K488" i="1" s="1"/>
  <c r="H489" i="1"/>
  <c r="I489" i="1" s="1"/>
  <c r="J489" i="1" s="1"/>
  <c r="K489" i="1" s="1"/>
  <c r="H490" i="1"/>
  <c r="I490" i="1" s="1"/>
  <c r="J490" i="1" s="1"/>
  <c r="K490" i="1" s="1"/>
  <c r="H491" i="1"/>
  <c r="I491" i="1" s="1"/>
  <c r="J491" i="1" s="1"/>
  <c r="K491" i="1" s="1"/>
  <c r="H492" i="1"/>
  <c r="I492" i="1" s="1"/>
  <c r="J492" i="1" s="1"/>
  <c r="K492" i="1" s="1"/>
  <c r="H493" i="1"/>
  <c r="H494" i="1"/>
  <c r="H495" i="1"/>
  <c r="I495" i="1" s="1"/>
  <c r="J495" i="1" s="1"/>
  <c r="K495" i="1" s="1"/>
  <c r="H496" i="1"/>
  <c r="H497" i="1"/>
  <c r="I497" i="1" s="1"/>
  <c r="J497" i="1" s="1"/>
  <c r="K497" i="1" s="1"/>
  <c r="H498" i="1"/>
  <c r="H499" i="1"/>
  <c r="H500" i="1"/>
  <c r="H501" i="1"/>
  <c r="H502" i="1"/>
  <c r="I502" i="1" s="1"/>
  <c r="H503" i="1"/>
  <c r="I503" i="1" s="1"/>
  <c r="J503" i="1" s="1"/>
  <c r="K503" i="1" s="1"/>
  <c r="H504" i="1"/>
  <c r="I504" i="1" s="1"/>
  <c r="J504" i="1" s="1"/>
  <c r="K504" i="1" s="1"/>
  <c r="H505" i="1"/>
  <c r="H506" i="1"/>
  <c r="H507" i="1"/>
  <c r="I507" i="1" s="1"/>
  <c r="J507" i="1" s="1"/>
  <c r="K507" i="1" s="1"/>
  <c r="H508" i="1"/>
  <c r="I508" i="1" s="1"/>
  <c r="J508" i="1" s="1"/>
  <c r="K508" i="1" s="1"/>
  <c r="H509" i="1"/>
  <c r="I509" i="1" s="1"/>
  <c r="J509" i="1" s="1"/>
  <c r="K509" i="1" s="1"/>
  <c r="H510" i="1"/>
  <c r="I510" i="1" s="1"/>
  <c r="J510" i="1" s="1"/>
  <c r="K510" i="1" s="1"/>
  <c r="H511" i="1"/>
  <c r="H512" i="1"/>
  <c r="H513" i="1"/>
  <c r="I513" i="1" s="1"/>
  <c r="H514" i="1"/>
  <c r="I514" i="1" s="1"/>
  <c r="J514" i="1" s="1"/>
  <c r="K514" i="1" s="1"/>
  <c r="H515" i="1"/>
  <c r="H516" i="1"/>
  <c r="H517" i="1"/>
  <c r="I517" i="1" s="1"/>
  <c r="J517" i="1" s="1"/>
  <c r="K517" i="1" s="1"/>
  <c r="H518" i="1"/>
  <c r="I518" i="1" s="1"/>
  <c r="J518" i="1" s="1"/>
  <c r="K518" i="1" s="1"/>
  <c r="H519" i="1"/>
  <c r="I519" i="1" s="1"/>
  <c r="H520" i="1"/>
  <c r="I520" i="1" s="1"/>
  <c r="J520" i="1" s="1"/>
  <c r="K520" i="1" s="1"/>
  <c r="H521" i="1"/>
  <c r="H522" i="1"/>
  <c r="I522" i="1" s="1"/>
  <c r="J522" i="1" s="1"/>
  <c r="K522" i="1" s="1"/>
  <c r="H523" i="1"/>
  <c r="I523" i="1" s="1"/>
  <c r="J523" i="1" s="1"/>
  <c r="K523" i="1" s="1"/>
  <c r="H524" i="1"/>
  <c r="I524" i="1" s="1"/>
  <c r="J524" i="1" s="1"/>
  <c r="K524" i="1" s="1"/>
  <c r="H525" i="1"/>
  <c r="H526" i="1"/>
  <c r="H527" i="1"/>
  <c r="H528" i="1"/>
  <c r="I528" i="1" s="1"/>
  <c r="H529" i="1"/>
  <c r="I529" i="1" s="1"/>
  <c r="J529" i="1" s="1"/>
  <c r="H530" i="1"/>
  <c r="I530" i="1" s="1"/>
  <c r="J530" i="1" s="1"/>
  <c r="K530" i="1" s="1"/>
  <c r="H531" i="1"/>
  <c r="H532" i="1"/>
  <c r="H533" i="1"/>
  <c r="H534" i="1"/>
  <c r="H535" i="1"/>
  <c r="I535" i="1" s="1"/>
  <c r="J535" i="1" s="1"/>
  <c r="K535" i="1" s="1"/>
  <c r="H536" i="1"/>
  <c r="I536" i="1" s="1"/>
  <c r="J536" i="1" s="1"/>
  <c r="H537" i="1"/>
  <c r="H538" i="1"/>
  <c r="I538" i="1" s="1"/>
  <c r="H539" i="1"/>
  <c r="I539" i="1" s="1"/>
  <c r="H540" i="1"/>
  <c r="I540" i="1" s="1"/>
  <c r="J540" i="1" s="1"/>
  <c r="K540" i="1" s="1"/>
  <c r="H541" i="1"/>
  <c r="H542" i="1"/>
  <c r="H543" i="1"/>
  <c r="I543" i="1" s="1"/>
  <c r="H544" i="1"/>
  <c r="I544" i="1" s="1"/>
  <c r="J544" i="1" s="1"/>
  <c r="K544" i="1" s="1"/>
  <c r="H545" i="1"/>
  <c r="I545" i="1" s="1"/>
  <c r="H546" i="1"/>
  <c r="I546" i="1" s="1"/>
  <c r="J546" i="1" s="1"/>
  <c r="K546" i="1" s="1"/>
  <c r="H547" i="1"/>
  <c r="I547" i="1" s="1"/>
  <c r="J547" i="1" s="1"/>
  <c r="K547" i="1" s="1"/>
  <c r="H548" i="1"/>
  <c r="I548" i="1" s="1"/>
  <c r="J548" i="1" s="1"/>
  <c r="K548" i="1" s="1"/>
  <c r="H549" i="1"/>
  <c r="H550" i="1"/>
  <c r="H551" i="1"/>
  <c r="I551" i="1" s="1"/>
  <c r="J551" i="1" s="1"/>
  <c r="K551" i="1" s="1"/>
  <c r="H552" i="1"/>
  <c r="H553" i="1"/>
  <c r="H554" i="1"/>
  <c r="I554" i="1" s="1"/>
  <c r="J554" i="1" s="1"/>
  <c r="K554" i="1" s="1"/>
  <c r="H555" i="1"/>
  <c r="I555" i="1" s="1"/>
  <c r="J555" i="1" s="1"/>
  <c r="K555" i="1" s="1"/>
  <c r="H556" i="1"/>
  <c r="I556" i="1" s="1"/>
  <c r="J556" i="1" s="1"/>
  <c r="K556" i="1" s="1"/>
  <c r="H557" i="1"/>
  <c r="H558" i="1"/>
  <c r="H559" i="1"/>
  <c r="H560" i="1"/>
  <c r="I560" i="1" s="1"/>
  <c r="J560" i="1" s="1"/>
  <c r="K560" i="1" s="1"/>
  <c r="H561" i="1"/>
  <c r="I561" i="1" s="1"/>
  <c r="J561" i="1" s="1"/>
  <c r="K561" i="1" s="1"/>
  <c r="H562" i="1"/>
  <c r="I562" i="1" s="1"/>
  <c r="J562" i="1" s="1"/>
  <c r="K562" i="1" s="1"/>
  <c r="H563" i="1"/>
  <c r="H564" i="1"/>
  <c r="H565" i="1"/>
  <c r="I565" i="1" s="1"/>
  <c r="J565" i="1" s="1"/>
  <c r="K565" i="1" s="1"/>
  <c r="H566" i="1"/>
  <c r="I566" i="1" s="1"/>
  <c r="H567" i="1"/>
  <c r="I567" i="1" s="1"/>
  <c r="H568" i="1"/>
  <c r="I568" i="1" s="1"/>
  <c r="J568" i="1" s="1"/>
  <c r="K568" i="1" s="1"/>
  <c r="H569" i="1"/>
  <c r="H570" i="1"/>
  <c r="I570" i="1" s="1"/>
  <c r="J570" i="1" s="1"/>
  <c r="K570" i="1" s="1"/>
  <c r="H571" i="1"/>
  <c r="I571" i="1" s="1"/>
  <c r="J571" i="1" s="1"/>
  <c r="K571" i="1" s="1"/>
  <c r="H572" i="1"/>
  <c r="I572" i="1" s="1"/>
  <c r="J572" i="1" s="1"/>
  <c r="H573" i="1"/>
  <c r="H574" i="1"/>
  <c r="H575" i="1"/>
  <c r="H576" i="1"/>
  <c r="H577" i="1"/>
  <c r="H578" i="1"/>
  <c r="H579" i="1"/>
  <c r="H580" i="1"/>
  <c r="H581" i="1"/>
  <c r="I581" i="1" s="1"/>
  <c r="J581" i="1" s="1"/>
  <c r="K581" i="1" s="1"/>
  <c r="H582" i="1"/>
  <c r="H583" i="1"/>
  <c r="I583" i="1" s="1"/>
  <c r="H584" i="1"/>
  <c r="I584" i="1" s="1"/>
  <c r="J584" i="1" s="1"/>
  <c r="K584" i="1" s="1"/>
  <c r="H585" i="1"/>
  <c r="H586" i="1"/>
  <c r="I586" i="1" s="1"/>
  <c r="J586" i="1" s="1"/>
  <c r="K586" i="1" s="1"/>
  <c r="H587" i="1"/>
  <c r="I587" i="1" s="1"/>
  <c r="J587" i="1" s="1"/>
  <c r="K587" i="1" s="1"/>
  <c r="H588" i="1"/>
  <c r="I588" i="1" s="1"/>
  <c r="J588" i="1" s="1"/>
  <c r="K588" i="1" s="1"/>
  <c r="H589" i="1"/>
  <c r="I589" i="1" s="1"/>
  <c r="J589" i="1" s="1"/>
  <c r="K589" i="1" s="1"/>
  <c r="H590" i="1"/>
  <c r="H591" i="1"/>
  <c r="H592" i="1"/>
  <c r="I592" i="1" s="1"/>
  <c r="J592" i="1" s="1"/>
  <c r="K592" i="1" s="1"/>
  <c r="H593" i="1"/>
  <c r="I593" i="1" s="1"/>
  <c r="J593" i="1" s="1"/>
  <c r="H594" i="1"/>
  <c r="I594" i="1" s="1"/>
  <c r="J594" i="1" s="1"/>
  <c r="K594" i="1" s="1"/>
  <c r="H595" i="1"/>
  <c r="H596" i="1"/>
  <c r="H597" i="1"/>
  <c r="H598" i="1"/>
  <c r="H599" i="1"/>
  <c r="I599" i="1" s="1"/>
  <c r="J599" i="1" s="1"/>
  <c r="K599" i="1" s="1"/>
  <c r="H600" i="1"/>
  <c r="I600" i="1" s="1"/>
  <c r="J600" i="1" s="1"/>
  <c r="K600" i="1" s="1"/>
  <c r="H601" i="1"/>
  <c r="I601" i="1" s="1"/>
  <c r="H602" i="1"/>
  <c r="I602" i="1" s="1"/>
  <c r="J602" i="1" s="1"/>
  <c r="K602" i="1" s="1"/>
  <c r="H603" i="1"/>
  <c r="I603" i="1" s="1"/>
  <c r="J603" i="1" s="1"/>
  <c r="K603" i="1" s="1"/>
  <c r="H604" i="1"/>
  <c r="I604" i="1" s="1"/>
  <c r="J604" i="1" s="1"/>
  <c r="K604" i="1" s="1"/>
  <c r="H605" i="1"/>
  <c r="H606" i="1"/>
  <c r="H607" i="1"/>
  <c r="I607" i="1" s="1"/>
  <c r="H608" i="1"/>
  <c r="I608" i="1" s="1"/>
  <c r="H609" i="1"/>
  <c r="H610" i="1"/>
  <c r="I610" i="1" s="1"/>
  <c r="J610" i="1" s="1"/>
  <c r="K610" i="1" s="1"/>
  <c r="H611" i="1"/>
  <c r="H612" i="1"/>
  <c r="H613" i="1"/>
  <c r="H614" i="1"/>
  <c r="I614" i="1" s="1"/>
  <c r="J614" i="1" s="1"/>
  <c r="K614" i="1" s="1"/>
  <c r="H615" i="1"/>
  <c r="I615" i="1" s="1"/>
  <c r="J615" i="1" s="1"/>
  <c r="K615" i="1" s="1"/>
  <c r="H616" i="1"/>
  <c r="I616" i="1" s="1"/>
  <c r="J616" i="1" s="1"/>
  <c r="K616" i="1" s="1"/>
  <c r="H617" i="1"/>
  <c r="H618" i="1"/>
  <c r="I618" i="1" s="1"/>
  <c r="J618" i="1" s="1"/>
  <c r="K618" i="1" s="1"/>
  <c r="H619" i="1"/>
  <c r="I619" i="1" s="1"/>
  <c r="J619" i="1" s="1"/>
  <c r="K619" i="1" s="1"/>
  <c r="H620" i="1"/>
  <c r="I620" i="1" s="1"/>
  <c r="J620" i="1" s="1"/>
  <c r="K620" i="1" s="1"/>
  <c r="H621" i="1"/>
  <c r="H622" i="1"/>
  <c r="I622" i="1" s="1"/>
  <c r="J622" i="1" s="1"/>
  <c r="K622" i="1" s="1"/>
  <c r="H623" i="1"/>
  <c r="H624" i="1"/>
  <c r="H625" i="1"/>
  <c r="H626" i="1"/>
  <c r="I626" i="1" s="1"/>
  <c r="J626" i="1" s="1"/>
  <c r="K626" i="1" s="1"/>
  <c r="H627" i="1"/>
  <c r="I627" i="1" s="1"/>
  <c r="J627" i="1" s="1"/>
  <c r="H628" i="1"/>
  <c r="H629" i="1"/>
  <c r="H630" i="1"/>
  <c r="H631" i="1"/>
  <c r="I631" i="1" s="1"/>
  <c r="J631" i="1" s="1"/>
  <c r="H632" i="1"/>
  <c r="I632" i="1" s="1"/>
  <c r="J632" i="1" s="1"/>
  <c r="K632" i="1" s="1"/>
  <c r="H633" i="1"/>
  <c r="H634" i="1"/>
  <c r="I634" i="1" s="1"/>
  <c r="J634" i="1" s="1"/>
  <c r="K634" i="1" s="1"/>
  <c r="H635" i="1"/>
  <c r="I635" i="1" s="1"/>
  <c r="J635" i="1" s="1"/>
  <c r="K635" i="1" s="1"/>
  <c r="H636" i="1"/>
  <c r="I636" i="1" s="1"/>
  <c r="J636" i="1" s="1"/>
  <c r="K636" i="1" s="1"/>
  <c r="H637" i="1"/>
  <c r="H638" i="1"/>
  <c r="H639" i="1"/>
  <c r="I639" i="1" s="1"/>
  <c r="J639" i="1" s="1"/>
  <c r="K639" i="1" s="1"/>
  <c r="H640" i="1"/>
  <c r="I640" i="1" s="1"/>
  <c r="J640" i="1" s="1"/>
  <c r="K640" i="1" s="1"/>
  <c r="H641" i="1"/>
  <c r="I641" i="1" s="1"/>
  <c r="H642" i="1"/>
  <c r="I642" i="1" s="1"/>
  <c r="H643" i="1"/>
  <c r="H644" i="1"/>
  <c r="H645" i="1"/>
  <c r="I645" i="1" s="1"/>
  <c r="J645" i="1" s="1"/>
  <c r="K645" i="1" s="1"/>
  <c r="H646" i="1"/>
  <c r="I646" i="1" s="1"/>
  <c r="H647" i="1"/>
  <c r="I647" i="1" s="1"/>
  <c r="J647" i="1" s="1"/>
  <c r="K647" i="1" s="1"/>
  <c r="H648" i="1"/>
  <c r="H649" i="1"/>
  <c r="H650" i="1"/>
  <c r="H651" i="1"/>
  <c r="I651" i="1" s="1"/>
  <c r="J651" i="1" s="1"/>
  <c r="K651" i="1" s="1"/>
  <c r="H652" i="1"/>
  <c r="I652" i="1" s="1"/>
  <c r="J652" i="1" s="1"/>
  <c r="K652" i="1" s="1"/>
  <c r="H653" i="1"/>
  <c r="H654" i="1"/>
  <c r="H655" i="1"/>
  <c r="H656" i="1"/>
  <c r="H657" i="1"/>
  <c r="I657" i="1" s="1"/>
  <c r="J657" i="1" s="1"/>
  <c r="K657" i="1" s="1"/>
  <c r="H658" i="1"/>
  <c r="I658" i="1" s="1"/>
  <c r="J658" i="1" s="1"/>
  <c r="K658" i="1" s="1"/>
  <c r="H659" i="1"/>
  <c r="H660" i="1"/>
  <c r="I660" i="1" s="1"/>
  <c r="H661" i="1"/>
  <c r="H662" i="1"/>
  <c r="I662" i="1" s="1"/>
  <c r="J662" i="1" s="1"/>
  <c r="K662" i="1" s="1"/>
  <c r="H663" i="1"/>
  <c r="I663" i="1" s="1"/>
  <c r="J663" i="1" s="1"/>
  <c r="K663" i="1" s="1"/>
  <c r="H664" i="1"/>
  <c r="I664" i="1" s="1"/>
  <c r="J664" i="1" s="1"/>
  <c r="K664" i="1" s="1"/>
  <c r="H665" i="1"/>
  <c r="I665" i="1" s="1"/>
  <c r="J665" i="1" s="1"/>
  <c r="K665" i="1" s="1"/>
  <c r="H666" i="1"/>
  <c r="I666" i="1" s="1"/>
  <c r="J666" i="1" s="1"/>
  <c r="K666" i="1" s="1"/>
  <c r="H667" i="1"/>
  <c r="I667" i="1" s="1"/>
  <c r="J667" i="1" s="1"/>
  <c r="K667" i="1" s="1"/>
  <c r="H668" i="1"/>
  <c r="I668" i="1" s="1"/>
  <c r="J668" i="1" s="1"/>
  <c r="K668" i="1" s="1"/>
  <c r="H669" i="1"/>
  <c r="H670" i="1"/>
  <c r="H671" i="1"/>
  <c r="H672" i="1"/>
  <c r="H673" i="1"/>
  <c r="H674" i="1"/>
  <c r="H675" i="1"/>
  <c r="H676" i="1"/>
  <c r="H677" i="1"/>
  <c r="H678" i="1"/>
  <c r="H679" i="1"/>
  <c r="I679" i="1" s="1"/>
  <c r="J679" i="1" s="1"/>
  <c r="K679" i="1" s="1"/>
  <c r="H680" i="1"/>
  <c r="I680" i="1" s="1"/>
  <c r="J680" i="1" s="1"/>
  <c r="K680" i="1" s="1"/>
  <c r="H681" i="1"/>
  <c r="H682" i="1"/>
  <c r="I682" i="1" s="1"/>
  <c r="J682" i="1" s="1"/>
  <c r="K682" i="1" s="1"/>
  <c r="H683" i="1"/>
  <c r="I683" i="1" s="1"/>
  <c r="J683" i="1" s="1"/>
  <c r="K683" i="1" s="1"/>
  <c r="H684" i="1"/>
  <c r="I684" i="1" s="1"/>
  <c r="J684" i="1" s="1"/>
  <c r="K684" i="1" s="1"/>
  <c r="H685" i="1"/>
  <c r="H686" i="1"/>
  <c r="I686" i="1" s="1"/>
  <c r="J686" i="1" s="1"/>
  <c r="K686" i="1" s="1"/>
  <c r="H687" i="1"/>
  <c r="I687" i="1" s="1"/>
  <c r="H688" i="1"/>
  <c r="H689" i="1"/>
  <c r="I689" i="1" s="1"/>
  <c r="J689" i="1" s="1"/>
  <c r="K689" i="1" s="1"/>
  <c r="H690" i="1"/>
  <c r="I690" i="1" s="1"/>
  <c r="J690" i="1" s="1"/>
  <c r="K690" i="1" s="1"/>
  <c r="H691" i="1"/>
  <c r="H692" i="1"/>
  <c r="H693" i="1"/>
  <c r="H694" i="1"/>
  <c r="H695" i="1"/>
  <c r="I695" i="1" s="1"/>
  <c r="J695" i="1" s="1"/>
  <c r="K695" i="1" s="1"/>
  <c r="H696" i="1"/>
  <c r="I696" i="1" s="1"/>
  <c r="J696" i="1" s="1"/>
  <c r="K696" i="1" s="1"/>
  <c r="H697" i="1"/>
  <c r="H698" i="1"/>
  <c r="I698" i="1" s="1"/>
  <c r="J698" i="1" s="1"/>
  <c r="K698" i="1" s="1"/>
  <c r="H699" i="1"/>
  <c r="I699" i="1" s="1"/>
  <c r="J699" i="1" s="1"/>
  <c r="K699" i="1" s="1"/>
  <c r="H700" i="1"/>
  <c r="I700" i="1" s="1"/>
  <c r="J700" i="1" s="1"/>
  <c r="K700" i="1" s="1"/>
  <c r="H701" i="1"/>
  <c r="I701" i="1" s="1"/>
  <c r="J701" i="1" s="1"/>
  <c r="K701" i="1" s="1"/>
  <c r="H702" i="1"/>
  <c r="H703" i="1"/>
  <c r="H704" i="1"/>
  <c r="H705" i="1"/>
  <c r="I705" i="1" s="1"/>
  <c r="H706" i="1"/>
  <c r="I706" i="1" s="1"/>
  <c r="H707" i="1"/>
  <c r="I707" i="1" s="1"/>
  <c r="J707" i="1" s="1"/>
  <c r="K707" i="1" s="1"/>
  <c r="H708" i="1"/>
  <c r="H709" i="1"/>
  <c r="H710" i="1"/>
  <c r="H711" i="1"/>
  <c r="I711" i="1" s="1"/>
  <c r="H712" i="1"/>
  <c r="I712" i="1" s="1"/>
  <c r="J712" i="1" s="1"/>
  <c r="K712" i="1" s="1"/>
  <c r="H713" i="1"/>
  <c r="H714" i="1"/>
  <c r="I714" i="1" s="1"/>
  <c r="J714" i="1" s="1"/>
  <c r="K714" i="1" s="1"/>
  <c r="H715" i="1"/>
  <c r="I715" i="1" s="1"/>
  <c r="J715" i="1" s="1"/>
  <c r="K715" i="1" s="1"/>
  <c r="H716" i="1"/>
  <c r="I716" i="1" s="1"/>
  <c r="J716" i="1" s="1"/>
  <c r="K716" i="1" s="1"/>
  <c r="H717" i="1"/>
  <c r="H718" i="1"/>
  <c r="H719" i="1"/>
  <c r="H720" i="1"/>
  <c r="I720" i="1" s="1"/>
  <c r="J720" i="1" s="1"/>
  <c r="K720" i="1" s="1"/>
  <c r="H721" i="1"/>
  <c r="H722" i="1"/>
  <c r="I722" i="1" s="1"/>
  <c r="J722" i="1" s="1"/>
  <c r="K722" i="1" s="1"/>
  <c r="H723" i="1"/>
  <c r="H724" i="1"/>
  <c r="I724" i="1" s="1"/>
  <c r="H725" i="1"/>
  <c r="I725" i="1" s="1"/>
  <c r="J725" i="1" s="1"/>
  <c r="K725" i="1" s="1"/>
  <c r="H726" i="1"/>
  <c r="H727" i="1"/>
  <c r="I727" i="1" s="1"/>
  <c r="H728" i="1"/>
  <c r="H729" i="1"/>
  <c r="H730" i="1"/>
  <c r="I730" i="1" s="1"/>
  <c r="J730" i="1" s="1"/>
  <c r="H731" i="1"/>
  <c r="I731" i="1" s="1"/>
  <c r="J731" i="1" s="1"/>
  <c r="H732" i="1"/>
  <c r="I732" i="1" s="1"/>
  <c r="J732" i="1" s="1"/>
  <c r="H733" i="1"/>
  <c r="H734" i="1"/>
  <c r="H735" i="1"/>
  <c r="H736" i="1"/>
  <c r="I736" i="1" s="1"/>
  <c r="J736" i="1" s="1"/>
  <c r="K736" i="1" s="1"/>
  <c r="H737" i="1"/>
  <c r="I737" i="1" s="1"/>
  <c r="J737" i="1" s="1"/>
  <c r="K737" i="1" s="1"/>
  <c r="H738" i="1"/>
  <c r="I738" i="1" s="1"/>
  <c r="J738" i="1" s="1"/>
  <c r="K738" i="1" s="1"/>
  <c r="H739" i="1"/>
  <c r="I739" i="1" s="1"/>
  <c r="J739" i="1" s="1"/>
  <c r="K739" i="1" s="1"/>
  <c r="H740" i="1"/>
  <c r="H741" i="1"/>
  <c r="H742" i="1"/>
  <c r="H743" i="1"/>
  <c r="I743" i="1" s="1"/>
  <c r="J743" i="1" s="1"/>
  <c r="K743" i="1" s="1"/>
  <c r="H744" i="1"/>
  <c r="I744" i="1" s="1"/>
  <c r="J744" i="1" s="1"/>
  <c r="K744" i="1" s="1"/>
  <c r="H745" i="1"/>
  <c r="I745" i="1" s="1"/>
  <c r="J745" i="1" s="1"/>
  <c r="K745" i="1" s="1"/>
  <c r="H746" i="1"/>
  <c r="I746" i="1" s="1"/>
  <c r="J746" i="1" s="1"/>
  <c r="K746" i="1" s="1"/>
  <c r="H747" i="1"/>
  <c r="I747" i="1" s="1"/>
  <c r="J747" i="1" s="1"/>
  <c r="K747" i="1" s="1"/>
  <c r="H748" i="1"/>
  <c r="I748" i="1" s="1"/>
  <c r="J748" i="1" s="1"/>
  <c r="K748" i="1" s="1"/>
  <c r="H749" i="1"/>
  <c r="H750" i="1"/>
  <c r="H751" i="1"/>
  <c r="H752" i="1"/>
  <c r="H753" i="1"/>
  <c r="H754" i="1"/>
  <c r="I754" i="1" s="1"/>
  <c r="H755" i="1"/>
  <c r="H756" i="1"/>
  <c r="H757" i="1"/>
  <c r="H758" i="1"/>
  <c r="I758" i="1" s="1"/>
  <c r="J758" i="1" s="1"/>
  <c r="K758" i="1" s="1"/>
  <c r="H759" i="1"/>
  <c r="I759" i="1" s="1"/>
  <c r="J759" i="1" s="1"/>
  <c r="K759" i="1" s="1"/>
  <c r="H760" i="1"/>
  <c r="I760" i="1" s="1"/>
  <c r="J760" i="1" s="1"/>
  <c r="K760" i="1" s="1"/>
  <c r="H761" i="1"/>
  <c r="H762" i="1"/>
  <c r="I762" i="1" s="1"/>
  <c r="J762" i="1" s="1"/>
  <c r="K762" i="1" s="1"/>
  <c r="H763" i="1"/>
  <c r="I763" i="1" s="1"/>
  <c r="J763" i="1" s="1"/>
  <c r="K763" i="1" s="1"/>
  <c r="H764" i="1"/>
  <c r="I764" i="1" s="1"/>
  <c r="J764" i="1" s="1"/>
  <c r="K764" i="1" s="1"/>
  <c r="H765" i="1"/>
  <c r="I765" i="1" s="1"/>
  <c r="J765" i="1" s="1"/>
  <c r="K765" i="1" s="1"/>
  <c r="H766" i="1"/>
  <c r="I766" i="1" s="1"/>
  <c r="J766" i="1" s="1"/>
  <c r="K766" i="1" s="1"/>
  <c r="H767" i="1"/>
  <c r="H768" i="1"/>
  <c r="H769" i="1"/>
  <c r="H770" i="1"/>
  <c r="H771" i="1"/>
  <c r="H772" i="1"/>
  <c r="H773" i="1"/>
  <c r="H774" i="1"/>
  <c r="H775" i="1"/>
  <c r="I775" i="1" s="1"/>
  <c r="H776" i="1"/>
  <c r="H777" i="1"/>
  <c r="H778" i="1"/>
  <c r="I778" i="1" s="1"/>
  <c r="J778" i="1" s="1"/>
  <c r="K778" i="1" s="1"/>
  <c r="H779" i="1"/>
  <c r="I779" i="1" s="1"/>
  <c r="J779" i="1" s="1"/>
  <c r="K779" i="1" s="1"/>
  <c r="H780" i="1"/>
  <c r="I780" i="1" s="1"/>
  <c r="J780" i="1" s="1"/>
  <c r="K780" i="1" s="1"/>
  <c r="H781" i="1"/>
  <c r="H782" i="1"/>
  <c r="H783" i="1"/>
  <c r="H784" i="1"/>
  <c r="I784" i="1" s="1"/>
  <c r="J784" i="1" s="1"/>
  <c r="K784" i="1" s="1"/>
  <c r="H785" i="1"/>
  <c r="I785" i="1" s="1"/>
  <c r="J785" i="1" s="1"/>
  <c r="K785" i="1" s="1"/>
  <c r="H786" i="1"/>
  <c r="I786" i="1" s="1"/>
  <c r="J786" i="1" s="1"/>
  <c r="K786" i="1" s="1"/>
  <c r="H787" i="1"/>
  <c r="I787" i="1" s="1"/>
  <c r="J787" i="1" s="1"/>
  <c r="K787" i="1" s="1"/>
  <c r="H788" i="1"/>
  <c r="H789" i="1"/>
  <c r="H790" i="1"/>
  <c r="H791" i="1"/>
  <c r="I791" i="1" s="1"/>
  <c r="J791" i="1" s="1"/>
  <c r="K791" i="1" s="1"/>
  <c r="H792" i="1"/>
  <c r="H793" i="1"/>
  <c r="H794" i="1"/>
  <c r="H795" i="1"/>
  <c r="I795" i="1" s="1"/>
  <c r="J795" i="1" s="1"/>
  <c r="K795" i="1" s="1"/>
  <c r="H796" i="1"/>
  <c r="I796" i="1" s="1"/>
  <c r="J796" i="1" s="1"/>
  <c r="K796" i="1" s="1"/>
  <c r="H797" i="1"/>
  <c r="H798" i="1"/>
  <c r="H799" i="1"/>
  <c r="I799" i="1" s="1"/>
  <c r="J799" i="1" s="1"/>
  <c r="H800" i="1"/>
  <c r="H801" i="1"/>
  <c r="H802" i="1"/>
  <c r="I802" i="1" s="1"/>
  <c r="H803" i="1"/>
  <c r="I803" i="1" s="1"/>
  <c r="J803" i="1" s="1"/>
  <c r="H804" i="1"/>
  <c r="I804" i="1" s="1"/>
  <c r="J804" i="1" s="1"/>
  <c r="K804" i="1" s="1"/>
  <c r="H805" i="1"/>
  <c r="I805" i="1" s="1"/>
  <c r="J805" i="1" s="1"/>
  <c r="H806" i="1"/>
  <c r="I806" i="1" s="1"/>
  <c r="H807" i="1"/>
  <c r="I807" i="1" s="1"/>
  <c r="J807" i="1" s="1"/>
  <c r="K807" i="1" s="1"/>
  <c r="H808" i="1"/>
  <c r="I808" i="1" s="1"/>
  <c r="J808" i="1" s="1"/>
  <c r="K808" i="1" s="1"/>
  <c r="H809" i="1"/>
  <c r="H810" i="1"/>
  <c r="I810" i="1" s="1"/>
  <c r="H811" i="1"/>
  <c r="I811" i="1" s="1"/>
  <c r="J811" i="1" s="1"/>
  <c r="K811" i="1" s="1"/>
  <c r="H812" i="1"/>
  <c r="I812" i="1" s="1"/>
  <c r="J812" i="1" s="1"/>
  <c r="K812" i="1" s="1"/>
  <c r="H813" i="1"/>
  <c r="H814" i="1"/>
  <c r="H815" i="1"/>
  <c r="H816" i="1"/>
  <c r="H817" i="1"/>
  <c r="H818" i="1"/>
  <c r="I818" i="1" s="1"/>
  <c r="J818" i="1" s="1"/>
  <c r="K818" i="1" s="1"/>
  <c r="H819" i="1"/>
  <c r="H820" i="1"/>
  <c r="H821" i="1"/>
  <c r="H822" i="1"/>
  <c r="I822" i="1" s="1"/>
  <c r="J822" i="1" s="1"/>
  <c r="K822" i="1" s="1"/>
  <c r="H823" i="1"/>
  <c r="I823" i="1" s="1"/>
  <c r="J823" i="1" s="1"/>
  <c r="K823" i="1" s="1"/>
  <c r="H824" i="1"/>
  <c r="I824" i="1" s="1"/>
  <c r="J824" i="1" s="1"/>
  <c r="K824" i="1" s="1"/>
  <c r="H825" i="1"/>
  <c r="H826" i="1"/>
  <c r="H827" i="1"/>
  <c r="I827" i="1" s="1"/>
  <c r="J827" i="1" s="1"/>
  <c r="K827" i="1" s="1"/>
  <c r="H828" i="1"/>
  <c r="I828" i="1" s="1"/>
  <c r="J828" i="1" s="1"/>
  <c r="K828" i="1" s="1"/>
  <c r="H829" i="1"/>
  <c r="H830" i="1"/>
  <c r="H831" i="1"/>
  <c r="H832" i="1"/>
  <c r="H833" i="1"/>
  <c r="I833" i="1" s="1"/>
  <c r="H834" i="1"/>
  <c r="I834" i="1" s="1"/>
  <c r="J834" i="1" s="1"/>
  <c r="K834" i="1" s="1"/>
  <c r="H835" i="1"/>
  <c r="H836" i="1"/>
  <c r="H837" i="1"/>
  <c r="I837" i="1" s="1"/>
  <c r="J837" i="1" s="1"/>
  <c r="H838" i="1"/>
  <c r="H839" i="1"/>
  <c r="I839" i="1" s="1"/>
  <c r="J839" i="1" s="1"/>
  <c r="K839" i="1" s="1"/>
  <c r="H840" i="1"/>
  <c r="I840" i="1" s="1"/>
  <c r="J840" i="1" s="1"/>
  <c r="K840" i="1" s="1"/>
  <c r="H841" i="1"/>
  <c r="H842" i="1"/>
  <c r="I842" i="1" s="1"/>
  <c r="J842" i="1" s="1"/>
  <c r="K842" i="1" s="1"/>
  <c r="H843" i="1"/>
  <c r="I843" i="1" s="1"/>
  <c r="J843" i="1" s="1"/>
  <c r="K843" i="1" s="1"/>
  <c r="H844" i="1"/>
  <c r="I844" i="1" s="1"/>
  <c r="J844" i="1" s="1"/>
  <c r="K844" i="1" s="1"/>
  <c r="H845" i="1"/>
  <c r="I845" i="1" s="1"/>
  <c r="J845" i="1" s="1"/>
  <c r="K845" i="1" s="1"/>
  <c r="H846" i="1"/>
  <c r="H847" i="1"/>
  <c r="H848" i="1"/>
  <c r="H849" i="1"/>
  <c r="H850" i="1"/>
  <c r="H851" i="1"/>
  <c r="I851" i="1" s="1"/>
  <c r="J851" i="1" s="1"/>
  <c r="K851" i="1" s="1"/>
  <c r="H852" i="1"/>
  <c r="H853" i="1"/>
  <c r="H854" i="1"/>
  <c r="H855" i="1"/>
  <c r="I855" i="1" s="1"/>
  <c r="J855" i="1" s="1"/>
  <c r="K855" i="1" s="1"/>
  <c r="H856" i="1"/>
  <c r="I856" i="1" s="1"/>
  <c r="H857" i="1"/>
  <c r="I857" i="1" s="1"/>
  <c r="J857" i="1" s="1"/>
  <c r="K857" i="1" s="1"/>
  <c r="H858" i="1"/>
  <c r="I858" i="1" s="1"/>
  <c r="J858" i="1" s="1"/>
  <c r="K858" i="1" s="1"/>
  <c r="H859" i="1"/>
  <c r="I859" i="1" s="1"/>
  <c r="J859" i="1" s="1"/>
  <c r="K859" i="1" s="1"/>
  <c r="H860" i="1"/>
  <c r="I860" i="1" s="1"/>
  <c r="J860" i="1" s="1"/>
  <c r="K860" i="1" s="1"/>
  <c r="H861" i="1"/>
  <c r="H862" i="1"/>
  <c r="H863" i="1"/>
  <c r="I863" i="1" s="1"/>
  <c r="J863" i="1" s="1"/>
  <c r="K863" i="1" s="1"/>
  <c r="H864" i="1"/>
  <c r="I864" i="1" s="1"/>
  <c r="J864" i="1" s="1"/>
  <c r="K864" i="1" s="1"/>
  <c r="H865" i="1"/>
  <c r="H866" i="1"/>
  <c r="I866" i="1" s="1"/>
  <c r="J866" i="1" s="1"/>
  <c r="K866" i="1" s="1"/>
  <c r="H867" i="1"/>
  <c r="H868" i="1"/>
  <c r="H869" i="1"/>
  <c r="H870" i="1"/>
  <c r="H871" i="1"/>
  <c r="I871" i="1" s="1"/>
  <c r="J871" i="1" s="1"/>
  <c r="H872" i="1"/>
  <c r="I872" i="1" s="1"/>
  <c r="J872" i="1" s="1"/>
  <c r="K872" i="1" s="1"/>
  <c r="H873" i="1"/>
  <c r="H874" i="1"/>
  <c r="I874" i="1" s="1"/>
  <c r="J874" i="1" s="1"/>
  <c r="K874" i="1" s="1"/>
  <c r="H875" i="1"/>
  <c r="I875" i="1" s="1"/>
  <c r="J875" i="1" s="1"/>
  <c r="K875" i="1" s="1"/>
  <c r="H876" i="1"/>
  <c r="I876" i="1" s="1"/>
  <c r="J876" i="1" s="1"/>
  <c r="K876" i="1" s="1"/>
  <c r="H877" i="1"/>
  <c r="H878" i="1"/>
  <c r="I878" i="1" s="1"/>
  <c r="J878" i="1" s="1"/>
  <c r="K878" i="1" s="1"/>
  <c r="H879" i="1"/>
  <c r="H880" i="1"/>
  <c r="H881" i="1"/>
  <c r="I881" i="1" s="1"/>
  <c r="J881" i="1" s="1"/>
  <c r="K881" i="1" s="1"/>
  <c r="H882" i="1"/>
  <c r="I882" i="1" s="1"/>
  <c r="J882" i="1" s="1"/>
  <c r="K882" i="1" s="1"/>
  <c r="H883" i="1"/>
  <c r="I883" i="1" s="1"/>
  <c r="J883" i="1" s="1"/>
  <c r="H884" i="1"/>
  <c r="I884" i="1" s="1"/>
  <c r="J884" i="1" s="1"/>
  <c r="H885" i="1"/>
  <c r="I885" i="1" s="1"/>
  <c r="H886" i="1"/>
  <c r="I886" i="1" s="1"/>
  <c r="H887" i="1"/>
  <c r="I887" i="1" s="1"/>
  <c r="J887" i="1" s="1"/>
  <c r="K887" i="1" s="1"/>
  <c r="H888" i="1"/>
  <c r="H889" i="1"/>
  <c r="H890" i="1"/>
  <c r="H891" i="1"/>
  <c r="I891" i="1" s="1"/>
  <c r="J891" i="1" s="1"/>
  <c r="K891" i="1" s="1"/>
  <c r="H892" i="1"/>
  <c r="I892" i="1" s="1"/>
  <c r="J892" i="1" s="1"/>
  <c r="K892" i="1" s="1"/>
  <c r="H893" i="1"/>
  <c r="H894" i="1"/>
  <c r="H895" i="1"/>
  <c r="H896" i="1"/>
  <c r="H897" i="1"/>
  <c r="I897" i="1" s="1"/>
  <c r="J897" i="1" s="1"/>
  <c r="H898" i="1"/>
  <c r="H899" i="1"/>
  <c r="I899" i="1" s="1"/>
  <c r="J899" i="1" s="1"/>
  <c r="K899" i="1" s="1"/>
  <c r="H900" i="1"/>
  <c r="H901" i="1"/>
  <c r="I901" i="1" s="1"/>
  <c r="J901" i="1" s="1"/>
  <c r="H902" i="1"/>
  <c r="I902" i="1" s="1"/>
  <c r="J902" i="1" s="1"/>
  <c r="K902" i="1" s="1"/>
  <c r="H903" i="1"/>
  <c r="I903" i="1" s="1"/>
  <c r="J903" i="1" s="1"/>
  <c r="H904" i="1"/>
  <c r="I904" i="1" s="1"/>
  <c r="J904" i="1" s="1"/>
  <c r="K904" i="1" s="1"/>
  <c r="H905" i="1"/>
  <c r="H906" i="1"/>
  <c r="I906" i="1" s="1"/>
  <c r="J906" i="1" s="1"/>
  <c r="K906" i="1" s="1"/>
  <c r="H907" i="1"/>
  <c r="I907" i="1" s="1"/>
  <c r="J907" i="1" s="1"/>
  <c r="H908" i="1"/>
  <c r="I908" i="1" s="1"/>
  <c r="J908" i="1" s="1"/>
  <c r="K908" i="1" s="1"/>
  <c r="H909" i="1"/>
  <c r="H910" i="1"/>
  <c r="H911" i="1"/>
  <c r="H912" i="1"/>
  <c r="H913" i="1"/>
  <c r="H914" i="1"/>
  <c r="H915" i="1"/>
  <c r="H916" i="1"/>
  <c r="I916" i="1" s="1"/>
  <c r="J916" i="1" s="1"/>
  <c r="H917" i="1"/>
  <c r="H918" i="1"/>
  <c r="H919" i="1"/>
  <c r="I919" i="1" s="1"/>
  <c r="J919" i="1" s="1"/>
  <c r="K919" i="1" s="1"/>
  <c r="H920" i="1"/>
  <c r="H921" i="1"/>
  <c r="I921" i="1" s="1"/>
  <c r="J921" i="1" s="1"/>
  <c r="K921" i="1" s="1"/>
  <c r="H922" i="1"/>
  <c r="I922" i="1" s="1"/>
  <c r="J922" i="1" s="1"/>
  <c r="K922" i="1" s="1"/>
  <c r="H923" i="1"/>
  <c r="I923" i="1" s="1"/>
  <c r="J923" i="1" s="1"/>
  <c r="K923" i="1" s="1"/>
  <c r="H924" i="1"/>
  <c r="I924" i="1" s="1"/>
  <c r="J924" i="1" s="1"/>
  <c r="K924" i="1" s="1"/>
  <c r="H925" i="1"/>
  <c r="H926" i="1"/>
  <c r="H927" i="1"/>
  <c r="H928" i="1"/>
  <c r="H929" i="1"/>
  <c r="H930" i="1"/>
  <c r="I930" i="1" s="1"/>
  <c r="J930" i="1" s="1"/>
  <c r="K930" i="1" s="1"/>
  <c r="H931" i="1"/>
  <c r="I931" i="1" s="1"/>
  <c r="J931" i="1" s="1"/>
  <c r="K931" i="1" s="1"/>
  <c r="H932" i="1"/>
  <c r="H933" i="1"/>
  <c r="H934" i="1"/>
  <c r="H935" i="1"/>
  <c r="I935" i="1" s="1"/>
  <c r="J935" i="1" s="1"/>
  <c r="K935" i="1" s="1"/>
  <c r="H936" i="1"/>
  <c r="I936" i="1" s="1"/>
  <c r="J936" i="1" s="1"/>
  <c r="K936" i="1" s="1"/>
  <c r="H937" i="1"/>
  <c r="H938" i="1"/>
  <c r="I938" i="1" s="1"/>
  <c r="J938" i="1" s="1"/>
  <c r="K938" i="1" s="1"/>
  <c r="H939" i="1"/>
  <c r="I939" i="1" s="1"/>
  <c r="J939" i="1" s="1"/>
  <c r="K939" i="1" s="1"/>
  <c r="H940" i="1"/>
  <c r="I940" i="1" s="1"/>
  <c r="J940" i="1" s="1"/>
  <c r="K940" i="1" s="1"/>
  <c r="H941" i="1"/>
  <c r="H942" i="1"/>
  <c r="I942" i="1" s="1"/>
  <c r="J942" i="1" s="1"/>
  <c r="K942" i="1" s="1"/>
  <c r="H943" i="1"/>
  <c r="I943" i="1" s="1"/>
  <c r="J943" i="1" s="1"/>
  <c r="H944" i="1"/>
  <c r="H945" i="1"/>
  <c r="H946" i="1"/>
  <c r="H947" i="1"/>
  <c r="H948" i="1"/>
  <c r="I948" i="1" s="1"/>
  <c r="H949" i="1"/>
  <c r="I949" i="1" s="1"/>
  <c r="H950" i="1"/>
  <c r="I950" i="1" s="1"/>
  <c r="H951" i="1"/>
  <c r="I951" i="1" s="1"/>
  <c r="J951" i="1" s="1"/>
  <c r="H952" i="1"/>
  <c r="H953" i="1"/>
  <c r="H954" i="1"/>
  <c r="I954" i="1" s="1"/>
  <c r="J954" i="1" s="1"/>
  <c r="K954" i="1" s="1"/>
  <c r="H955" i="1"/>
  <c r="I955" i="1" s="1"/>
  <c r="J955" i="1" s="1"/>
  <c r="H956" i="1"/>
  <c r="I956" i="1" s="1"/>
  <c r="J956" i="1" s="1"/>
  <c r="K956" i="1" s="1"/>
  <c r="H957" i="1"/>
  <c r="I957" i="1" s="1"/>
  <c r="J957" i="1" s="1"/>
  <c r="K957" i="1" s="1"/>
  <c r="H958" i="1"/>
  <c r="H959" i="1"/>
  <c r="H960" i="1"/>
  <c r="H961" i="1"/>
  <c r="I961" i="1" s="1"/>
  <c r="J961" i="1" s="1"/>
  <c r="K961" i="1" s="1"/>
  <c r="H962" i="1"/>
  <c r="I962" i="1" s="1"/>
  <c r="J962" i="1" s="1"/>
  <c r="K962" i="1" s="1"/>
  <c r="H963" i="1"/>
  <c r="H964" i="1"/>
  <c r="H965" i="1"/>
  <c r="H966" i="1"/>
  <c r="H967" i="1"/>
  <c r="I967" i="1" s="1"/>
  <c r="J967" i="1" s="1"/>
  <c r="K967" i="1" s="1"/>
  <c r="H968" i="1"/>
  <c r="I968" i="1" s="1"/>
  <c r="J968" i="1" s="1"/>
  <c r="K968" i="1" s="1"/>
  <c r="H969" i="1"/>
  <c r="H970" i="1"/>
  <c r="I970" i="1" s="1"/>
  <c r="J970" i="1" s="1"/>
  <c r="K970" i="1" s="1"/>
  <c r="H971" i="1"/>
  <c r="I971" i="1" s="1"/>
  <c r="J971" i="1" s="1"/>
  <c r="K971" i="1" s="1"/>
  <c r="H972" i="1"/>
  <c r="I972" i="1" s="1"/>
  <c r="J972" i="1" s="1"/>
  <c r="K972" i="1" s="1"/>
  <c r="H973" i="1"/>
  <c r="H974" i="1"/>
  <c r="H975" i="1"/>
  <c r="H976" i="1"/>
  <c r="I976" i="1" s="1"/>
  <c r="J976" i="1" s="1"/>
  <c r="K976" i="1" s="1"/>
  <c r="H977" i="1"/>
  <c r="H978" i="1"/>
  <c r="I978" i="1" s="1"/>
  <c r="H979" i="1"/>
  <c r="I979" i="1" s="1"/>
  <c r="J979" i="1" s="1"/>
  <c r="K979" i="1" s="1"/>
  <c r="H980" i="1"/>
  <c r="I980" i="1" s="1"/>
  <c r="J980" i="1" s="1"/>
  <c r="H981" i="1"/>
  <c r="I981" i="1" s="1"/>
  <c r="J981" i="1" s="1"/>
  <c r="H982" i="1"/>
  <c r="I982" i="1" s="1"/>
  <c r="J982" i="1" s="1"/>
  <c r="K982" i="1" s="1"/>
  <c r="H983" i="1"/>
  <c r="I983" i="1" s="1"/>
  <c r="J983" i="1" s="1"/>
  <c r="K983" i="1" s="1"/>
  <c r="H984" i="1"/>
  <c r="I984" i="1" s="1"/>
  <c r="J984" i="1" s="1"/>
  <c r="K984" i="1" s="1"/>
  <c r="H985" i="1"/>
  <c r="H986" i="1"/>
  <c r="H987" i="1"/>
  <c r="I987" i="1" s="1"/>
  <c r="J987" i="1" s="1"/>
  <c r="K987" i="1" s="1"/>
  <c r="H988" i="1"/>
  <c r="I988" i="1" s="1"/>
  <c r="J988" i="1" s="1"/>
  <c r="K988" i="1" s="1"/>
  <c r="H989" i="1"/>
  <c r="H990" i="1"/>
  <c r="H991" i="1"/>
  <c r="H992" i="1"/>
  <c r="H993" i="1"/>
  <c r="H994" i="1"/>
  <c r="I994" i="1" s="1"/>
  <c r="J994" i="1" s="1"/>
  <c r="K994" i="1" s="1"/>
  <c r="H995" i="1"/>
  <c r="I995" i="1" s="1"/>
  <c r="J995" i="1" s="1"/>
  <c r="K995" i="1" s="1"/>
  <c r="H996" i="1"/>
  <c r="I996" i="1" s="1"/>
  <c r="J996" i="1" s="1"/>
  <c r="K996" i="1" s="1"/>
  <c r="H997" i="1"/>
  <c r="I997" i="1" s="1"/>
  <c r="H998" i="1"/>
  <c r="I998" i="1" s="1"/>
  <c r="H999" i="1"/>
  <c r="I999" i="1" s="1"/>
  <c r="J999" i="1" s="1"/>
  <c r="H1000" i="1"/>
  <c r="I1000" i="1" s="1"/>
  <c r="J1000" i="1" s="1"/>
  <c r="H1001" i="1"/>
  <c r="I1001" i="1" s="1"/>
  <c r="J1001" i="1" s="1"/>
  <c r="K1001" i="1" s="1"/>
  <c r="H1002" i="1"/>
  <c r="I1002" i="1" s="1"/>
  <c r="J1002" i="1" s="1"/>
  <c r="K1002" i="1" s="1"/>
  <c r="H1003" i="1"/>
  <c r="I1003" i="1" s="1"/>
  <c r="J1003" i="1" s="1"/>
  <c r="K1003" i="1" s="1"/>
  <c r="H1004" i="1"/>
  <c r="I1004" i="1" s="1"/>
  <c r="J1004" i="1" s="1"/>
  <c r="K1004" i="1" s="1"/>
  <c r="H1005" i="1"/>
  <c r="H1006" i="1"/>
  <c r="H1007" i="1"/>
  <c r="H1008" i="1"/>
  <c r="H1009" i="1"/>
  <c r="H1010" i="1"/>
  <c r="H1011" i="1"/>
  <c r="H1012" i="1"/>
  <c r="H1013" i="1"/>
  <c r="H1014" i="1"/>
  <c r="I1014" i="1" s="1"/>
  <c r="J1014" i="1" s="1"/>
  <c r="K1014" i="1" s="1"/>
  <c r="H1015" i="1"/>
  <c r="I1015" i="1" s="1"/>
  <c r="J1015" i="1" s="1"/>
  <c r="K1015" i="1" s="1"/>
  <c r="H1016" i="1"/>
  <c r="I1016" i="1" s="1"/>
  <c r="J1016" i="1" s="1"/>
  <c r="K1016" i="1" s="1"/>
  <c r="H1017" i="1"/>
  <c r="H1018" i="1"/>
  <c r="I1018" i="1" s="1"/>
  <c r="J1018" i="1" s="1"/>
  <c r="K1018" i="1" s="1"/>
  <c r="H1019" i="1"/>
  <c r="I1019" i="1" s="1"/>
  <c r="J1019" i="1" s="1"/>
  <c r="K1019" i="1" s="1"/>
  <c r="H1020" i="1"/>
  <c r="I1020" i="1" s="1"/>
  <c r="J1020" i="1" s="1"/>
  <c r="K1020" i="1" s="1"/>
  <c r="H1021" i="1"/>
  <c r="I1021" i="1" s="1"/>
  <c r="J1021" i="1" s="1"/>
  <c r="K1021" i="1" s="1"/>
  <c r="H1022" i="1"/>
  <c r="I1022" i="1" s="1"/>
  <c r="J1022" i="1" s="1"/>
  <c r="K1022" i="1" s="1"/>
  <c r="H1023" i="1"/>
  <c r="I1023" i="1" s="1"/>
  <c r="J1023" i="1" s="1"/>
  <c r="K1023" i="1" s="1"/>
  <c r="H1024" i="1"/>
  <c r="I1024" i="1" s="1"/>
  <c r="J1024" i="1" s="1"/>
  <c r="K1024" i="1" s="1"/>
  <c r="H1025" i="1"/>
  <c r="I1025" i="1" s="1"/>
  <c r="J1025" i="1" s="1"/>
  <c r="K1025" i="1" s="1"/>
  <c r="H1026" i="1"/>
  <c r="H1027" i="1"/>
  <c r="I1027" i="1" s="1"/>
  <c r="J1027" i="1" s="1"/>
  <c r="K1027" i="1" s="1"/>
  <c r="H1028" i="1"/>
  <c r="I1028" i="1" s="1"/>
  <c r="J1028" i="1" s="1"/>
  <c r="K1028" i="1" s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4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L4" i="1"/>
  <c r="H4" i="1" l="1"/>
  <c r="I4" i="1" s="1"/>
  <c r="J4" i="1" s="1"/>
  <c r="K4" i="1" s="1"/>
  <c r="G4" i="1" l="1"/>
</calcChain>
</file>

<file path=xl/sharedStrings.xml><?xml version="1.0" encoding="utf-8"?>
<sst xmlns="http://schemas.openxmlformats.org/spreadsheetml/2006/main" count="10298" uniqueCount="3474">
  <si>
    <t>First Name</t>
  </si>
  <si>
    <t>Last Name</t>
  </si>
  <si>
    <t>Title</t>
  </si>
  <si>
    <t>Street</t>
  </si>
  <si>
    <t>Town</t>
  </si>
  <si>
    <t>Nanci</t>
  </si>
  <si>
    <t>Camp</t>
  </si>
  <si>
    <t>Mrs</t>
  </si>
  <si>
    <t xml:space="preserve">Berkeley </t>
  </si>
  <si>
    <t>Erlinda</t>
  </si>
  <si>
    <t>Dorsey</t>
  </si>
  <si>
    <t xml:space="preserve">Glossop </t>
  </si>
  <si>
    <t>Albertha</t>
  </si>
  <si>
    <t>Devine</t>
  </si>
  <si>
    <t>Ashbury Place</t>
  </si>
  <si>
    <t xml:space="preserve">Immingham </t>
  </si>
  <si>
    <t>Nathalie</t>
  </si>
  <si>
    <t>Washington</t>
  </si>
  <si>
    <t>Miss</t>
  </si>
  <si>
    <t xml:space="preserve">Broadstone </t>
  </si>
  <si>
    <t>Shonta</t>
  </si>
  <si>
    <t>Hedrick</t>
  </si>
  <si>
    <t>Beechdale Road</t>
  </si>
  <si>
    <t xml:space="preserve">Port Talbot </t>
  </si>
  <si>
    <t>Veronika</t>
  </si>
  <si>
    <t>Lundy</t>
  </si>
  <si>
    <t>Katherine Gardens</t>
  </si>
  <si>
    <t xml:space="preserve">Ardgay </t>
  </si>
  <si>
    <t>Valeria</t>
  </si>
  <si>
    <t>Frost</t>
  </si>
  <si>
    <t xml:space="preserve">Solihull </t>
  </si>
  <si>
    <t>Randa</t>
  </si>
  <si>
    <t>Woods</t>
  </si>
  <si>
    <t xml:space="preserve">Tring </t>
  </si>
  <si>
    <t>Karole</t>
  </si>
  <si>
    <t>Navarro</t>
  </si>
  <si>
    <t>Rhoda Street</t>
  </si>
  <si>
    <t xml:space="preserve">St. Ives </t>
  </si>
  <si>
    <t>Martin</t>
  </si>
  <si>
    <t>Anthony</t>
  </si>
  <si>
    <t>Iceland Road</t>
  </si>
  <si>
    <t xml:space="preserve">Campbeltown </t>
  </si>
  <si>
    <t>Shanae</t>
  </si>
  <si>
    <t>Roland</t>
  </si>
  <si>
    <t>Samels Court</t>
  </si>
  <si>
    <t xml:space="preserve">Newbridge </t>
  </si>
  <si>
    <t>Yen</t>
  </si>
  <si>
    <t>Culver</t>
  </si>
  <si>
    <t>Garratt Green</t>
  </si>
  <si>
    <t>London</t>
  </si>
  <si>
    <t>Monica</t>
  </si>
  <si>
    <t>Doran</t>
  </si>
  <si>
    <t xml:space="preserve">Caldicot </t>
  </si>
  <si>
    <t>Laureen</t>
  </si>
  <si>
    <t>Richards</t>
  </si>
  <si>
    <t>Prof</t>
  </si>
  <si>
    <t>Brackenfield Close</t>
  </si>
  <si>
    <t xml:space="preserve">Broseley </t>
  </si>
  <si>
    <t>Meta</t>
  </si>
  <si>
    <t>Wright</t>
  </si>
  <si>
    <t>Bearstead Rise</t>
  </si>
  <si>
    <t xml:space="preserve">Y Felinheli </t>
  </si>
  <si>
    <t>Bobbye</t>
  </si>
  <si>
    <t>Vasquez</t>
  </si>
  <si>
    <t xml:space="preserve">Trowbridge </t>
  </si>
  <si>
    <t>Emily</t>
  </si>
  <si>
    <t>Butler</t>
  </si>
  <si>
    <t>Telford Close</t>
  </si>
  <si>
    <t xml:space="preserve">Isles Of Scilly </t>
  </si>
  <si>
    <t>Iona</t>
  </si>
  <si>
    <t>Hutchinson</t>
  </si>
  <si>
    <t>Ms</t>
  </si>
  <si>
    <t>Queens Buildings</t>
  </si>
  <si>
    <t xml:space="preserve">Kilmacolm </t>
  </si>
  <si>
    <t>Windy</t>
  </si>
  <si>
    <t>Cabrera</t>
  </si>
  <si>
    <t>Havelock Cottages</t>
  </si>
  <si>
    <t xml:space="preserve">Bridgwater </t>
  </si>
  <si>
    <t>Cherry</t>
  </si>
  <si>
    <t>Walsh</t>
  </si>
  <si>
    <t>Huntingdon Gardens</t>
  </si>
  <si>
    <t>Essex</t>
  </si>
  <si>
    <t>Jaye</t>
  </si>
  <si>
    <t>FARLEY</t>
  </si>
  <si>
    <t>Embankment Gardens</t>
  </si>
  <si>
    <t xml:space="preserve">Badminton </t>
  </si>
  <si>
    <t>Garnet</t>
  </si>
  <si>
    <t>Tipton</t>
  </si>
  <si>
    <t xml:space="preserve">Halesowen </t>
  </si>
  <si>
    <t>Coral</t>
  </si>
  <si>
    <t>Grace</t>
  </si>
  <si>
    <t>Alliance Road</t>
  </si>
  <si>
    <t xml:space="preserve">Kyle </t>
  </si>
  <si>
    <t>Kacy</t>
  </si>
  <si>
    <t>Ragland</t>
  </si>
  <si>
    <t xml:space="preserve">Cradley Heath </t>
  </si>
  <si>
    <t>Riva</t>
  </si>
  <si>
    <t>Crosby</t>
  </si>
  <si>
    <t>Burdett Place</t>
  </si>
  <si>
    <t xml:space="preserve">Frizington </t>
  </si>
  <si>
    <t>Thi</t>
  </si>
  <si>
    <t>Stroud</t>
  </si>
  <si>
    <t xml:space="preserve">Longfield </t>
  </si>
  <si>
    <t>Ji</t>
  </si>
  <si>
    <t>Austin</t>
  </si>
  <si>
    <t>Selhurst Road</t>
  </si>
  <si>
    <t xml:space="preserve">Downham Market </t>
  </si>
  <si>
    <t>Molly</t>
  </si>
  <si>
    <t>MARCUS</t>
  </si>
  <si>
    <t>Lyons Yard</t>
  </si>
  <si>
    <t xml:space="preserve">Lyme Regis </t>
  </si>
  <si>
    <t>Alina</t>
  </si>
  <si>
    <t>Pryor</t>
  </si>
  <si>
    <t>Cornwall</t>
  </si>
  <si>
    <t>Jo</t>
  </si>
  <si>
    <t>Simons</t>
  </si>
  <si>
    <t>Roe Lane</t>
  </si>
  <si>
    <t xml:space="preserve">Pentre </t>
  </si>
  <si>
    <t>Lacy</t>
  </si>
  <si>
    <t>Emerson</t>
  </si>
  <si>
    <t>Beaufort Wharf</t>
  </si>
  <si>
    <t xml:space="preserve">Cirencester </t>
  </si>
  <si>
    <t>Janice</t>
  </si>
  <si>
    <t>Oneal</t>
  </si>
  <si>
    <t>Anns Close</t>
  </si>
  <si>
    <t xml:space="preserve">Ellesmere </t>
  </si>
  <si>
    <t>Donella</t>
  </si>
  <si>
    <t>Fenton</t>
  </si>
  <si>
    <t xml:space="preserve">Newnham </t>
  </si>
  <si>
    <t>Jacinta</t>
  </si>
  <si>
    <t>Blackburn</t>
  </si>
  <si>
    <t>Falkland Place</t>
  </si>
  <si>
    <t xml:space="preserve">Ascot </t>
  </si>
  <si>
    <t>Chasity</t>
  </si>
  <si>
    <t>Mcfadden</t>
  </si>
  <si>
    <t>Margot</t>
  </si>
  <si>
    <t>Akers</t>
  </si>
  <si>
    <t>Roslyn Avenue</t>
  </si>
  <si>
    <t xml:space="preserve">Tidworth </t>
  </si>
  <si>
    <t>Tresa</t>
  </si>
  <si>
    <t>Meza</t>
  </si>
  <si>
    <t>East Mount</t>
  </si>
  <si>
    <t xml:space="preserve">Llandinam </t>
  </si>
  <si>
    <t>Jack</t>
  </si>
  <si>
    <t>Johnston</t>
  </si>
  <si>
    <t xml:space="preserve">Christchurch </t>
  </si>
  <si>
    <t>Kaley</t>
  </si>
  <si>
    <t>Kay</t>
  </si>
  <si>
    <t>Cheshire</t>
  </si>
  <si>
    <t>Shaniqua</t>
  </si>
  <si>
    <t>Baker</t>
  </si>
  <si>
    <t>Claypole Road</t>
  </si>
  <si>
    <t xml:space="preserve">Lancaster </t>
  </si>
  <si>
    <t>Aurora</t>
  </si>
  <si>
    <t>Montgomery</t>
  </si>
  <si>
    <t>Halsbrook Road</t>
  </si>
  <si>
    <t xml:space="preserve">Egremont </t>
  </si>
  <si>
    <t>Carmelita</t>
  </si>
  <si>
    <t>Surname</t>
  </si>
  <si>
    <t>Kevelioc Road</t>
  </si>
  <si>
    <t xml:space="preserve">Llangollen </t>
  </si>
  <si>
    <t>Maude</t>
  </si>
  <si>
    <t>Orozco</t>
  </si>
  <si>
    <t>Crede Cottages</t>
  </si>
  <si>
    <t xml:space="preserve">Cockermouth </t>
  </si>
  <si>
    <t>Beatrice</t>
  </si>
  <si>
    <t>Joseph</t>
  </si>
  <si>
    <t xml:space="preserve">Torquay </t>
  </si>
  <si>
    <t>Julio</t>
  </si>
  <si>
    <t>Barron</t>
  </si>
  <si>
    <t>Haydon Way</t>
  </si>
  <si>
    <t xml:space="preserve">March </t>
  </si>
  <si>
    <t>Nam</t>
  </si>
  <si>
    <t>Cullen</t>
  </si>
  <si>
    <t>Paragon Place</t>
  </si>
  <si>
    <t xml:space="preserve">Fareham </t>
  </si>
  <si>
    <t>Berta</t>
  </si>
  <si>
    <t>Grove</t>
  </si>
  <si>
    <t>Hertfordshire</t>
  </si>
  <si>
    <t>Kandice</t>
  </si>
  <si>
    <t>Guthrie</t>
  </si>
  <si>
    <t>Power Road</t>
  </si>
  <si>
    <t xml:space="preserve">Corsham </t>
  </si>
  <si>
    <t>Genesis</t>
  </si>
  <si>
    <t>Greene</t>
  </si>
  <si>
    <t>Paultons Square</t>
  </si>
  <si>
    <t xml:space="preserve">Billericay </t>
  </si>
  <si>
    <t>Chung</t>
  </si>
  <si>
    <t>Parson</t>
  </si>
  <si>
    <t>Trenchard Street</t>
  </si>
  <si>
    <t>Josefina</t>
  </si>
  <si>
    <t>Hancock</t>
  </si>
  <si>
    <t xml:space="preserve">Henley-In-Arden </t>
  </si>
  <si>
    <t>Pearly</t>
  </si>
  <si>
    <t>Bridson Street</t>
  </si>
  <si>
    <t xml:space="preserve">Oban </t>
  </si>
  <si>
    <t>Earline</t>
  </si>
  <si>
    <t>Hart</t>
  </si>
  <si>
    <t>Bowl Court</t>
  </si>
  <si>
    <t xml:space="preserve">Dalbeattie </t>
  </si>
  <si>
    <t>Fredricka</t>
  </si>
  <si>
    <t>Sadler</t>
  </si>
  <si>
    <t>Lyons Inn</t>
  </si>
  <si>
    <t xml:space="preserve">Builth Wells </t>
  </si>
  <si>
    <t>Dia</t>
  </si>
  <si>
    <t>Finch</t>
  </si>
  <si>
    <t>Gilda</t>
  </si>
  <si>
    <t>Flores</t>
  </si>
  <si>
    <t>Sotheron Road</t>
  </si>
  <si>
    <t xml:space="preserve">Bideford </t>
  </si>
  <si>
    <t>Dannie</t>
  </si>
  <si>
    <t>Darby</t>
  </si>
  <si>
    <t>Old Dover</t>
  </si>
  <si>
    <t xml:space="preserve">Halesworth </t>
  </si>
  <si>
    <t>Philomena</t>
  </si>
  <si>
    <t>Beech Street</t>
  </si>
  <si>
    <t xml:space="preserve">Bungay </t>
  </si>
  <si>
    <t>Lea</t>
  </si>
  <si>
    <t>Perkins</t>
  </si>
  <si>
    <t xml:space="preserve">Isle Of Bute </t>
  </si>
  <si>
    <t>Shipman</t>
  </si>
  <si>
    <t>Quill Cottages</t>
  </si>
  <si>
    <t>Lancashire</t>
  </si>
  <si>
    <t>Tifany</t>
  </si>
  <si>
    <t>Crockett</t>
  </si>
  <si>
    <t>Webb Place</t>
  </si>
  <si>
    <t xml:space="preserve">Penmaenmawr </t>
  </si>
  <si>
    <t>Chantel</t>
  </si>
  <si>
    <t>England</t>
  </si>
  <si>
    <t>Consort Road</t>
  </si>
  <si>
    <t xml:space="preserve">Dronfield </t>
  </si>
  <si>
    <t>Yvonne</t>
  </si>
  <si>
    <t>Byrd</t>
  </si>
  <si>
    <t>Annie Besant</t>
  </si>
  <si>
    <t xml:space="preserve">Oxted </t>
  </si>
  <si>
    <t>Glennie</t>
  </si>
  <si>
    <t>Newsome</t>
  </si>
  <si>
    <t>Winns Cottage</t>
  </si>
  <si>
    <t xml:space="preserve">Isle Of Barra </t>
  </si>
  <si>
    <t>Laverna</t>
  </si>
  <si>
    <t>Case</t>
  </si>
  <si>
    <t xml:space="preserve">Porthcawl </t>
  </si>
  <si>
    <t>Serita</t>
  </si>
  <si>
    <t>Quintero</t>
  </si>
  <si>
    <t xml:space="preserve">Cookstown </t>
  </si>
  <si>
    <t>Zina</t>
  </si>
  <si>
    <t>Sexton</t>
  </si>
  <si>
    <t>Saunders Way</t>
  </si>
  <si>
    <t xml:space="preserve">Basildon </t>
  </si>
  <si>
    <t>Jeanetta</t>
  </si>
  <si>
    <t>Coates</t>
  </si>
  <si>
    <t>Georges Place</t>
  </si>
  <si>
    <t xml:space="preserve">Steyning </t>
  </si>
  <si>
    <t>Jerica</t>
  </si>
  <si>
    <t>Stonard Road</t>
  </si>
  <si>
    <t xml:space="preserve">Insch </t>
  </si>
  <si>
    <t>Lavonna</t>
  </si>
  <si>
    <t>Bonner</t>
  </si>
  <si>
    <t>Austin Friars</t>
  </si>
  <si>
    <t xml:space="preserve">Guernsey </t>
  </si>
  <si>
    <t>Demetra</t>
  </si>
  <si>
    <t>Payton</t>
  </si>
  <si>
    <t>Bellot Gardens</t>
  </si>
  <si>
    <t xml:space="preserve">Bridport </t>
  </si>
  <si>
    <t>Mickey</t>
  </si>
  <si>
    <t>Abel</t>
  </si>
  <si>
    <t xml:space="preserve">Minehead </t>
  </si>
  <si>
    <t>Evelynn</t>
  </si>
  <si>
    <t>Woodard</t>
  </si>
  <si>
    <t xml:space="preserve">Lostwithiel </t>
  </si>
  <si>
    <t>Latina</t>
  </si>
  <si>
    <t>Roy</t>
  </si>
  <si>
    <t>Bucharest Road</t>
  </si>
  <si>
    <t xml:space="preserve">Criccieth </t>
  </si>
  <si>
    <t>Hermelinda</t>
  </si>
  <si>
    <t>Medeiros</t>
  </si>
  <si>
    <t>Sawyer Close</t>
  </si>
  <si>
    <t xml:space="preserve">Cromer </t>
  </si>
  <si>
    <t>Corrin</t>
  </si>
  <si>
    <t>Abrams</t>
  </si>
  <si>
    <t>Glass Street</t>
  </si>
  <si>
    <t xml:space="preserve">Dunblane </t>
  </si>
  <si>
    <t>Malena</t>
  </si>
  <si>
    <t>Zavala</t>
  </si>
  <si>
    <t>Walmington Fold</t>
  </si>
  <si>
    <t xml:space="preserve">Welling </t>
  </si>
  <si>
    <t>Rutha</t>
  </si>
  <si>
    <t>Pope</t>
  </si>
  <si>
    <t>Plantain Place</t>
  </si>
  <si>
    <t xml:space="preserve">Lockerbie </t>
  </si>
  <si>
    <t>Artie</t>
  </si>
  <si>
    <t>Freeman</t>
  </si>
  <si>
    <t>Celtic Street</t>
  </si>
  <si>
    <t>Inell</t>
  </si>
  <si>
    <t>Burks</t>
  </si>
  <si>
    <t>Nelldale Road</t>
  </si>
  <si>
    <t xml:space="preserve">Paignton </t>
  </si>
  <si>
    <t>Camellia</t>
  </si>
  <si>
    <t>Santos</t>
  </si>
  <si>
    <t>Morgana? Villa</t>
  </si>
  <si>
    <t xml:space="preserve">Yarm </t>
  </si>
  <si>
    <t>Nettie</t>
  </si>
  <si>
    <t>Gedling Street</t>
  </si>
  <si>
    <t>Debby</t>
  </si>
  <si>
    <t>Whitfield</t>
  </si>
  <si>
    <t>Drivers Buildings</t>
  </si>
  <si>
    <t>Penni</t>
  </si>
  <si>
    <t>Rollins</t>
  </si>
  <si>
    <t>Fulford Street</t>
  </si>
  <si>
    <t xml:space="preserve">Isle Of Cumbrae </t>
  </si>
  <si>
    <t>Patrick</t>
  </si>
  <si>
    <t>Duncan</t>
  </si>
  <si>
    <t>Meredith Place</t>
  </si>
  <si>
    <t xml:space="preserve">Newquay </t>
  </si>
  <si>
    <t>Nena</t>
  </si>
  <si>
    <t xml:space="preserve">Carluke </t>
  </si>
  <si>
    <t>Janell</t>
  </si>
  <si>
    <t>Wiggins</t>
  </si>
  <si>
    <t>Dr</t>
  </si>
  <si>
    <t>Knivet Road</t>
  </si>
  <si>
    <t xml:space="preserve">Craigavon </t>
  </si>
  <si>
    <t>Rossie</t>
  </si>
  <si>
    <t>Mccain</t>
  </si>
  <si>
    <t>Frome Street</t>
  </si>
  <si>
    <t xml:space="preserve">Llanwrda </t>
  </si>
  <si>
    <t>Ollie</t>
  </si>
  <si>
    <t>Fischer</t>
  </si>
  <si>
    <t>Kenninghall Road</t>
  </si>
  <si>
    <t>Jodie</t>
  </si>
  <si>
    <t>Paulson</t>
  </si>
  <si>
    <t>Ashingdon Close</t>
  </si>
  <si>
    <t xml:space="preserve">Westgate-On-Sea </t>
  </si>
  <si>
    <t>Marquitta</t>
  </si>
  <si>
    <t>Durham</t>
  </si>
  <si>
    <t>Birchfield Street</t>
  </si>
  <si>
    <t xml:space="preserve">Barnard Castle </t>
  </si>
  <si>
    <t>Consuelo</t>
  </si>
  <si>
    <t>Knight</t>
  </si>
  <si>
    <t>Chancellors Court</t>
  </si>
  <si>
    <t xml:space="preserve">Llansantffraid </t>
  </si>
  <si>
    <t>Verlie</t>
  </si>
  <si>
    <t>Keetons Road</t>
  </si>
  <si>
    <t xml:space="preserve">Loughton </t>
  </si>
  <si>
    <t>Waneta</t>
  </si>
  <si>
    <t>Klein</t>
  </si>
  <si>
    <t>Kidd Place</t>
  </si>
  <si>
    <t xml:space="preserve">Strathdon </t>
  </si>
  <si>
    <t>Jadwiga</t>
  </si>
  <si>
    <t>Contreras</t>
  </si>
  <si>
    <t>Little Lemon</t>
  </si>
  <si>
    <t xml:space="preserve">Llanrwst </t>
  </si>
  <si>
    <t>Catherina</t>
  </si>
  <si>
    <t>Galvan</t>
  </si>
  <si>
    <t>Little New</t>
  </si>
  <si>
    <t xml:space="preserve">Darwen </t>
  </si>
  <si>
    <t>Leslie</t>
  </si>
  <si>
    <t>Hobson</t>
  </si>
  <si>
    <t>Templecombe Road</t>
  </si>
  <si>
    <t xml:space="preserve">Plockton </t>
  </si>
  <si>
    <t>Jona</t>
  </si>
  <si>
    <t>Mcneill</t>
  </si>
  <si>
    <t xml:space="preserve">Coleford </t>
  </si>
  <si>
    <t>Phylis</t>
  </si>
  <si>
    <t>Starks</t>
  </si>
  <si>
    <t>Du Burstow</t>
  </si>
  <si>
    <t>Surrey</t>
  </si>
  <si>
    <t>Chasidy</t>
  </si>
  <si>
    <t>Pittman</t>
  </si>
  <si>
    <t>Vine Cottages</t>
  </si>
  <si>
    <t xml:space="preserve">Tewkesbury </t>
  </si>
  <si>
    <t>Mcmullen</t>
  </si>
  <si>
    <t xml:space="preserve">Colchester </t>
  </si>
  <si>
    <t>Wanda</t>
  </si>
  <si>
    <t xml:space="preserve">Wotton-Under-Edge </t>
  </si>
  <si>
    <t xml:space="preserve">Sedbergh </t>
  </si>
  <si>
    <t xml:space="preserve">Wells-Next-The-Sea </t>
  </si>
  <si>
    <t xml:space="preserve">Grantown-On-Spey </t>
  </si>
  <si>
    <t>Mcnally</t>
  </si>
  <si>
    <t>Rockhampton Road</t>
  </si>
  <si>
    <t xml:space="preserve">Cockburnspath </t>
  </si>
  <si>
    <t>Carson</t>
  </si>
  <si>
    <t xml:space="preserve">Clevedon </t>
  </si>
  <si>
    <t>Magdalene</t>
  </si>
  <si>
    <t>Nixon</t>
  </si>
  <si>
    <t xml:space="preserve">Isle Of Harris </t>
  </si>
  <si>
    <t>Brown</t>
  </si>
  <si>
    <t xml:space="preserve">Moreton-In-Marsh </t>
  </si>
  <si>
    <t>Melton</t>
  </si>
  <si>
    <t xml:space="preserve">East Molesey </t>
  </si>
  <si>
    <t>Johnie</t>
  </si>
  <si>
    <t>Cain</t>
  </si>
  <si>
    <t>Zapata</t>
  </si>
  <si>
    <t xml:space="preserve">Richmond </t>
  </si>
  <si>
    <t>Donnetta</t>
  </si>
  <si>
    <t>Marcum</t>
  </si>
  <si>
    <t xml:space="preserve">Blackpool </t>
  </si>
  <si>
    <t>In</t>
  </si>
  <si>
    <t xml:space="preserve">Dumbarton </t>
  </si>
  <si>
    <t>Barrow</t>
  </si>
  <si>
    <t xml:space="preserve">Wishaw </t>
  </si>
  <si>
    <t>Stubbs</t>
  </si>
  <si>
    <t xml:space="preserve">Belvedere </t>
  </si>
  <si>
    <t>Iraida</t>
  </si>
  <si>
    <t>Hodges</t>
  </si>
  <si>
    <t xml:space="preserve">Bishop'S Stortford </t>
  </si>
  <si>
    <t xml:space="preserve">Munlochy </t>
  </si>
  <si>
    <t>Bobbie</t>
  </si>
  <si>
    <t xml:space="preserve">Rowland'S Castle </t>
  </si>
  <si>
    <t>Wilson</t>
  </si>
  <si>
    <t xml:space="preserve">Treharris </t>
  </si>
  <si>
    <t xml:space="preserve">Jedburgh </t>
  </si>
  <si>
    <t xml:space="preserve">Hexham </t>
  </si>
  <si>
    <t>Gore</t>
  </si>
  <si>
    <t xml:space="preserve">Bruton </t>
  </si>
  <si>
    <t>Lili</t>
  </si>
  <si>
    <t>Osborne</t>
  </si>
  <si>
    <t xml:space="preserve">Purley </t>
  </si>
  <si>
    <t>Herta</t>
  </si>
  <si>
    <t>Cumbria</t>
  </si>
  <si>
    <t>Bonds</t>
  </si>
  <si>
    <t>Dickerson</t>
  </si>
  <si>
    <t xml:space="preserve">Rayleigh </t>
  </si>
  <si>
    <t>Scott</t>
  </si>
  <si>
    <t xml:space="preserve">Huddersfield </t>
  </si>
  <si>
    <t>County Down</t>
  </si>
  <si>
    <t>Patel</t>
  </si>
  <si>
    <t xml:space="preserve">Portrush </t>
  </si>
  <si>
    <t xml:space="preserve">Romney Marsh </t>
  </si>
  <si>
    <t xml:space="preserve">Somerton </t>
  </si>
  <si>
    <t xml:space="preserve">Isle Of Tiree </t>
  </si>
  <si>
    <t xml:space="preserve">Carterton </t>
  </si>
  <si>
    <t>Jaramillo</t>
  </si>
  <si>
    <t>Westcroft Mews</t>
  </si>
  <si>
    <t xml:space="preserve">Bishop Auckland </t>
  </si>
  <si>
    <t>South Yorkshire</t>
  </si>
  <si>
    <t>Blue</t>
  </si>
  <si>
    <t>Kendall</t>
  </si>
  <si>
    <t>Fox</t>
  </si>
  <si>
    <t xml:space="preserve">Walsingham </t>
  </si>
  <si>
    <t>Rice</t>
  </si>
  <si>
    <t>Kent</t>
  </si>
  <si>
    <t>Tyler</t>
  </si>
  <si>
    <t>Corbin</t>
  </si>
  <si>
    <t xml:space="preserve">New Quay </t>
  </si>
  <si>
    <t>Charles</t>
  </si>
  <si>
    <t>Warwickshire</t>
  </si>
  <si>
    <t>Janine</t>
  </si>
  <si>
    <t>Marshall</t>
  </si>
  <si>
    <t xml:space="preserve">Northampton </t>
  </si>
  <si>
    <t>Porsche</t>
  </si>
  <si>
    <t>Waldron</t>
  </si>
  <si>
    <t xml:space="preserve">Aboyne </t>
  </si>
  <si>
    <t>Hagen</t>
  </si>
  <si>
    <t>Franks</t>
  </si>
  <si>
    <t xml:space="preserve">Colne </t>
  </si>
  <si>
    <t>Jolly</t>
  </si>
  <si>
    <t>Victor</t>
  </si>
  <si>
    <t>Ross</t>
  </si>
  <si>
    <t>Lilia</t>
  </si>
  <si>
    <t xml:space="preserve">Seaford </t>
  </si>
  <si>
    <t>Liz</t>
  </si>
  <si>
    <t xml:space="preserve">Hawes </t>
  </si>
  <si>
    <t>Bridges</t>
  </si>
  <si>
    <t xml:space="preserve">Withernsea </t>
  </si>
  <si>
    <t>Earleen</t>
  </si>
  <si>
    <t>Rebekah</t>
  </si>
  <si>
    <t>Brunson</t>
  </si>
  <si>
    <t xml:space="preserve">Beith </t>
  </si>
  <si>
    <t xml:space="preserve">Forres </t>
  </si>
  <si>
    <t>Shelton</t>
  </si>
  <si>
    <t>Oxfordshire</t>
  </si>
  <si>
    <t>Samuel</t>
  </si>
  <si>
    <t xml:space="preserve">Alford </t>
  </si>
  <si>
    <t xml:space="preserve">Louth </t>
  </si>
  <si>
    <t>Wanetta</t>
  </si>
  <si>
    <t>Pritchard</t>
  </si>
  <si>
    <t xml:space="preserve">Sowerby Bridge </t>
  </si>
  <si>
    <t>Middleton</t>
  </si>
  <si>
    <t xml:space="preserve">Attleborough </t>
  </si>
  <si>
    <t xml:space="preserve">Llanfyrnach </t>
  </si>
  <si>
    <t>Sewell</t>
  </si>
  <si>
    <t>Shakira</t>
  </si>
  <si>
    <t>Cornelia</t>
  </si>
  <si>
    <t>Moreland</t>
  </si>
  <si>
    <t xml:space="preserve">Studley </t>
  </si>
  <si>
    <t xml:space="preserve">Morecambe </t>
  </si>
  <si>
    <t>Smiley</t>
  </si>
  <si>
    <t>North Humberside</t>
  </si>
  <si>
    <t>Pate</t>
  </si>
  <si>
    <t xml:space="preserve">Gosport </t>
  </si>
  <si>
    <t>Norman</t>
  </si>
  <si>
    <t xml:space="preserve">Merriott </t>
  </si>
  <si>
    <t>Beltran</t>
  </si>
  <si>
    <t xml:space="preserve">Kilgetty </t>
  </si>
  <si>
    <t>Pickett</t>
  </si>
  <si>
    <t>Berrymans Lane</t>
  </si>
  <si>
    <t xml:space="preserve">Cromarty </t>
  </si>
  <si>
    <t>Susie</t>
  </si>
  <si>
    <t>Long</t>
  </si>
  <si>
    <t>Crump</t>
  </si>
  <si>
    <t>Dragonfly Close</t>
  </si>
  <si>
    <t xml:space="preserve">Corrour </t>
  </si>
  <si>
    <t xml:space="preserve">Betws-Y-Coed </t>
  </si>
  <si>
    <t>Jewell</t>
  </si>
  <si>
    <t>Gay</t>
  </si>
  <si>
    <t>Hayden</t>
  </si>
  <si>
    <t xml:space="preserve">Dartmouth </t>
  </si>
  <si>
    <t>Rose</t>
  </si>
  <si>
    <t xml:space="preserve">Carrickfergus </t>
  </si>
  <si>
    <t xml:space="preserve">Swanage </t>
  </si>
  <si>
    <t xml:space="preserve">Prescot </t>
  </si>
  <si>
    <t>Reyna</t>
  </si>
  <si>
    <t xml:space="preserve">Galashiels </t>
  </si>
  <si>
    <t>Perdue</t>
  </si>
  <si>
    <t xml:space="preserve">Inveraray </t>
  </si>
  <si>
    <t>Turpins Yard</t>
  </si>
  <si>
    <t xml:space="preserve">Roy Bridge </t>
  </si>
  <si>
    <t>Burroughs</t>
  </si>
  <si>
    <t xml:space="preserve">Banbridge </t>
  </si>
  <si>
    <t>Montano</t>
  </si>
  <si>
    <t>Michaele</t>
  </si>
  <si>
    <t>Sanford</t>
  </si>
  <si>
    <t xml:space="preserve">Tipton </t>
  </si>
  <si>
    <t xml:space="preserve">Forfar </t>
  </si>
  <si>
    <t xml:space="preserve">Chatham </t>
  </si>
  <si>
    <t>Paige</t>
  </si>
  <si>
    <t xml:space="preserve">East Boldon </t>
  </si>
  <si>
    <t xml:space="preserve">Penicuik </t>
  </si>
  <si>
    <t>West</t>
  </si>
  <si>
    <t>Bowmans Place</t>
  </si>
  <si>
    <t xml:space="preserve">Currie </t>
  </si>
  <si>
    <t xml:space="preserve">Haverhill </t>
  </si>
  <si>
    <t xml:space="preserve">Weybridge </t>
  </si>
  <si>
    <t>Diamond</t>
  </si>
  <si>
    <t xml:space="preserve">Hereford </t>
  </si>
  <si>
    <t>Gibbons</t>
  </si>
  <si>
    <t>Richey</t>
  </si>
  <si>
    <t xml:space="preserve">Saltburn-By-The-Sea </t>
  </si>
  <si>
    <t>Barlow</t>
  </si>
  <si>
    <t>Thomson</t>
  </si>
  <si>
    <t>Stephens</t>
  </si>
  <si>
    <t>Hesewall Close</t>
  </si>
  <si>
    <t xml:space="preserve">Strathcarron </t>
  </si>
  <si>
    <t xml:space="preserve">Dunkeld </t>
  </si>
  <si>
    <t>Crouch</t>
  </si>
  <si>
    <t>Odonnell</t>
  </si>
  <si>
    <t xml:space="preserve">Shefford </t>
  </si>
  <si>
    <t>Boyd</t>
  </si>
  <si>
    <t xml:space="preserve">Roslin </t>
  </si>
  <si>
    <t>Howell</t>
  </si>
  <si>
    <t xml:space="preserve">Markfield </t>
  </si>
  <si>
    <t>Lake</t>
  </si>
  <si>
    <t>Lowery</t>
  </si>
  <si>
    <t xml:space="preserve">Blairgowrie </t>
  </si>
  <si>
    <t xml:space="preserve">Dunstable </t>
  </si>
  <si>
    <t xml:space="preserve">Wallsend </t>
  </si>
  <si>
    <t xml:space="preserve">Newport </t>
  </si>
  <si>
    <t>Nyla</t>
  </si>
  <si>
    <t>Jarrett</t>
  </si>
  <si>
    <t xml:space="preserve">New Romney </t>
  </si>
  <si>
    <t>Denny</t>
  </si>
  <si>
    <t xml:space="preserve">Stone </t>
  </si>
  <si>
    <t xml:space="preserve">Tayport </t>
  </si>
  <si>
    <t>Crum</t>
  </si>
  <si>
    <t>Feldman</t>
  </si>
  <si>
    <t>Lecia</t>
  </si>
  <si>
    <t>Glynda</t>
  </si>
  <si>
    <t>Staples</t>
  </si>
  <si>
    <t>Merseyside</t>
  </si>
  <si>
    <t>Dempsey</t>
  </si>
  <si>
    <t>Fisher</t>
  </si>
  <si>
    <t>Appach Road</t>
  </si>
  <si>
    <t xml:space="preserve">South Molton </t>
  </si>
  <si>
    <t>Janie</t>
  </si>
  <si>
    <t>Bridgefield Cottages</t>
  </si>
  <si>
    <t>Josephine</t>
  </si>
  <si>
    <t xml:space="preserve">Matlock </t>
  </si>
  <si>
    <t xml:space="preserve">Bodorgan </t>
  </si>
  <si>
    <t>Aguilar</t>
  </si>
  <si>
    <t xml:space="preserve">Keswick </t>
  </si>
  <si>
    <t>Drummond</t>
  </si>
  <si>
    <t>Yahaira</t>
  </si>
  <si>
    <t>Terica</t>
  </si>
  <si>
    <t xml:space="preserve">Watlington </t>
  </si>
  <si>
    <t>Burgos</t>
  </si>
  <si>
    <t xml:space="preserve">Moffat </t>
  </si>
  <si>
    <t>Whalen</t>
  </si>
  <si>
    <t xml:space="preserve">Drybrook </t>
  </si>
  <si>
    <t>Ponsonby Street</t>
  </si>
  <si>
    <t>Askew</t>
  </si>
  <si>
    <t xml:space="preserve">Buckley </t>
  </si>
  <si>
    <t>Yan</t>
  </si>
  <si>
    <t xml:space="preserve">Eastbourne </t>
  </si>
  <si>
    <t xml:space="preserve">Broxbourne </t>
  </si>
  <si>
    <t>Boykin</t>
  </si>
  <si>
    <t xml:space="preserve">Sheerness </t>
  </si>
  <si>
    <t xml:space="preserve">Cullompton </t>
  </si>
  <si>
    <t>Bass</t>
  </si>
  <si>
    <t xml:space="preserve">Marlborough </t>
  </si>
  <si>
    <t>Moody</t>
  </si>
  <si>
    <t xml:space="preserve">Menstrie </t>
  </si>
  <si>
    <t>Earl</t>
  </si>
  <si>
    <t xml:space="preserve">Hengoed </t>
  </si>
  <si>
    <t>John</t>
  </si>
  <si>
    <t>Bovay Place</t>
  </si>
  <si>
    <t xml:space="preserve">Chinnor </t>
  </si>
  <si>
    <t xml:space="preserve">Strathpeffer </t>
  </si>
  <si>
    <t xml:space="preserve">Llanrhystud </t>
  </si>
  <si>
    <t>Grubbs</t>
  </si>
  <si>
    <t>Kristen</t>
  </si>
  <si>
    <t>Mcelroy</t>
  </si>
  <si>
    <t xml:space="preserve">Hillsborough </t>
  </si>
  <si>
    <t xml:space="preserve">Yeovil </t>
  </si>
  <si>
    <t xml:space="preserve">Morpeth </t>
  </si>
  <si>
    <t>Watneys Cottages</t>
  </si>
  <si>
    <t xml:space="preserve">Camborne </t>
  </si>
  <si>
    <t>Rudolph</t>
  </si>
  <si>
    <t>Westminster Bridge</t>
  </si>
  <si>
    <t>Kemp</t>
  </si>
  <si>
    <t xml:space="preserve">Leighton Buzzard </t>
  </si>
  <si>
    <t>Mccullough</t>
  </si>
  <si>
    <t xml:space="preserve">Midhurst </t>
  </si>
  <si>
    <t xml:space="preserve">Newcastleton </t>
  </si>
  <si>
    <t>Tilley</t>
  </si>
  <si>
    <t>Conklin</t>
  </si>
  <si>
    <t>Cleotilde</t>
  </si>
  <si>
    <t>Norman Terrace</t>
  </si>
  <si>
    <t>Hooks</t>
  </si>
  <si>
    <t xml:space="preserve">Billingham </t>
  </si>
  <si>
    <t>Mcdowell</t>
  </si>
  <si>
    <t>West Yorkshire</t>
  </si>
  <si>
    <t>Ileana</t>
  </si>
  <si>
    <t>Dixon</t>
  </si>
  <si>
    <t xml:space="preserve">Llanon </t>
  </si>
  <si>
    <t xml:space="preserve">Strabane </t>
  </si>
  <si>
    <t>Dougherty</t>
  </si>
  <si>
    <t xml:space="preserve">Llangadog </t>
  </si>
  <si>
    <t>Noble</t>
  </si>
  <si>
    <t>Wu</t>
  </si>
  <si>
    <t xml:space="preserve">Pudsey </t>
  </si>
  <si>
    <t xml:space="preserve">Duns </t>
  </si>
  <si>
    <t xml:space="preserve">Canterbury </t>
  </si>
  <si>
    <t>Law</t>
  </si>
  <si>
    <t>Buckinghamshire</t>
  </si>
  <si>
    <t>Aldrich</t>
  </si>
  <si>
    <t xml:space="preserve">Ashton-Under-Lyne </t>
  </si>
  <si>
    <t>Knapp</t>
  </si>
  <si>
    <t xml:space="preserve">Wadebridge </t>
  </si>
  <si>
    <t>Copeland</t>
  </si>
  <si>
    <t xml:space="preserve">Banff </t>
  </si>
  <si>
    <t>Hyde</t>
  </si>
  <si>
    <t>Echols</t>
  </si>
  <si>
    <t>Clay</t>
  </si>
  <si>
    <t>Slyvia</t>
  </si>
  <si>
    <t>Eddy</t>
  </si>
  <si>
    <t xml:space="preserve">Carrbridge </t>
  </si>
  <si>
    <t>Whitney</t>
  </si>
  <si>
    <t xml:space="preserve">Salcombe </t>
  </si>
  <si>
    <t>Norfolk</t>
  </si>
  <si>
    <t>Elise</t>
  </si>
  <si>
    <t>Bolden</t>
  </si>
  <si>
    <t>Gates</t>
  </si>
  <si>
    <t xml:space="preserve">Fakenham </t>
  </si>
  <si>
    <t>Anya</t>
  </si>
  <si>
    <t>Star</t>
  </si>
  <si>
    <t>Reyes</t>
  </si>
  <si>
    <t xml:space="preserve">Skelmorlie </t>
  </si>
  <si>
    <t>Kristle</t>
  </si>
  <si>
    <t xml:space="preserve">Stocksfield </t>
  </si>
  <si>
    <t xml:space="preserve">Inverurie </t>
  </si>
  <si>
    <t xml:space="preserve">Hungerford </t>
  </si>
  <si>
    <t xml:space="preserve">Invergordon </t>
  </si>
  <si>
    <t>Mandie</t>
  </si>
  <si>
    <t xml:space="preserve">Bedford </t>
  </si>
  <si>
    <t>Watkins</t>
  </si>
  <si>
    <t xml:space="preserve">Haywards Heath </t>
  </si>
  <si>
    <t>Gary</t>
  </si>
  <si>
    <t>Torie</t>
  </si>
  <si>
    <t>Wise</t>
  </si>
  <si>
    <t>Ohara</t>
  </si>
  <si>
    <t xml:space="preserve">Church Stretton </t>
  </si>
  <si>
    <t>Dorset</t>
  </si>
  <si>
    <t>Blanchard</t>
  </si>
  <si>
    <t xml:space="preserve">Castle Cary </t>
  </si>
  <si>
    <t xml:space="preserve">Cleethorpes </t>
  </si>
  <si>
    <t>Morin</t>
  </si>
  <si>
    <t>Abbott</t>
  </si>
  <si>
    <t xml:space="preserve">Hailsham </t>
  </si>
  <si>
    <t>Connolly</t>
  </si>
  <si>
    <t>William</t>
  </si>
  <si>
    <t xml:space="preserve">Pulborough </t>
  </si>
  <si>
    <t>Delaney</t>
  </si>
  <si>
    <t>Walter</t>
  </si>
  <si>
    <t xml:space="preserve">Walton On The Naze </t>
  </si>
  <si>
    <t xml:space="preserve">Woodbridge </t>
  </si>
  <si>
    <t>Shropshire</t>
  </si>
  <si>
    <t xml:space="preserve">Limavady </t>
  </si>
  <si>
    <t xml:space="preserve">Loanhead </t>
  </si>
  <si>
    <t xml:space="preserve">Haslemere </t>
  </si>
  <si>
    <t>Traci</t>
  </si>
  <si>
    <t xml:space="preserve">Fochabers </t>
  </si>
  <si>
    <t xml:space="preserve">Eye </t>
  </si>
  <si>
    <t>Lyons</t>
  </si>
  <si>
    <t xml:space="preserve">Alloa </t>
  </si>
  <si>
    <t>Tisa</t>
  </si>
  <si>
    <t>Tyson</t>
  </si>
  <si>
    <t>Roger Harriss</t>
  </si>
  <si>
    <t xml:space="preserve">Kirkcudbright </t>
  </si>
  <si>
    <t>Joanie</t>
  </si>
  <si>
    <t>Sunderland Rents</t>
  </si>
  <si>
    <t>Danna</t>
  </si>
  <si>
    <t>Benson</t>
  </si>
  <si>
    <t>Hartswood Gdns</t>
  </si>
  <si>
    <t xml:space="preserve">Sanquhar </t>
  </si>
  <si>
    <t>Stiles</t>
  </si>
  <si>
    <t>Durweston Mews</t>
  </si>
  <si>
    <t>Iris</t>
  </si>
  <si>
    <t>Sutherland Avenue</t>
  </si>
  <si>
    <t xml:space="preserve">Farnborough </t>
  </si>
  <si>
    <t>Dimple</t>
  </si>
  <si>
    <t>Dukes</t>
  </si>
  <si>
    <t>Phillpots Almshouses</t>
  </si>
  <si>
    <t>Cordia</t>
  </si>
  <si>
    <t>Whitman</t>
  </si>
  <si>
    <t>Gwendolen Avenue</t>
  </si>
  <si>
    <t xml:space="preserve">Holsworthy </t>
  </si>
  <si>
    <t>Maybell</t>
  </si>
  <si>
    <t>Morales</t>
  </si>
  <si>
    <t>Palace View</t>
  </si>
  <si>
    <t xml:space="preserve">Aughnacloy </t>
  </si>
  <si>
    <t>Blythe</t>
  </si>
  <si>
    <t>Peoples</t>
  </si>
  <si>
    <t>Albany Close</t>
  </si>
  <si>
    <t xml:space="preserve">Crewkerne </t>
  </si>
  <si>
    <t>Justine</t>
  </si>
  <si>
    <t>Thompson</t>
  </si>
  <si>
    <t>Church Alley</t>
  </si>
  <si>
    <t xml:space="preserve">Glenfinnan </t>
  </si>
  <si>
    <t>Maida</t>
  </si>
  <si>
    <t>Khan</t>
  </si>
  <si>
    <t>Moncorvo Close</t>
  </si>
  <si>
    <t xml:space="preserve">Templecombe </t>
  </si>
  <si>
    <t>Elvie</t>
  </si>
  <si>
    <t>Arthur</t>
  </si>
  <si>
    <t>Carlton Cottages</t>
  </si>
  <si>
    <t>Leanora</t>
  </si>
  <si>
    <t>Gunn</t>
  </si>
  <si>
    <t>Tremaine Road</t>
  </si>
  <si>
    <t xml:space="preserve">Fleetwood </t>
  </si>
  <si>
    <t>Charlena</t>
  </si>
  <si>
    <t>Dehar Crescent</t>
  </si>
  <si>
    <t>Reba</t>
  </si>
  <si>
    <t>Allred</t>
  </si>
  <si>
    <t>Brewery Square</t>
  </si>
  <si>
    <t xml:space="preserve">Acharacle </t>
  </si>
  <si>
    <t>Eve</t>
  </si>
  <si>
    <t>Hathaway</t>
  </si>
  <si>
    <t>White Acre</t>
  </si>
  <si>
    <t>Vania</t>
  </si>
  <si>
    <t>Vernon</t>
  </si>
  <si>
    <t>Ethel Terrace</t>
  </si>
  <si>
    <t xml:space="preserve">St. Austell </t>
  </si>
  <si>
    <t>Taryn</t>
  </si>
  <si>
    <t>Walton</t>
  </si>
  <si>
    <t>South Row</t>
  </si>
  <si>
    <t>Bunny</t>
  </si>
  <si>
    <t>Fitch</t>
  </si>
  <si>
    <t>Rosethorn Close</t>
  </si>
  <si>
    <t xml:space="preserve">Enfield </t>
  </si>
  <si>
    <t>Holden</t>
  </si>
  <si>
    <t>Arran Walk</t>
  </si>
  <si>
    <t>Chun</t>
  </si>
  <si>
    <t>Puckett</t>
  </si>
  <si>
    <t>Merryfield</t>
  </si>
  <si>
    <t xml:space="preserve">Corbridge </t>
  </si>
  <si>
    <t>Lurlene</t>
  </si>
  <si>
    <t>James</t>
  </si>
  <si>
    <t>Costa Street</t>
  </si>
  <si>
    <t>Nottinghamshire</t>
  </si>
  <si>
    <t>Nova</t>
  </si>
  <si>
    <t>Salisbury Pavement</t>
  </si>
  <si>
    <t xml:space="preserve">Buckingham </t>
  </si>
  <si>
    <t>Ashlea</t>
  </si>
  <si>
    <t>Lamb Alley</t>
  </si>
  <si>
    <t xml:space="preserve">Shepton Mallet </t>
  </si>
  <si>
    <t>Regena</t>
  </si>
  <si>
    <t>Schaffer</t>
  </si>
  <si>
    <t>Coalecroft Road</t>
  </si>
  <si>
    <t xml:space="preserve">Southminster </t>
  </si>
  <si>
    <t>Katina</t>
  </si>
  <si>
    <t>Draper</t>
  </si>
  <si>
    <t>Scawfell Street</t>
  </si>
  <si>
    <t xml:space="preserve">Rhayader </t>
  </si>
  <si>
    <t>Barbra</t>
  </si>
  <si>
    <t>Shannon</t>
  </si>
  <si>
    <t>Church Crescent</t>
  </si>
  <si>
    <t>Johnnie</t>
  </si>
  <si>
    <t>Denison Road</t>
  </si>
  <si>
    <t>Jimmy</t>
  </si>
  <si>
    <t>Bateman</t>
  </si>
  <si>
    <t>Juana</t>
  </si>
  <si>
    <t>Dickey</t>
  </si>
  <si>
    <t>Dome Hill</t>
  </si>
  <si>
    <t xml:space="preserve">Coatbridge </t>
  </si>
  <si>
    <t>Zofia</t>
  </si>
  <si>
    <t>Sanders</t>
  </si>
  <si>
    <t>Frognal Parade</t>
  </si>
  <si>
    <t>Antonette</t>
  </si>
  <si>
    <t>Thurman</t>
  </si>
  <si>
    <t>Fairholt Street</t>
  </si>
  <si>
    <t>Kevin</t>
  </si>
  <si>
    <t>Acevedo</t>
  </si>
  <si>
    <t>Haymarket Arcade</t>
  </si>
  <si>
    <t>Lyn</t>
  </si>
  <si>
    <t>Platt</t>
  </si>
  <si>
    <t>Great Arthur</t>
  </si>
  <si>
    <t>Tandy</t>
  </si>
  <si>
    <t>Lanier</t>
  </si>
  <si>
    <t>Hope Town</t>
  </si>
  <si>
    <t xml:space="preserve">Caernarfon </t>
  </si>
  <si>
    <t>Silvana</t>
  </si>
  <si>
    <t>Crowe</t>
  </si>
  <si>
    <t>Holden Avenue</t>
  </si>
  <si>
    <t>Lindsay</t>
  </si>
  <si>
    <t>Smithfield see</t>
  </si>
  <si>
    <t xml:space="preserve">Tintagel </t>
  </si>
  <si>
    <t>Alta</t>
  </si>
  <si>
    <t>Boston</t>
  </si>
  <si>
    <t>Epworth Street</t>
  </si>
  <si>
    <t xml:space="preserve">Great Missenden </t>
  </si>
  <si>
    <t>Eneida</t>
  </si>
  <si>
    <t>Lindsey</t>
  </si>
  <si>
    <t>Arundel Gardens</t>
  </si>
  <si>
    <t>Millicent</t>
  </si>
  <si>
    <t>Grimes</t>
  </si>
  <si>
    <t>Milton Park</t>
  </si>
  <si>
    <t>Concepcion</t>
  </si>
  <si>
    <t>Alderville Road</t>
  </si>
  <si>
    <t xml:space="preserve">Hope Valley </t>
  </si>
  <si>
    <t>Starla</t>
  </si>
  <si>
    <t>Cathcart Road</t>
  </si>
  <si>
    <t xml:space="preserve">Castle Douglas </t>
  </si>
  <si>
    <t>Kasie</t>
  </si>
  <si>
    <t>Hallam Mews</t>
  </si>
  <si>
    <t xml:space="preserve">Chipping Campden </t>
  </si>
  <si>
    <t>Cole</t>
  </si>
  <si>
    <t>Hoskins Close</t>
  </si>
  <si>
    <t>Yun</t>
  </si>
  <si>
    <t>Braun</t>
  </si>
  <si>
    <t>Fitzroy Court</t>
  </si>
  <si>
    <t xml:space="preserve">Rhyl </t>
  </si>
  <si>
    <t>Manuela</t>
  </si>
  <si>
    <t>Caudill</t>
  </si>
  <si>
    <t>Langdale Villas</t>
  </si>
  <si>
    <t>Lina</t>
  </si>
  <si>
    <t>Devonshire Hill</t>
  </si>
  <si>
    <t xml:space="preserve">Shotts </t>
  </si>
  <si>
    <t>Davida</t>
  </si>
  <si>
    <t>Bingham</t>
  </si>
  <si>
    <t>Terrace Road</t>
  </si>
  <si>
    <t xml:space="preserve">Colintraive </t>
  </si>
  <si>
    <t>Lenita</t>
  </si>
  <si>
    <t>Alfaro</t>
  </si>
  <si>
    <t>Clewer Court</t>
  </si>
  <si>
    <t xml:space="preserve">Newton Aycliffe </t>
  </si>
  <si>
    <t>Margarite</t>
  </si>
  <si>
    <t>Jennings</t>
  </si>
  <si>
    <t>Turrett Grove</t>
  </si>
  <si>
    <t xml:space="preserve">Maesteg </t>
  </si>
  <si>
    <t>Ngan</t>
  </si>
  <si>
    <t>Neff</t>
  </si>
  <si>
    <t xml:space="preserve">Langholm </t>
  </si>
  <si>
    <t>Mei</t>
  </si>
  <si>
    <t>Kramer</t>
  </si>
  <si>
    <t>Ground Street</t>
  </si>
  <si>
    <t>Luba</t>
  </si>
  <si>
    <t>Robertson</t>
  </si>
  <si>
    <t>Madinah Road</t>
  </si>
  <si>
    <t xml:space="preserve">Helmsdale </t>
  </si>
  <si>
    <t>Valentine</t>
  </si>
  <si>
    <t>Cochran</t>
  </si>
  <si>
    <t>Emerson Place</t>
  </si>
  <si>
    <t xml:space="preserve">Wantage </t>
  </si>
  <si>
    <t>Lonnie</t>
  </si>
  <si>
    <t>Malone</t>
  </si>
  <si>
    <t>Ring Road</t>
  </si>
  <si>
    <t>South Humberside</t>
  </si>
  <si>
    <t>Deadra</t>
  </si>
  <si>
    <t>Trevino</t>
  </si>
  <si>
    <t>Sparkes Cottages</t>
  </si>
  <si>
    <t>Cambridgeshire</t>
  </si>
  <si>
    <t>Joycelyn</t>
  </si>
  <si>
    <t>Hurst</t>
  </si>
  <si>
    <t>Lakis Close</t>
  </si>
  <si>
    <t>Hui</t>
  </si>
  <si>
    <t>Marion</t>
  </si>
  <si>
    <t>Oaklands</t>
  </si>
  <si>
    <t xml:space="preserve">Whitland </t>
  </si>
  <si>
    <t>Armanda</t>
  </si>
  <si>
    <t>Hull</t>
  </si>
  <si>
    <t>Tessa Sanderson</t>
  </si>
  <si>
    <t>Lisette</t>
  </si>
  <si>
    <t>Milstead Terrace</t>
  </si>
  <si>
    <t xml:space="preserve">Newcastle Emlyn </t>
  </si>
  <si>
    <t>Jenae</t>
  </si>
  <si>
    <t>Mosley</t>
  </si>
  <si>
    <t>Nursery Street</t>
  </si>
  <si>
    <t xml:space="preserve">Bexleyheath </t>
  </si>
  <si>
    <t>Arredondo</t>
  </si>
  <si>
    <t>Freedom Road</t>
  </si>
  <si>
    <t xml:space="preserve">Malpas </t>
  </si>
  <si>
    <t>Fransisca</t>
  </si>
  <si>
    <t>Hickly Road</t>
  </si>
  <si>
    <t xml:space="preserve">Airdrie </t>
  </si>
  <si>
    <t>Blanch</t>
  </si>
  <si>
    <t>Hairston</t>
  </si>
  <si>
    <t>Hillyfield</t>
  </si>
  <si>
    <t xml:space="preserve">Milnthorpe </t>
  </si>
  <si>
    <t>Hilaria</t>
  </si>
  <si>
    <t>Portgate Close</t>
  </si>
  <si>
    <t>Gerry</t>
  </si>
  <si>
    <t>Poultney St</t>
  </si>
  <si>
    <t xml:space="preserve">Hornsea </t>
  </si>
  <si>
    <t>Coker</t>
  </si>
  <si>
    <t>Dussore's Court</t>
  </si>
  <si>
    <t xml:space="preserve">Denbigh </t>
  </si>
  <si>
    <t>Karren</t>
  </si>
  <si>
    <t>Farrell</t>
  </si>
  <si>
    <t>Lucina</t>
  </si>
  <si>
    <t>Weiss</t>
  </si>
  <si>
    <t>Wolsey Court</t>
  </si>
  <si>
    <t xml:space="preserve">Market Harborough </t>
  </si>
  <si>
    <t>Allena</t>
  </si>
  <si>
    <t>Crenshaw</t>
  </si>
  <si>
    <t>Lord Roberts</t>
  </si>
  <si>
    <t>Lilliana</t>
  </si>
  <si>
    <t>Weber</t>
  </si>
  <si>
    <t>Lidfield Road</t>
  </si>
  <si>
    <t>East Sussex</t>
  </si>
  <si>
    <t>Lynn</t>
  </si>
  <si>
    <t>Kennedy</t>
  </si>
  <si>
    <t>Woodstock Street</t>
  </si>
  <si>
    <t>Treasa</t>
  </si>
  <si>
    <t>Sierra</t>
  </si>
  <si>
    <t>Smyrren Green</t>
  </si>
  <si>
    <t>Valery</t>
  </si>
  <si>
    <t>Oneill</t>
  </si>
  <si>
    <t>Monterio Villas</t>
  </si>
  <si>
    <t xml:space="preserve">Musselburgh </t>
  </si>
  <si>
    <t>Irina</t>
  </si>
  <si>
    <t>Mcgowan</t>
  </si>
  <si>
    <t>Chandler's Rents</t>
  </si>
  <si>
    <t xml:space="preserve">East Cowes </t>
  </si>
  <si>
    <t>Saundra</t>
  </si>
  <si>
    <t>Latham</t>
  </si>
  <si>
    <t>Littlecombe</t>
  </si>
  <si>
    <t xml:space="preserve">Ballindalloch </t>
  </si>
  <si>
    <t>Cassie</t>
  </si>
  <si>
    <t>Edmonds</t>
  </si>
  <si>
    <t>Chamberlens Garages</t>
  </si>
  <si>
    <t>Addie</t>
  </si>
  <si>
    <t>Rich</t>
  </si>
  <si>
    <t>Boyton Arms</t>
  </si>
  <si>
    <t xml:space="preserve">Reigate </t>
  </si>
  <si>
    <t>Gracia</t>
  </si>
  <si>
    <t>Huggins</t>
  </si>
  <si>
    <t>Jerdan Place</t>
  </si>
  <si>
    <t xml:space="preserve">Juniper Green </t>
  </si>
  <si>
    <t>Era</t>
  </si>
  <si>
    <t>Waters</t>
  </si>
  <si>
    <t>Tulip Grove</t>
  </si>
  <si>
    <t xml:space="preserve">Telford </t>
  </si>
  <si>
    <t>Belsize Park</t>
  </si>
  <si>
    <t xml:space="preserve">Port Isaac </t>
  </si>
  <si>
    <t>Gidget</t>
  </si>
  <si>
    <t>Chen</t>
  </si>
  <si>
    <t>Eura</t>
  </si>
  <si>
    <t>Randall</t>
  </si>
  <si>
    <t>Meldon Close</t>
  </si>
  <si>
    <t xml:space="preserve">Renfrew </t>
  </si>
  <si>
    <t>Melia</t>
  </si>
  <si>
    <t>Boyce</t>
  </si>
  <si>
    <t>Crescent Mews</t>
  </si>
  <si>
    <t>Julianne</t>
  </si>
  <si>
    <t>Field</t>
  </si>
  <si>
    <t>Brodia Road</t>
  </si>
  <si>
    <t>Clemmie</t>
  </si>
  <si>
    <t>Hadleigh Road</t>
  </si>
  <si>
    <t>Karla</t>
  </si>
  <si>
    <t>Raymond</t>
  </si>
  <si>
    <t>Woodhouse Grove</t>
  </si>
  <si>
    <t>South Glamorgan</t>
  </si>
  <si>
    <t>Annalee</t>
  </si>
  <si>
    <t>Darling</t>
  </si>
  <si>
    <t>Waterden Road</t>
  </si>
  <si>
    <t xml:space="preserve">Westerham </t>
  </si>
  <si>
    <t>Ellis</t>
  </si>
  <si>
    <t>Irwin</t>
  </si>
  <si>
    <t>Adolphus Road</t>
  </si>
  <si>
    <t xml:space="preserve">Ruthin </t>
  </si>
  <si>
    <t>Sharon</t>
  </si>
  <si>
    <t>Bloom</t>
  </si>
  <si>
    <t>Great George</t>
  </si>
  <si>
    <t xml:space="preserve">Dyffryn Ardudwy </t>
  </si>
  <si>
    <t>Daphine</t>
  </si>
  <si>
    <t>Hansen</t>
  </si>
  <si>
    <t>Trundley Lane</t>
  </si>
  <si>
    <t xml:space="preserve">Exeter </t>
  </si>
  <si>
    <t>Carley</t>
  </si>
  <si>
    <t>Barker</t>
  </si>
  <si>
    <t>Broadstone Place</t>
  </si>
  <si>
    <t xml:space="preserve">Prestatyn </t>
  </si>
  <si>
    <t>Shaquana</t>
  </si>
  <si>
    <t>Bullard</t>
  </si>
  <si>
    <t>Wilmot Green</t>
  </si>
  <si>
    <t xml:space="preserve">Kirknewton </t>
  </si>
  <si>
    <t>Annie</t>
  </si>
  <si>
    <t>Jefferson</t>
  </si>
  <si>
    <t>Bruce Castle</t>
  </si>
  <si>
    <t>Yolanda</t>
  </si>
  <si>
    <t>Wood Hall</t>
  </si>
  <si>
    <t xml:space="preserve">Llanybydder </t>
  </si>
  <si>
    <t>Macy</t>
  </si>
  <si>
    <t>Billings</t>
  </si>
  <si>
    <t>Benyon Cottages</t>
  </si>
  <si>
    <t xml:space="preserve">Brora </t>
  </si>
  <si>
    <t>Krysten</t>
  </si>
  <si>
    <t xml:space="preserve">Bonnybridge </t>
  </si>
  <si>
    <t>Kelsey</t>
  </si>
  <si>
    <t>Moseley</t>
  </si>
  <si>
    <t>Martin Close</t>
  </si>
  <si>
    <t xml:space="preserve">Mayfield </t>
  </si>
  <si>
    <t>Marcela</t>
  </si>
  <si>
    <t>Romo</t>
  </si>
  <si>
    <t>Nicholas Passage</t>
  </si>
  <si>
    <t>Staffordshire</t>
  </si>
  <si>
    <t>Tajuana</t>
  </si>
  <si>
    <t>Babb</t>
  </si>
  <si>
    <t>Slough Lane</t>
  </si>
  <si>
    <t>Wenona</t>
  </si>
  <si>
    <t>Howe</t>
  </si>
  <si>
    <t>Boultwood Road</t>
  </si>
  <si>
    <t>Lizbeth</t>
  </si>
  <si>
    <t>Church</t>
  </si>
  <si>
    <t>Clarelawn Avenue</t>
  </si>
  <si>
    <t>Lanarkshire</t>
  </si>
  <si>
    <t>Pasty</t>
  </si>
  <si>
    <t>Muller</t>
  </si>
  <si>
    <t>Overton Court</t>
  </si>
  <si>
    <t>Adelina</t>
  </si>
  <si>
    <t>Mcclellan</t>
  </si>
  <si>
    <t>Lidlington Place</t>
  </si>
  <si>
    <t xml:space="preserve">Royston </t>
  </si>
  <si>
    <t>Genna</t>
  </si>
  <si>
    <t>Rosales</t>
  </si>
  <si>
    <t>Chancellors Road</t>
  </si>
  <si>
    <t xml:space="preserve">Newry </t>
  </si>
  <si>
    <t>Larita</t>
  </si>
  <si>
    <t>Emma Street</t>
  </si>
  <si>
    <t>Oak Park</t>
  </si>
  <si>
    <t>Paris</t>
  </si>
  <si>
    <t>Wallace</t>
  </si>
  <si>
    <t>Cavour Street</t>
  </si>
  <si>
    <t>Joye</t>
  </si>
  <si>
    <t>Pearce</t>
  </si>
  <si>
    <t>Camerton Close</t>
  </si>
  <si>
    <t xml:space="preserve">Appleby-In-Westmorland </t>
  </si>
  <si>
    <t>Marth</t>
  </si>
  <si>
    <t>Roseneath Avenue</t>
  </si>
  <si>
    <t>Shanelle</t>
  </si>
  <si>
    <t>Leon</t>
  </si>
  <si>
    <t>Langton Villas</t>
  </si>
  <si>
    <t xml:space="preserve">Berriedale </t>
  </si>
  <si>
    <t>Carl</t>
  </si>
  <si>
    <t>Stacy</t>
  </si>
  <si>
    <t>Single Place</t>
  </si>
  <si>
    <t>Lorean</t>
  </si>
  <si>
    <t>Parkington Cottages</t>
  </si>
  <si>
    <t>Sydney</t>
  </si>
  <si>
    <t>Florence Cottages</t>
  </si>
  <si>
    <t>Bea</t>
  </si>
  <si>
    <t>Avila</t>
  </si>
  <si>
    <t>Allhallows Lane</t>
  </si>
  <si>
    <t>Alyssa</t>
  </si>
  <si>
    <t>Benavides</t>
  </si>
  <si>
    <t>Eagle Cottages</t>
  </si>
  <si>
    <t>Delana</t>
  </si>
  <si>
    <t>Albemarle</t>
  </si>
  <si>
    <t xml:space="preserve">St. Neots </t>
  </si>
  <si>
    <t>Marguerita</t>
  </si>
  <si>
    <t>Slaughter</t>
  </si>
  <si>
    <t>Devonport Cottages</t>
  </si>
  <si>
    <t>Burma</t>
  </si>
  <si>
    <t>Sanderson</t>
  </si>
  <si>
    <t>Compton House</t>
  </si>
  <si>
    <t xml:space="preserve">Bromsgrove </t>
  </si>
  <si>
    <t>Christi</t>
  </si>
  <si>
    <t>Evans</t>
  </si>
  <si>
    <t>Monmouth Court</t>
  </si>
  <si>
    <t xml:space="preserve">Ibstock </t>
  </si>
  <si>
    <t>Delpha</t>
  </si>
  <si>
    <t>Oneil</t>
  </si>
  <si>
    <t>Hardwicks Way</t>
  </si>
  <si>
    <t xml:space="preserve">Abingdon </t>
  </si>
  <si>
    <t>Oda</t>
  </si>
  <si>
    <t>Lancaster</t>
  </si>
  <si>
    <t>Providence Court</t>
  </si>
  <si>
    <t xml:space="preserve">West Kilbride </t>
  </si>
  <si>
    <t>Bourgeois</t>
  </si>
  <si>
    <t>Ashburton Terrace</t>
  </si>
  <si>
    <t xml:space="preserve">Augher </t>
  </si>
  <si>
    <t>Ziegler</t>
  </si>
  <si>
    <t>Lee Place</t>
  </si>
  <si>
    <t>Chassidy</t>
  </si>
  <si>
    <t>Self</t>
  </si>
  <si>
    <t>Shirebrook Road</t>
  </si>
  <si>
    <t xml:space="preserve">Dorking </t>
  </si>
  <si>
    <t>Shaneka</t>
  </si>
  <si>
    <t>Kirkland</t>
  </si>
  <si>
    <t>Gardnor Road</t>
  </si>
  <si>
    <t xml:space="preserve">Battle </t>
  </si>
  <si>
    <t>Nicky</t>
  </si>
  <si>
    <t>Laird</t>
  </si>
  <si>
    <t>Piedmont Road</t>
  </si>
  <si>
    <t xml:space="preserve">New Malden </t>
  </si>
  <si>
    <t>Christian</t>
  </si>
  <si>
    <t>Raines</t>
  </si>
  <si>
    <t>Wells Cottages</t>
  </si>
  <si>
    <t xml:space="preserve">Dalwhinnie </t>
  </si>
  <si>
    <t>Takisha</t>
  </si>
  <si>
    <t>Hamlin</t>
  </si>
  <si>
    <t>Brouncker Road</t>
  </si>
  <si>
    <t xml:space="preserve">Todmorden </t>
  </si>
  <si>
    <t>Tamie</t>
  </si>
  <si>
    <t>Robinsons Terrace</t>
  </si>
  <si>
    <t xml:space="preserve">Newbiggin-By-The-Sea </t>
  </si>
  <si>
    <t>Belinda</t>
  </si>
  <si>
    <t>Payne</t>
  </si>
  <si>
    <t>Eden Place</t>
  </si>
  <si>
    <t xml:space="preserve">North Ferriby </t>
  </si>
  <si>
    <t>Delora</t>
  </si>
  <si>
    <t>Kingfisher Close</t>
  </si>
  <si>
    <t>Kimiko</t>
  </si>
  <si>
    <t>Waddington Street</t>
  </si>
  <si>
    <t xml:space="preserve">Rugby </t>
  </si>
  <si>
    <t>Albina</t>
  </si>
  <si>
    <t>Nielsen</t>
  </si>
  <si>
    <t>Widley Road</t>
  </si>
  <si>
    <t xml:space="preserve">Burry Port </t>
  </si>
  <si>
    <t>Lavona</t>
  </si>
  <si>
    <t>Hilton</t>
  </si>
  <si>
    <t>Clapham Place</t>
  </si>
  <si>
    <t>Keiko</t>
  </si>
  <si>
    <t>Mathis</t>
  </si>
  <si>
    <t>Argyle Road</t>
  </si>
  <si>
    <t xml:space="preserve">Lybster </t>
  </si>
  <si>
    <t>George</t>
  </si>
  <si>
    <t>Mooney</t>
  </si>
  <si>
    <t>St Hughs</t>
  </si>
  <si>
    <t xml:space="preserve">Ballater </t>
  </si>
  <si>
    <t>Jolynn</t>
  </si>
  <si>
    <t>Yeager</t>
  </si>
  <si>
    <t>Woodbine Place</t>
  </si>
  <si>
    <t xml:space="preserve">Westbury </t>
  </si>
  <si>
    <t>Dessie</t>
  </si>
  <si>
    <t>Peacock</t>
  </si>
  <si>
    <t>Monro Place</t>
  </si>
  <si>
    <t xml:space="preserve">Pencader </t>
  </si>
  <si>
    <t>Delores</t>
  </si>
  <si>
    <t>Diaz</t>
  </si>
  <si>
    <t>Bateman'S Buildings</t>
  </si>
  <si>
    <t xml:space="preserve">Selkirk </t>
  </si>
  <si>
    <t>Jacquelynn</t>
  </si>
  <si>
    <t>Appletree Close</t>
  </si>
  <si>
    <t>Tamica</t>
  </si>
  <si>
    <t>Danecroft Road</t>
  </si>
  <si>
    <t xml:space="preserve">Fortrose </t>
  </si>
  <si>
    <t>Orpha</t>
  </si>
  <si>
    <t>Brook St</t>
  </si>
  <si>
    <t xml:space="preserve">Laurencekirk </t>
  </si>
  <si>
    <t>Felisha</t>
  </si>
  <si>
    <t>Coffman</t>
  </si>
  <si>
    <t>Fitzgeorge Avenue</t>
  </si>
  <si>
    <t xml:space="preserve">Cranleigh </t>
  </si>
  <si>
    <t>Tyra</t>
  </si>
  <si>
    <t>Henley</t>
  </si>
  <si>
    <t>Sawkins Close</t>
  </si>
  <si>
    <t xml:space="preserve">Sunderland </t>
  </si>
  <si>
    <t>Cammy</t>
  </si>
  <si>
    <t>Chiltern Court</t>
  </si>
  <si>
    <t xml:space="preserve">Sidmouth </t>
  </si>
  <si>
    <t>Emelia</t>
  </si>
  <si>
    <t>Birchen Close</t>
  </si>
  <si>
    <t>Sherry</t>
  </si>
  <si>
    <t>Gill</t>
  </si>
  <si>
    <t>Elm Field</t>
  </si>
  <si>
    <t>Hisako</t>
  </si>
  <si>
    <t>Wilsons Court</t>
  </si>
  <si>
    <t xml:space="preserve">Woodhall Spa </t>
  </si>
  <si>
    <t>Byers</t>
  </si>
  <si>
    <t>Neathouse Buildings</t>
  </si>
  <si>
    <t xml:space="preserve">Marianglas </t>
  </si>
  <si>
    <t>Dierdre</t>
  </si>
  <si>
    <t>Salgado</t>
  </si>
  <si>
    <t>Clover Close</t>
  </si>
  <si>
    <t xml:space="preserve">Ashington </t>
  </si>
  <si>
    <t>Cherri</t>
  </si>
  <si>
    <t>Marino</t>
  </si>
  <si>
    <t>Merton Villas</t>
  </si>
  <si>
    <t xml:space="preserve">Caterham </t>
  </si>
  <si>
    <t>Elidia</t>
  </si>
  <si>
    <t>Sosa</t>
  </si>
  <si>
    <t>Kipling Street</t>
  </si>
  <si>
    <t>Susann</t>
  </si>
  <si>
    <t>Hare Place</t>
  </si>
  <si>
    <t xml:space="preserve">Honiton </t>
  </si>
  <si>
    <t>Shenika</t>
  </si>
  <si>
    <t>Juarez</t>
  </si>
  <si>
    <t>Allenbury Road</t>
  </si>
  <si>
    <t>Eastman</t>
  </si>
  <si>
    <t>Matchless Drive</t>
  </si>
  <si>
    <t xml:space="preserve">Market Rasen </t>
  </si>
  <si>
    <t>Shawna</t>
  </si>
  <si>
    <t>Silver</t>
  </si>
  <si>
    <t xml:space="preserve">Kirkwall </t>
  </si>
  <si>
    <t>Isobel</t>
  </si>
  <si>
    <t>School: Jewish</t>
  </si>
  <si>
    <t xml:space="preserve">Bakewell </t>
  </si>
  <si>
    <t>Denise</t>
  </si>
  <si>
    <t>Glenview</t>
  </si>
  <si>
    <t xml:space="preserve">Dunbar </t>
  </si>
  <si>
    <t>Gray</t>
  </si>
  <si>
    <t>South Elder</t>
  </si>
  <si>
    <t xml:space="preserve">Brixham </t>
  </si>
  <si>
    <t>Keena</t>
  </si>
  <si>
    <t>Pollock</t>
  </si>
  <si>
    <t>Riverview Road</t>
  </si>
  <si>
    <t xml:space="preserve">Leiston </t>
  </si>
  <si>
    <t>Langston</t>
  </si>
  <si>
    <t>Williams Close</t>
  </si>
  <si>
    <t>Loma</t>
  </si>
  <si>
    <t>Rivas</t>
  </si>
  <si>
    <t>Wittenham Way</t>
  </si>
  <si>
    <t>Leonard Cottages</t>
  </si>
  <si>
    <t xml:space="preserve">Ballyclare </t>
  </si>
  <si>
    <t>Marilee</t>
  </si>
  <si>
    <t>Cooper's Road</t>
  </si>
  <si>
    <t xml:space="preserve">Sale </t>
  </si>
  <si>
    <t>Mitzie</t>
  </si>
  <si>
    <t>Hunter</t>
  </si>
  <si>
    <t>Moresby Road</t>
  </si>
  <si>
    <t xml:space="preserve">Chathill </t>
  </si>
  <si>
    <t>Mercedes</t>
  </si>
  <si>
    <t>Wiseman</t>
  </si>
  <si>
    <t>Station Estate</t>
  </si>
  <si>
    <t xml:space="preserve">Ruislip </t>
  </si>
  <si>
    <t>Marissa</t>
  </si>
  <si>
    <t>Cliveden Place</t>
  </si>
  <si>
    <t>Tennille</t>
  </si>
  <si>
    <t>Linden Lea</t>
  </si>
  <si>
    <t>leann</t>
  </si>
  <si>
    <t>Gordonbrock Road</t>
  </si>
  <si>
    <t xml:space="preserve">Scunthorpe </t>
  </si>
  <si>
    <t>Vang</t>
  </si>
  <si>
    <t>Shoolhouse</t>
  </si>
  <si>
    <t>Hellen</t>
  </si>
  <si>
    <t>Woodcote Place</t>
  </si>
  <si>
    <t>Josefa</t>
  </si>
  <si>
    <t>Stallings</t>
  </si>
  <si>
    <t>Lisban Street</t>
  </si>
  <si>
    <t xml:space="preserve">Cranbrook </t>
  </si>
  <si>
    <t>Bev</t>
  </si>
  <si>
    <t>Donnelly</t>
  </si>
  <si>
    <t>Erewash Terrace</t>
  </si>
  <si>
    <t xml:space="preserve">Livingston </t>
  </si>
  <si>
    <t>Risa</t>
  </si>
  <si>
    <t>Dillard</t>
  </si>
  <si>
    <t>Bakers Mews</t>
  </si>
  <si>
    <t>Cressfield Close</t>
  </si>
  <si>
    <t xml:space="preserve">Smethwick </t>
  </si>
  <si>
    <t>Winkler</t>
  </si>
  <si>
    <t>Broughton Street</t>
  </si>
  <si>
    <t>Hillcrest Close</t>
  </si>
  <si>
    <t xml:space="preserve">Whitstable </t>
  </si>
  <si>
    <t>Candyce</t>
  </si>
  <si>
    <t>Deal</t>
  </si>
  <si>
    <t>Lumley Street</t>
  </si>
  <si>
    <t>Northamptonshire</t>
  </si>
  <si>
    <t>Destiny</t>
  </si>
  <si>
    <t>Aston Road</t>
  </si>
  <si>
    <t xml:space="preserve">Appin </t>
  </si>
  <si>
    <t>Helen</t>
  </si>
  <si>
    <t>Rowena Crescent</t>
  </si>
  <si>
    <t>Gallo</t>
  </si>
  <si>
    <t>Dorchester Court</t>
  </si>
  <si>
    <t xml:space="preserve">Etchingham </t>
  </si>
  <si>
    <t>Lesley</t>
  </si>
  <si>
    <t>Berger</t>
  </si>
  <si>
    <t>Pembroke Yard</t>
  </si>
  <si>
    <t>Marg</t>
  </si>
  <si>
    <t>Brock</t>
  </si>
  <si>
    <t>Northcott Avenue</t>
  </si>
  <si>
    <t xml:space="preserve">Sleaford </t>
  </si>
  <si>
    <t>Ida</t>
  </si>
  <si>
    <t>Archer Place</t>
  </si>
  <si>
    <t xml:space="preserve">Wylam </t>
  </si>
  <si>
    <t>Chantal</t>
  </si>
  <si>
    <t>Rosen</t>
  </si>
  <si>
    <t>Condray Place</t>
  </si>
  <si>
    <t>Rochelle</t>
  </si>
  <si>
    <t>Beach</t>
  </si>
  <si>
    <t>Marshalls Pottery</t>
  </si>
  <si>
    <t xml:space="preserve">Milford Haven </t>
  </si>
  <si>
    <t>Murphy</t>
  </si>
  <si>
    <t>Batty's Yard</t>
  </si>
  <si>
    <t>Hwa</t>
  </si>
  <si>
    <t>Villa</t>
  </si>
  <si>
    <t>Arthur Terrace</t>
  </si>
  <si>
    <t>Arlette</t>
  </si>
  <si>
    <t>Central Park</t>
  </si>
  <si>
    <t xml:space="preserve">Riding Mill </t>
  </si>
  <si>
    <t>Dominga</t>
  </si>
  <si>
    <t>Sharpe</t>
  </si>
  <si>
    <t>Ralston Street</t>
  </si>
  <si>
    <t>Shanta</t>
  </si>
  <si>
    <t>Lusk</t>
  </si>
  <si>
    <t>Heathway Court</t>
  </si>
  <si>
    <t xml:space="preserve">Teignmouth </t>
  </si>
  <si>
    <t>Dyan</t>
  </si>
  <si>
    <t>Chang</t>
  </si>
  <si>
    <t>Acacia Close</t>
  </si>
  <si>
    <t>Shirely</t>
  </si>
  <si>
    <t>Burgess</t>
  </si>
  <si>
    <t>Winchester Place</t>
  </si>
  <si>
    <t>Florencia</t>
  </si>
  <si>
    <t>Valdez</t>
  </si>
  <si>
    <t>Highbury Terrace</t>
  </si>
  <si>
    <t>Adaline</t>
  </si>
  <si>
    <t>Notting Barn</t>
  </si>
  <si>
    <t>Sherell</t>
  </si>
  <si>
    <t>Sheldon</t>
  </si>
  <si>
    <t>Portland Gardens</t>
  </si>
  <si>
    <t>Vannessa</t>
  </si>
  <si>
    <t>Harmon</t>
  </si>
  <si>
    <t>Varden Street</t>
  </si>
  <si>
    <t>Shiela</t>
  </si>
  <si>
    <t>Gernon Road</t>
  </si>
  <si>
    <t>Hampshire</t>
  </si>
  <si>
    <t>Arla</t>
  </si>
  <si>
    <t>Simpson Drive</t>
  </si>
  <si>
    <t>Amada</t>
  </si>
  <si>
    <t>Chavez</t>
  </si>
  <si>
    <t>Barnsbury Park</t>
  </si>
  <si>
    <t xml:space="preserve">Armagh </t>
  </si>
  <si>
    <t>Derwent Grove</t>
  </si>
  <si>
    <t>Willard</t>
  </si>
  <si>
    <t>Whitehead Close</t>
  </si>
  <si>
    <t xml:space="preserve">Nantwich </t>
  </si>
  <si>
    <t>Vigil</t>
  </si>
  <si>
    <t>Palfrey Place</t>
  </si>
  <si>
    <t>Homewillow Close</t>
  </si>
  <si>
    <t>Lorrie</t>
  </si>
  <si>
    <t>Perceval Avenue</t>
  </si>
  <si>
    <t>Missy</t>
  </si>
  <si>
    <t>Cramer</t>
  </si>
  <si>
    <t>Ashley Place</t>
  </si>
  <si>
    <t xml:space="preserve">Llanymynech </t>
  </si>
  <si>
    <t>Downey</t>
  </si>
  <si>
    <t>Deane Street</t>
  </si>
  <si>
    <t xml:space="preserve">Beaworthy </t>
  </si>
  <si>
    <t>Denae</t>
  </si>
  <si>
    <t>Toney</t>
  </si>
  <si>
    <t>Holmleigh</t>
  </si>
  <si>
    <t xml:space="preserve">Pontyclun </t>
  </si>
  <si>
    <t>Yasuko</t>
  </si>
  <si>
    <t>Thistlebrook</t>
  </si>
  <si>
    <t xml:space="preserve">Dolgellau </t>
  </si>
  <si>
    <t>Samantha</t>
  </si>
  <si>
    <t>Horner</t>
  </si>
  <si>
    <t>Collingwood Avenue</t>
  </si>
  <si>
    <t>Wall</t>
  </si>
  <si>
    <t>Crescent Terrace</t>
  </si>
  <si>
    <t xml:space="preserve">Ballynahinch </t>
  </si>
  <si>
    <t>Mellisa</t>
  </si>
  <si>
    <t>Campus Road</t>
  </si>
  <si>
    <t xml:space="preserve">Bangor </t>
  </si>
  <si>
    <t>Upton Place</t>
  </si>
  <si>
    <t xml:space="preserve">Okehampton </t>
  </si>
  <si>
    <t>Rona</t>
  </si>
  <si>
    <t>Helton</t>
  </si>
  <si>
    <t xml:space="preserve">Ringwood </t>
  </si>
  <si>
    <t>Charity</t>
  </si>
  <si>
    <t>Knotsford Street</t>
  </si>
  <si>
    <t xml:space="preserve">Thame </t>
  </si>
  <si>
    <t>Haywood</t>
  </si>
  <si>
    <t>Priestfield Road</t>
  </si>
  <si>
    <t xml:space="preserve">Taunton </t>
  </si>
  <si>
    <t>Hermine</t>
  </si>
  <si>
    <t>Mercado</t>
  </si>
  <si>
    <t>Templewood Avenue</t>
  </si>
  <si>
    <t xml:space="preserve">Thatcham </t>
  </si>
  <si>
    <t>Qiana</t>
  </si>
  <si>
    <t>Daley</t>
  </si>
  <si>
    <t>Lambeth Terrace</t>
  </si>
  <si>
    <t xml:space="preserve">Sturminster Newton </t>
  </si>
  <si>
    <t>Janene</t>
  </si>
  <si>
    <t>Elliott</t>
  </si>
  <si>
    <t>Palyns Almshouse</t>
  </si>
  <si>
    <t xml:space="preserve">Chorley </t>
  </si>
  <si>
    <t>Danyel</t>
  </si>
  <si>
    <t>Goode</t>
  </si>
  <si>
    <t>Victor Villas</t>
  </si>
  <si>
    <t>Daniel</t>
  </si>
  <si>
    <t>Milton</t>
  </si>
  <si>
    <t>Dafforne Road</t>
  </si>
  <si>
    <t xml:space="preserve">Highbridge </t>
  </si>
  <si>
    <t>Kassie</t>
  </si>
  <si>
    <t>Kilgore</t>
  </si>
  <si>
    <t>Liffler Road</t>
  </si>
  <si>
    <t>Carlyn</t>
  </si>
  <si>
    <t>Dejesus</t>
  </si>
  <si>
    <t>Little Lant</t>
  </si>
  <si>
    <t xml:space="preserve">Stromness </t>
  </si>
  <si>
    <t>Claire</t>
  </si>
  <si>
    <t>Gee</t>
  </si>
  <si>
    <t>Melrose Close</t>
  </si>
  <si>
    <t xml:space="preserve">Holywell </t>
  </si>
  <si>
    <t>Bonny</t>
  </si>
  <si>
    <t>Guy</t>
  </si>
  <si>
    <t xml:space="preserve">Stevenage </t>
  </si>
  <si>
    <t>Lakisha</t>
  </si>
  <si>
    <t>Dawkins</t>
  </si>
  <si>
    <t>Hitherfield Road</t>
  </si>
  <si>
    <t xml:space="preserve">Tranent </t>
  </si>
  <si>
    <t>Mariann</t>
  </si>
  <si>
    <t>Benitez</t>
  </si>
  <si>
    <t>Monkwell Street</t>
  </si>
  <si>
    <t xml:space="preserve">Romford </t>
  </si>
  <si>
    <t>Abernathy</t>
  </si>
  <si>
    <t>Chalfont Way</t>
  </si>
  <si>
    <t xml:space="preserve">Beaminster </t>
  </si>
  <si>
    <t>Catharine</t>
  </si>
  <si>
    <t>Merthyr Terrace</t>
  </si>
  <si>
    <t xml:space="preserve">Balerno </t>
  </si>
  <si>
    <t>Sarah</t>
  </si>
  <si>
    <t>Holland</t>
  </si>
  <si>
    <t>Lansdown Villas</t>
  </si>
  <si>
    <t xml:space="preserve">Tadworth </t>
  </si>
  <si>
    <t>Giuseppina</t>
  </si>
  <si>
    <t>Hensley</t>
  </si>
  <si>
    <t>Medway Road</t>
  </si>
  <si>
    <t>Melodie</t>
  </si>
  <si>
    <t>Addison</t>
  </si>
  <si>
    <t>Briston Mews</t>
  </si>
  <si>
    <t xml:space="preserve">Forest Row </t>
  </si>
  <si>
    <t>Mindy</t>
  </si>
  <si>
    <t>Goldfinch Road</t>
  </si>
  <si>
    <t>Heidy</t>
  </si>
  <si>
    <t>Hatch</t>
  </si>
  <si>
    <t>Stofield Gardens</t>
  </si>
  <si>
    <t xml:space="preserve">Gainsborough </t>
  </si>
  <si>
    <t>Vita</t>
  </si>
  <si>
    <t>Twelvetrees Crescent</t>
  </si>
  <si>
    <t>Keith</t>
  </si>
  <si>
    <t>Lanrick Road</t>
  </si>
  <si>
    <t xml:space="preserve">Wareham </t>
  </si>
  <si>
    <t>Nelda</t>
  </si>
  <si>
    <t>Carter Street</t>
  </si>
  <si>
    <t>Classie</t>
  </si>
  <si>
    <t>Stephenson Terrace</t>
  </si>
  <si>
    <t xml:space="preserve">Glogue </t>
  </si>
  <si>
    <t>Tomasa</t>
  </si>
  <si>
    <t>Horn</t>
  </si>
  <si>
    <t>Campshill Place</t>
  </si>
  <si>
    <t>Becki</t>
  </si>
  <si>
    <t>Lawson Close</t>
  </si>
  <si>
    <t xml:space="preserve">West Wickham </t>
  </si>
  <si>
    <t>Flavia</t>
  </si>
  <si>
    <t>Hill</t>
  </si>
  <si>
    <t>Craven Avenue</t>
  </si>
  <si>
    <t xml:space="preserve">Epping </t>
  </si>
  <si>
    <t>Lorette</t>
  </si>
  <si>
    <t>Thorne</t>
  </si>
  <si>
    <t>Rosefield Gardens</t>
  </si>
  <si>
    <t xml:space="preserve">Hawick </t>
  </si>
  <si>
    <t>Alesia</t>
  </si>
  <si>
    <t>Velazquez</t>
  </si>
  <si>
    <t>Precious</t>
  </si>
  <si>
    <t>Spicer</t>
  </si>
  <si>
    <t>Tate Road</t>
  </si>
  <si>
    <t xml:space="preserve">Kenley </t>
  </si>
  <si>
    <t>Latasha</t>
  </si>
  <si>
    <t>Terrell</t>
  </si>
  <si>
    <t>Feather Row</t>
  </si>
  <si>
    <t xml:space="preserve">Petersfield </t>
  </si>
  <si>
    <t>Maura</t>
  </si>
  <si>
    <t>Marsh</t>
  </si>
  <si>
    <t>Clarks Row</t>
  </si>
  <si>
    <t>Gerda</t>
  </si>
  <si>
    <t>Mckinley</t>
  </si>
  <si>
    <t>Victors Place</t>
  </si>
  <si>
    <t xml:space="preserve">Glastonbury </t>
  </si>
  <si>
    <t>marisolm</t>
  </si>
  <si>
    <t>Fordwych Road</t>
  </si>
  <si>
    <t xml:space="preserve">Elgin </t>
  </si>
  <si>
    <t>Fair</t>
  </si>
  <si>
    <t>Brydges Street</t>
  </si>
  <si>
    <t xml:space="preserve">Meifod </t>
  </si>
  <si>
    <t>Ibarra</t>
  </si>
  <si>
    <t>Lime Street</t>
  </si>
  <si>
    <t xml:space="preserve">Holmfirth </t>
  </si>
  <si>
    <t>Kacie</t>
  </si>
  <si>
    <t>Colvin</t>
  </si>
  <si>
    <t>Cobdon Street</t>
  </si>
  <si>
    <t>Sang</t>
  </si>
  <si>
    <t>Prater</t>
  </si>
  <si>
    <t>Fludyer Street</t>
  </si>
  <si>
    <t>Bradshaw</t>
  </si>
  <si>
    <t>Sailors Home</t>
  </si>
  <si>
    <t xml:space="preserve">Alresford </t>
  </si>
  <si>
    <t>Mark</t>
  </si>
  <si>
    <t>Sargent</t>
  </si>
  <si>
    <t>Leopold Street</t>
  </si>
  <si>
    <t>Shellie</t>
  </si>
  <si>
    <t>Tyrawley Road</t>
  </si>
  <si>
    <t xml:space="preserve">Stourbridge </t>
  </si>
  <si>
    <t>Stanley</t>
  </si>
  <si>
    <t>Falcon Place</t>
  </si>
  <si>
    <t>Wesley</t>
  </si>
  <si>
    <t>Owens</t>
  </si>
  <si>
    <t>Gentry Gardens</t>
  </si>
  <si>
    <t xml:space="preserve">Ashtead </t>
  </si>
  <si>
    <t>Quintana</t>
  </si>
  <si>
    <t>Redcross Square</t>
  </si>
  <si>
    <t xml:space="preserve">Dukinfield </t>
  </si>
  <si>
    <t>Leilani</t>
  </si>
  <si>
    <t>Hoffman</t>
  </si>
  <si>
    <t>Chapel Side</t>
  </si>
  <si>
    <t xml:space="preserve">Washington </t>
  </si>
  <si>
    <t>Janee</t>
  </si>
  <si>
    <t>Bruner</t>
  </si>
  <si>
    <t>Ferrestone Road</t>
  </si>
  <si>
    <t xml:space="preserve">Warminster </t>
  </si>
  <si>
    <t>Luciana</t>
  </si>
  <si>
    <t>Grayson</t>
  </si>
  <si>
    <t>Hawthorne Street</t>
  </si>
  <si>
    <t>Porter</t>
  </si>
  <si>
    <t>Basinghall Avenue</t>
  </si>
  <si>
    <t xml:space="preserve">Cornhill-On-Tweed </t>
  </si>
  <si>
    <t>Barbara</t>
  </si>
  <si>
    <t>Williamson</t>
  </si>
  <si>
    <t>Featherstone Street</t>
  </si>
  <si>
    <t>Rocio</t>
  </si>
  <si>
    <t>Jersey Road</t>
  </si>
  <si>
    <t>Krause</t>
  </si>
  <si>
    <t>Ida Street</t>
  </si>
  <si>
    <t xml:space="preserve">Thornhill </t>
  </si>
  <si>
    <t>Cindi</t>
  </si>
  <si>
    <t>Guidry</t>
  </si>
  <si>
    <t>Cleveland Grove</t>
  </si>
  <si>
    <t xml:space="preserve">Gillingham </t>
  </si>
  <si>
    <t>Nguyen</t>
  </si>
  <si>
    <t>Hannah Close</t>
  </si>
  <si>
    <t>Tarra</t>
  </si>
  <si>
    <t>Cody</t>
  </si>
  <si>
    <t>Iris Place</t>
  </si>
  <si>
    <t xml:space="preserve">Dunoon </t>
  </si>
  <si>
    <t>Sanjuana</t>
  </si>
  <si>
    <t>Highland Avenue</t>
  </si>
  <si>
    <t>Verdie</t>
  </si>
  <si>
    <t>Como Road</t>
  </si>
  <si>
    <t xml:space="preserve">Bath </t>
  </si>
  <si>
    <t>Karie</t>
  </si>
  <si>
    <t>Rivera</t>
  </si>
  <si>
    <t>Oldfield Road</t>
  </si>
  <si>
    <t xml:space="preserve">Billingshurst </t>
  </si>
  <si>
    <t>An</t>
  </si>
  <si>
    <t>Bishopsgate</t>
  </si>
  <si>
    <t>Darwin Road</t>
  </si>
  <si>
    <t xml:space="preserve">Bognor Regis </t>
  </si>
  <si>
    <t>Marlana</t>
  </si>
  <si>
    <t>Wilkinson</t>
  </si>
  <si>
    <t>Woodfield Lane</t>
  </si>
  <si>
    <t xml:space="preserve">Crook </t>
  </si>
  <si>
    <t>Maire</t>
  </si>
  <si>
    <t>Arthur Road</t>
  </si>
  <si>
    <t>Brandi</t>
  </si>
  <si>
    <t>Pollard</t>
  </si>
  <si>
    <t>Ogle Street</t>
  </si>
  <si>
    <t xml:space="preserve">Tywyn </t>
  </si>
  <si>
    <t>Donya</t>
  </si>
  <si>
    <t>Dane Street</t>
  </si>
  <si>
    <t>Stasia</t>
  </si>
  <si>
    <t>Koehler</t>
  </si>
  <si>
    <t>Pheonix Terrace</t>
  </si>
  <si>
    <t>Rebecka</t>
  </si>
  <si>
    <t>King</t>
  </si>
  <si>
    <t>North Park</t>
  </si>
  <si>
    <t xml:space="preserve">Kilwinning </t>
  </si>
  <si>
    <t>Otelia</t>
  </si>
  <si>
    <t>Warren</t>
  </si>
  <si>
    <t>New City</t>
  </si>
  <si>
    <t>Alma</t>
  </si>
  <si>
    <t>Castaneda</t>
  </si>
  <si>
    <t>Revensdon Street</t>
  </si>
  <si>
    <t xml:space="preserve">Falmouth </t>
  </si>
  <si>
    <t>Minnie</t>
  </si>
  <si>
    <t>Silva</t>
  </si>
  <si>
    <t>Hanging Sword</t>
  </si>
  <si>
    <t xml:space="preserve">Tenterden </t>
  </si>
  <si>
    <t>Keturah</t>
  </si>
  <si>
    <t>Penn</t>
  </si>
  <si>
    <t>Gordon Avenue</t>
  </si>
  <si>
    <t xml:space="preserve">Aberdare </t>
  </si>
  <si>
    <t>Melynda</t>
  </si>
  <si>
    <t>Everett</t>
  </si>
  <si>
    <t>Archway Road</t>
  </si>
  <si>
    <t>Dortha</t>
  </si>
  <si>
    <t>Knaresborough Place</t>
  </si>
  <si>
    <t>Karissa</t>
  </si>
  <si>
    <t>Hythe Road</t>
  </si>
  <si>
    <t>Bassett</t>
  </si>
  <si>
    <t>Dilke Street</t>
  </si>
  <si>
    <t xml:space="preserve">Cleckheaton </t>
  </si>
  <si>
    <t>Barrera</t>
  </si>
  <si>
    <t>Tylney Avenue</t>
  </si>
  <si>
    <t xml:space="preserve">Barrow-In-Furness </t>
  </si>
  <si>
    <t>Gail</t>
  </si>
  <si>
    <t>Dalemain Mews</t>
  </si>
  <si>
    <t xml:space="preserve">Redcar </t>
  </si>
  <si>
    <t>Cristine</t>
  </si>
  <si>
    <t>Bellendon Road</t>
  </si>
  <si>
    <t xml:space="preserve">Larbert </t>
  </si>
  <si>
    <t>Shawnna</t>
  </si>
  <si>
    <t>Hurt</t>
  </si>
  <si>
    <t xml:space="preserve">Woodford Green </t>
  </si>
  <si>
    <t>Ali</t>
  </si>
  <si>
    <t>Westbourne Park</t>
  </si>
  <si>
    <t xml:space="preserve">Avoch </t>
  </si>
  <si>
    <t>Maurine</t>
  </si>
  <si>
    <t>Burtonhole Close</t>
  </si>
  <si>
    <t xml:space="preserve">Dorchester </t>
  </si>
  <si>
    <t>Towanda</t>
  </si>
  <si>
    <t>Dooley</t>
  </si>
  <si>
    <t>Pritchard Place</t>
  </si>
  <si>
    <t xml:space="preserve">West Bromwich </t>
  </si>
  <si>
    <t>Signe</t>
  </si>
  <si>
    <t>Raymond Avenue</t>
  </si>
  <si>
    <t xml:space="preserve">Pewsey </t>
  </si>
  <si>
    <t>Hedy</t>
  </si>
  <si>
    <t>Truman Place</t>
  </si>
  <si>
    <t xml:space="preserve">Swadlincote </t>
  </si>
  <si>
    <t>Myrtis</t>
  </si>
  <si>
    <t>Sams</t>
  </si>
  <si>
    <t>Elgin Chambers</t>
  </si>
  <si>
    <t>Liliana</t>
  </si>
  <si>
    <t>Ryecotes Mead</t>
  </si>
  <si>
    <t xml:space="preserve">Ware </t>
  </si>
  <si>
    <t>Florrie</t>
  </si>
  <si>
    <t>Dumas</t>
  </si>
  <si>
    <t>Wellington Cottages</t>
  </si>
  <si>
    <t xml:space="preserve">Langport </t>
  </si>
  <si>
    <t>Bethel Mews</t>
  </si>
  <si>
    <t xml:space="preserve">Ledbury </t>
  </si>
  <si>
    <t>Dorcas</t>
  </si>
  <si>
    <t>Belcher</t>
  </si>
  <si>
    <t>Emgah Square</t>
  </si>
  <si>
    <t xml:space="preserve">Walton-On-Thames </t>
  </si>
  <si>
    <t>Tunworth Close</t>
  </si>
  <si>
    <t>Freeda</t>
  </si>
  <si>
    <t>Reynolds</t>
  </si>
  <si>
    <t>Lodge Avenue</t>
  </si>
  <si>
    <t xml:space="preserve">Kinbrace </t>
  </si>
  <si>
    <t>Argentina</t>
  </si>
  <si>
    <t>Thornsett Terrace</t>
  </si>
  <si>
    <t>Wava</t>
  </si>
  <si>
    <t>Pell Street</t>
  </si>
  <si>
    <t>Deanna</t>
  </si>
  <si>
    <t>Rasmussen</t>
  </si>
  <si>
    <t>Mews Gleagall</t>
  </si>
  <si>
    <t>Casandra</t>
  </si>
  <si>
    <t>Broomfield Street</t>
  </si>
  <si>
    <t xml:space="preserve">Lydney </t>
  </si>
  <si>
    <t>Edenbridge Close</t>
  </si>
  <si>
    <t>Dorene</t>
  </si>
  <si>
    <t>Polk</t>
  </si>
  <si>
    <t>Hemingford Terrace</t>
  </si>
  <si>
    <t xml:space="preserve">Newark </t>
  </si>
  <si>
    <t>Christeen</t>
  </si>
  <si>
    <t>Ferreira</t>
  </si>
  <si>
    <t>Porters Place</t>
  </si>
  <si>
    <t>Pierce</t>
  </si>
  <si>
    <t>Hendre Cottages</t>
  </si>
  <si>
    <t>Reda</t>
  </si>
  <si>
    <t>Gerry Raffles</t>
  </si>
  <si>
    <t xml:space="preserve">Deeside </t>
  </si>
  <si>
    <t>Chiquita</t>
  </si>
  <si>
    <t>Mclain</t>
  </si>
  <si>
    <t>Hyndewood</t>
  </si>
  <si>
    <t>Barb</t>
  </si>
  <si>
    <t>Caron</t>
  </si>
  <si>
    <t>Thrale Almshouses</t>
  </si>
  <si>
    <t xml:space="preserve">Gunnislake </t>
  </si>
  <si>
    <t>Madelyn</t>
  </si>
  <si>
    <t>Esparza</t>
  </si>
  <si>
    <t>White Church</t>
  </si>
  <si>
    <t>Dinah</t>
  </si>
  <si>
    <t>Sullivan</t>
  </si>
  <si>
    <t>Radcliffe Avenue</t>
  </si>
  <si>
    <t xml:space="preserve">Beckenham </t>
  </si>
  <si>
    <t>Shawnta</t>
  </si>
  <si>
    <t>Higgins</t>
  </si>
  <si>
    <t>Churston Mansions</t>
  </si>
  <si>
    <t xml:space="preserve">Nethy Bridge </t>
  </si>
  <si>
    <t>Melida</t>
  </si>
  <si>
    <t>Cartwright</t>
  </si>
  <si>
    <t>Bowness Crescent</t>
  </si>
  <si>
    <t>Vickie</t>
  </si>
  <si>
    <t>Gleneagles Close</t>
  </si>
  <si>
    <t>Keri</t>
  </si>
  <si>
    <t>Kearney</t>
  </si>
  <si>
    <t>Brailsford Villas</t>
  </si>
  <si>
    <t xml:space="preserve">Barmouth </t>
  </si>
  <si>
    <t>Zandra</t>
  </si>
  <si>
    <t>Voluntary Place</t>
  </si>
  <si>
    <t>Brianne</t>
  </si>
  <si>
    <t>Childs Cottages</t>
  </si>
  <si>
    <t xml:space="preserve">Beauly </t>
  </si>
  <si>
    <t>Mamie</t>
  </si>
  <si>
    <t>Barnabas Road</t>
  </si>
  <si>
    <t xml:space="preserve">Melrose </t>
  </si>
  <si>
    <t>Tami</t>
  </si>
  <si>
    <t>Powers</t>
  </si>
  <si>
    <t>Salvin Road</t>
  </si>
  <si>
    <t>Micki</t>
  </si>
  <si>
    <t>Matthews</t>
  </si>
  <si>
    <t>Johns Street</t>
  </si>
  <si>
    <t xml:space="preserve">Ellon </t>
  </si>
  <si>
    <t>Laticia</t>
  </si>
  <si>
    <t>Norwood</t>
  </si>
  <si>
    <t>Dolman Close</t>
  </si>
  <si>
    <t>Erna</t>
  </si>
  <si>
    <t>Harrell</t>
  </si>
  <si>
    <t>Marlborough Place</t>
  </si>
  <si>
    <t xml:space="preserve">Alness </t>
  </si>
  <si>
    <t>Gricelda</t>
  </si>
  <si>
    <t>Brockwell Park</t>
  </si>
  <si>
    <t>Jacquline</t>
  </si>
  <si>
    <t>Mccray</t>
  </si>
  <si>
    <t>Middlesex Place</t>
  </si>
  <si>
    <t xml:space="preserve">Cwmbran </t>
  </si>
  <si>
    <t>Portia</t>
  </si>
  <si>
    <t>Bergman</t>
  </si>
  <si>
    <t>Fenchurch Avenue</t>
  </si>
  <si>
    <t xml:space="preserve">Westcliff-On-Sea </t>
  </si>
  <si>
    <t>Denham Yard</t>
  </si>
  <si>
    <t xml:space="preserve">Hunstanton </t>
  </si>
  <si>
    <t>Masako</t>
  </si>
  <si>
    <t>Mckee</t>
  </si>
  <si>
    <t>Bermondsey Trading</t>
  </si>
  <si>
    <t>Gita</t>
  </si>
  <si>
    <t>Chacon</t>
  </si>
  <si>
    <t>Kensington Palace</t>
  </si>
  <si>
    <t xml:space="preserve">Sevenoaks </t>
  </si>
  <si>
    <t>Ericka</t>
  </si>
  <si>
    <t>Curran</t>
  </si>
  <si>
    <t>Offenham Road</t>
  </si>
  <si>
    <t xml:space="preserve">Alva </t>
  </si>
  <si>
    <t>Billy</t>
  </si>
  <si>
    <t>Lower Tyler</t>
  </si>
  <si>
    <t>Candis</t>
  </si>
  <si>
    <t>Parham</t>
  </si>
  <si>
    <t>Oronsay Walk</t>
  </si>
  <si>
    <t>Zaida</t>
  </si>
  <si>
    <t>Decker</t>
  </si>
  <si>
    <t>Ellerslie Gardens</t>
  </si>
  <si>
    <t>Lan</t>
  </si>
  <si>
    <t>Metcalf</t>
  </si>
  <si>
    <t>Greet Street</t>
  </si>
  <si>
    <t xml:space="preserve">Leek </t>
  </si>
  <si>
    <t>Micah</t>
  </si>
  <si>
    <t>Lockhart</t>
  </si>
  <si>
    <t>Paul's Court</t>
  </si>
  <si>
    <t xml:space="preserve">Abertillery </t>
  </si>
  <si>
    <t>Jennefer</t>
  </si>
  <si>
    <t>Hopper</t>
  </si>
  <si>
    <t>Kirby Estate</t>
  </si>
  <si>
    <t xml:space="preserve">Corwen </t>
  </si>
  <si>
    <t>Steffanie</t>
  </si>
  <si>
    <t>Napoleon Court</t>
  </si>
  <si>
    <t>Woodlawn Close</t>
  </si>
  <si>
    <t xml:space="preserve">Fort William </t>
  </si>
  <si>
    <t>Refugio</t>
  </si>
  <si>
    <t>Willis</t>
  </si>
  <si>
    <t>Ashbourne Villas</t>
  </si>
  <si>
    <t xml:space="preserve">Ashby-De-La-Zouch </t>
  </si>
  <si>
    <t>Nelle</t>
  </si>
  <si>
    <t>Miles</t>
  </si>
  <si>
    <t>Dimson Crescent</t>
  </si>
  <si>
    <t xml:space="preserve">Llanarth </t>
  </si>
  <si>
    <t>Marge</t>
  </si>
  <si>
    <t>Sprague</t>
  </si>
  <si>
    <t>Barnes Alley</t>
  </si>
  <si>
    <t xml:space="preserve">Ludlow </t>
  </si>
  <si>
    <t>Ingrid</t>
  </si>
  <si>
    <t>Flowers</t>
  </si>
  <si>
    <t>Pilsdon Close</t>
  </si>
  <si>
    <t>Suzie</t>
  </si>
  <si>
    <t>Potts</t>
  </si>
  <si>
    <t>Pekin Place</t>
  </si>
  <si>
    <t>yoko</t>
  </si>
  <si>
    <t>College Mews</t>
  </si>
  <si>
    <t>Elvina</t>
  </si>
  <si>
    <t>Mcbride</t>
  </si>
  <si>
    <t>Mabley Street</t>
  </si>
  <si>
    <t xml:space="preserve">Newmarket </t>
  </si>
  <si>
    <t>Vernita</t>
  </si>
  <si>
    <t>Messer</t>
  </si>
  <si>
    <t>Chase Gardens</t>
  </si>
  <si>
    <t>Weston</t>
  </si>
  <si>
    <t>Windus Road</t>
  </si>
  <si>
    <t>Mildred</t>
  </si>
  <si>
    <t>Nieves</t>
  </si>
  <si>
    <t>Orleston Mews</t>
  </si>
  <si>
    <t xml:space="preserve">Leven </t>
  </si>
  <si>
    <t>Major</t>
  </si>
  <si>
    <t>Capitol Way</t>
  </si>
  <si>
    <t xml:space="preserve">Bedlington </t>
  </si>
  <si>
    <t>Harold</t>
  </si>
  <si>
    <t>Stalham Street</t>
  </si>
  <si>
    <t>Velma</t>
  </si>
  <si>
    <t>Mcdonough</t>
  </si>
  <si>
    <t>The Sandhills</t>
  </si>
  <si>
    <t>Ewing</t>
  </si>
  <si>
    <t>Lydden Grove</t>
  </si>
  <si>
    <t>Adelia</t>
  </si>
  <si>
    <t>Kirk</t>
  </si>
  <si>
    <t>Cornflower Terrace</t>
  </si>
  <si>
    <t xml:space="preserve">Snodland </t>
  </si>
  <si>
    <t>Rebeca</t>
  </si>
  <si>
    <t>Begay</t>
  </si>
  <si>
    <t>Highbury Crescent</t>
  </si>
  <si>
    <t xml:space="preserve">Stonehaven </t>
  </si>
  <si>
    <t>vanna</t>
  </si>
  <si>
    <t>Franklin</t>
  </si>
  <si>
    <t>Molesford Road</t>
  </si>
  <si>
    <t>Octavia</t>
  </si>
  <si>
    <t>Collier</t>
  </si>
  <si>
    <t>Torriano Terrace</t>
  </si>
  <si>
    <t>Gertie</t>
  </si>
  <si>
    <t>Duffy</t>
  </si>
  <si>
    <t>Camden School</t>
  </si>
  <si>
    <t xml:space="preserve">Strome Ferry </t>
  </si>
  <si>
    <t>Tuttle</t>
  </si>
  <si>
    <t>Merrow Street</t>
  </si>
  <si>
    <t xml:space="preserve">Boscastle </t>
  </si>
  <si>
    <t>Benton</t>
  </si>
  <si>
    <t>Cinda</t>
  </si>
  <si>
    <t>Coppetts Close</t>
  </si>
  <si>
    <t>Juli</t>
  </si>
  <si>
    <t>Britton</t>
  </si>
  <si>
    <t>Rockingham Street</t>
  </si>
  <si>
    <t xml:space="preserve">Montrose </t>
  </si>
  <si>
    <t>Ellan</t>
  </si>
  <si>
    <t>Healy</t>
  </si>
  <si>
    <t>Cromer Road</t>
  </si>
  <si>
    <t>High View</t>
  </si>
  <si>
    <t xml:space="preserve">Loughborough </t>
  </si>
  <si>
    <t>Constance</t>
  </si>
  <si>
    <t>Jacobsen</t>
  </si>
  <si>
    <t>Clerkenwell Close</t>
  </si>
  <si>
    <t>Lyndia</t>
  </si>
  <si>
    <t>Reid</t>
  </si>
  <si>
    <t>St Gabriels</t>
  </si>
  <si>
    <t>Leblanc</t>
  </si>
  <si>
    <t>Bobeys Cottages</t>
  </si>
  <si>
    <t xml:space="preserve">Tavistock </t>
  </si>
  <si>
    <t>Georgianna</t>
  </si>
  <si>
    <t>Howland Street</t>
  </si>
  <si>
    <t>Genoveva</t>
  </si>
  <si>
    <t>Barnwood Close</t>
  </si>
  <si>
    <t>Kathryn</t>
  </si>
  <si>
    <t>Vargas</t>
  </si>
  <si>
    <t>Maverton Road</t>
  </si>
  <si>
    <t xml:space="preserve">Liskeard </t>
  </si>
  <si>
    <t>Shanda</t>
  </si>
  <si>
    <t>Daubeney Gardens</t>
  </si>
  <si>
    <t xml:space="preserve">Thurso </t>
  </si>
  <si>
    <t>Lashawn</t>
  </si>
  <si>
    <t>Clarke</t>
  </si>
  <si>
    <t>Cholmondeley Avenue</t>
  </si>
  <si>
    <t>Larue</t>
  </si>
  <si>
    <t>Bolingbroke Grove</t>
  </si>
  <si>
    <t>Edra</t>
  </si>
  <si>
    <t>Cline</t>
  </si>
  <si>
    <t>Cross Road</t>
  </si>
  <si>
    <t xml:space="preserve">Blandford Forum </t>
  </si>
  <si>
    <t>Sallie</t>
  </si>
  <si>
    <t>Morland Road</t>
  </si>
  <si>
    <t>Joannie</t>
  </si>
  <si>
    <t>Kessler</t>
  </si>
  <si>
    <t>Felton Street</t>
  </si>
  <si>
    <t xml:space="preserve">Penryn </t>
  </si>
  <si>
    <t>Ivette</t>
  </si>
  <si>
    <t>Ramsey</t>
  </si>
  <si>
    <t>Cold Street</t>
  </si>
  <si>
    <t>Tamisha</t>
  </si>
  <si>
    <t>Lassiter</t>
  </si>
  <si>
    <t>Guildhouse Street</t>
  </si>
  <si>
    <t>Ashlie</t>
  </si>
  <si>
    <t>Amos</t>
  </si>
  <si>
    <t>Hersham Close</t>
  </si>
  <si>
    <t>Tobie</t>
  </si>
  <si>
    <t>SHERMAN</t>
  </si>
  <si>
    <t>Spaniards Close</t>
  </si>
  <si>
    <t>Sindy</t>
  </si>
  <si>
    <t>Frankland Road</t>
  </si>
  <si>
    <t>Melisa</t>
  </si>
  <si>
    <t>Osier Street</t>
  </si>
  <si>
    <t>Christiana</t>
  </si>
  <si>
    <t>Ogden</t>
  </si>
  <si>
    <t>Roy Place</t>
  </si>
  <si>
    <t xml:space="preserve">Tyn-Y-Gongl </t>
  </si>
  <si>
    <t>Velia</t>
  </si>
  <si>
    <t>Whitt</t>
  </si>
  <si>
    <t>Edna Street</t>
  </si>
  <si>
    <t>Bernardine</t>
  </si>
  <si>
    <t>Molina</t>
  </si>
  <si>
    <t>Beachfield Road</t>
  </si>
  <si>
    <t>Vivian</t>
  </si>
  <si>
    <t>Bolwell Street</t>
  </si>
  <si>
    <t xml:space="preserve">Hayling Island </t>
  </si>
  <si>
    <t>Ira</t>
  </si>
  <si>
    <t>Dillon</t>
  </si>
  <si>
    <t>Admiral Walk</t>
  </si>
  <si>
    <t>Crocker</t>
  </si>
  <si>
    <t>Mardyke Street</t>
  </si>
  <si>
    <t xml:space="preserve">Melton Constable </t>
  </si>
  <si>
    <t>Karly</t>
  </si>
  <si>
    <t>William Barefoot</t>
  </si>
  <si>
    <t xml:space="preserve">Bridge Of Weir </t>
  </si>
  <si>
    <t>Hebert</t>
  </si>
  <si>
    <t>Orleans Road</t>
  </si>
  <si>
    <t xml:space="preserve">Seaton </t>
  </si>
  <si>
    <t>Jessica</t>
  </si>
  <si>
    <t>Youngblood</t>
  </si>
  <si>
    <t>Gaitskell Road</t>
  </si>
  <si>
    <t xml:space="preserve">Dundee </t>
  </si>
  <si>
    <t>Coralline Walk</t>
  </si>
  <si>
    <t xml:space="preserve">Waltham Cross </t>
  </si>
  <si>
    <t>Audry</t>
  </si>
  <si>
    <t>Munson</t>
  </si>
  <si>
    <t>Delamere Terrace</t>
  </si>
  <si>
    <t>Terina</t>
  </si>
  <si>
    <t>Farley</t>
  </si>
  <si>
    <t>Strachan Place</t>
  </si>
  <si>
    <t xml:space="preserve">Wingate </t>
  </si>
  <si>
    <t>Biggs</t>
  </si>
  <si>
    <t>Gosterwood Street</t>
  </si>
  <si>
    <t>Rachelle</t>
  </si>
  <si>
    <t>Howard</t>
  </si>
  <si>
    <t>Wemyss Road</t>
  </si>
  <si>
    <t xml:space="preserve">Woking </t>
  </si>
  <si>
    <t>Deloras</t>
  </si>
  <si>
    <t>Commonwealth Avenue</t>
  </si>
  <si>
    <t>Mariella</t>
  </si>
  <si>
    <t>Ardent Close</t>
  </si>
  <si>
    <t xml:space="preserve">Seascale </t>
  </si>
  <si>
    <t>Cristen</t>
  </si>
  <si>
    <t>Gustafson</t>
  </si>
  <si>
    <t>Hollingbourne Road</t>
  </si>
  <si>
    <t xml:space="preserve">South Shields </t>
  </si>
  <si>
    <t>Dalene</t>
  </si>
  <si>
    <t>Collyer Collages</t>
  </si>
  <si>
    <t xml:space="preserve">Burnley </t>
  </si>
  <si>
    <t>Hsiu</t>
  </si>
  <si>
    <t>Wooten</t>
  </si>
  <si>
    <t>Parker's Buildings</t>
  </si>
  <si>
    <t>Gamble</t>
  </si>
  <si>
    <t>Belfour Street</t>
  </si>
  <si>
    <t>Marline</t>
  </si>
  <si>
    <t>Shaver</t>
  </si>
  <si>
    <t>Dulwich Hill</t>
  </si>
  <si>
    <t>tatum</t>
  </si>
  <si>
    <t>Posey</t>
  </si>
  <si>
    <t>Norris Street</t>
  </si>
  <si>
    <t>Medcroft Gardens</t>
  </si>
  <si>
    <t xml:space="preserve">Bellshill </t>
  </si>
  <si>
    <t>Tena</t>
  </si>
  <si>
    <t>Morgan</t>
  </si>
  <si>
    <t>Sandringham Flats</t>
  </si>
  <si>
    <t>Heller</t>
  </si>
  <si>
    <t>Greenacre Gardens</t>
  </si>
  <si>
    <t xml:space="preserve">Boncath </t>
  </si>
  <si>
    <t>Georgene</t>
  </si>
  <si>
    <t>Monster Square</t>
  </si>
  <si>
    <t xml:space="preserve">Stroud </t>
  </si>
  <si>
    <t>Tayna</t>
  </si>
  <si>
    <t>Ildersly Grove</t>
  </si>
  <si>
    <t>Angelena</t>
  </si>
  <si>
    <t>Velez</t>
  </si>
  <si>
    <t>Heathedge</t>
  </si>
  <si>
    <t>Nannie</t>
  </si>
  <si>
    <t>Norman Grove</t>
  </si>
  <si>
    <t>Nell</t>
  </si>
  <si>
    <t>Shapiro</t>
  </si>
  <si>
    <t>Orbel Street</t>
  </si>
  <si>
    <t>Agnes</t>
  </si>
  <si>
    <t>Hilliard</t>
  </si>
  <si>
    <t>Tinsley Road</t>
  </si>
  <si>
    <t xml:space="preserve">Wigton </t>
  </si>
  <si>
    <t>Hattie</t>
  </si>
  <si>
    <t>Belanger</t>
  </si>
  <si>
    <t>Creek Road</t>
  </si>
  <si>
    <t>Phillis</t>
  </si>
  <si>
    <t>Jacob</t>
  </si>
  <si>
    <t>Redburn House</t>
  </si>
  <si>
    <t>Natisha</t>
  </si>
  <si>
    <t>Barnsbury Green</t>
  </si>
  <si>
    <t>Yukiko</t>
  </si>
  <si>
    <t>Alpha Grove</t>
  </si>
  <si>
    <t>Tiffanie</t>
  </si>
  <si>
    <t>Sutherland Terrace</t>
  </si>
  <si>
    <t>Bailey</t>
  </si>
  <si>
    <t>Valle</t>
  </si>
  <si>
    <t>Pasley Close</t>
  </si>
  <si>
    <t xml:space="preserve">Thetford </t>
  </si>
  <si>
    <t>Haydee</t>
  </si>
  <si>
    <t>Gibbs</t>
  </si>
  <si>
    <t>Craven Buldings</t>
  </si>
  <si>
    <t xml:space="preserve">Llanelli </t>
  </si>
  <si>
    <t>Latoyia</t>
  </si>
  <si>
    <t>Blicke Terrace</t>
  </si>
  <si>
    <t xml:space="preserve">Winsford </t>
  </si>
  <si>
    <t>Vermont Road</t>
  </si>
  <si>
    <t>Georgine</t>
  </si>
  <si>
    <t>Felix Terrace</t>
  </si>
  <si>
    <t xml:space="preserve">Hayle </t>
  </si>
  <si>
    <t>Demetria</t>
  </si>
  <si>
    <t>Glading Terrace</t>
  </si>
  <si>
    <t>Shae</t>
  </si>
  <si>
    <t xml:space="preserve">Hyde </t>
  </si>
  <si>
    <t>Kirton Lodge</t>
  </si>
  <si>
    <t>Katrina</t>
  </si>
  <si>
    <t>Stewarts Cottages</t>
  </si>
  <si>
    <t>Shawnee</t>
  </si>
  <si>
    <t>Sportsbank Street</t>
  </si>
  <si>
    <t xml:space="preserve">Magherafelt </t>
  </si>
  <si>
    <t>Darleen</t>
  </si>
  <si>
    <t>Ballard</t>
  </si>
  <si>
    <t>Hume Terrace</t>
  </si>
  <si>
    <t>Trula</t>
  </si>
  <si>
    <t>New Orleans</t>
  </si>
  <si>
    <t>Coulson Street</t>
  </si>
  <si>
    <t>Hillary</t>
  </si>
  <si>
    <t>Doherty</t>
  </si>
  <si>
    <t>Orford Road</t>
  </si>
  <si>
    <t xml:space="preserve">Crickhowell </t>
  </si>
  <si>
    <t>Adrianne</t>
  </si>
  <si>
    <t>Stark</t>
  </si>
  <si>
    <t>Camberwell House</t>
  </si>
  <si>
    <t>Rubin</t>
  </si>
  <si>
    <t>Shroffield Farm</t>
  </si>
  <si>
    <t xml:space="preserve">Isle Of Gigha </t>
  </si>
  <si>
    <t>Janella</t>
  </si>
  <si>
    <t>Smith's Lane</t>
  </si>
  <si>
    <t xml:space="preserve">Ashford </t>
  </si>
  <si>
    <t>Klara</t>
  </si>
  <si>
    <t>Vera</t>
  </si>
  <si>
    <t>Charlesfield</t>
  </si>
  <si>
    <t>Marni</t>
  </si>
  <si>
    <t>Mccauley</t>
  </si>
  <si>
    <t>Leithcote Gardens</t>
  </si>
  <si>
    <t xml:space="preserve">Leamington Spa </t>
  </si>
  <si>
    <t>Burch</t>
  </si>
  <si>
    <t>Heather Close</t>
  </si>
  <si>
    <t xml:space="preserve">Llandrindod Wells </t>
  </si>
  <si>
    <t>Tracie</t>
  </si>
  <si>
    <t>Rodway Road</t>
  </si>
  <si>
    <t xml:space="preserve">Ystrad Meurig </t>
  </si>
  <si>
    <t>Milissa</t>
  </si>
  <si>
    <t>Wong</t>
  </si>
  <si>
    <t>Erindale</t>
  </si>
  <si>
    <t xml:space="preserve">Kirkcaldy </t>
  </si>
  <si>
    <t>Romsey Road</t>
  </si>
  <si>
    <t>Harbour Yard</t>
  </si>
  <si>
    <t>Luella</t>
  </si>
  <si>
    <t>Skinner</t>
  </si>
  <si>
    <t>Little Sutton</t>
  </si>
  <si>
    <t xml:space="preserve">Warlingham </t>
  </si>
  <si>
    <t>Kena</t>
  </si>
  <si>
    <t>Cornett</t>
  </si>
  <si>
    <t>Denyer Street</t>
  </si>
  <si>
    <t xml:space="preserve">Clydebank </t>
  </si>
  <si>
    <t>Azucena</t>
  </si>
  <si>
    <t>Harding</t>
  </si>
  <si>
    <t>Baker's Alley</t>
  </si>
  <si>
    <t>Paola</t>
  </si>
  <si>
    <t>Chaney</t>
  </si>
  <si>
    <t>Mary Ann</t>
  </si>
  <si>
    <t xml:space="preserve">Tilbury </t>
  </si>
  <si>
    <t>Gertrude</t>
  </si>
  <si>
    <t>Gross</t>
  </si>
  <si>
    <t>Kilravock Street</t>
  </si>
  <si>
    <t>Fiona</t>
  </si>
  <si>
    <t>Trumans Brewery</t>
  </si>
  <si>
    <t xml:space="preserve">Bude </t>
  </si>
  <si>
    <t>Nola</t>
  </si>
  <si>
    <t>Brooks</t>
  </si>
  <si>
    <t>Charlotte Court</t>
  </si>
  <si>
    <t xml:space="preserve">Swanley </t>
  </si>
  <si>
    <t>Darcy</t>
  </si>
  <si>
    <t>Wills</t>
  </si>
  <si>
    <t>De Beauvoir</t>
  </si>
  <si>
    <t>Loren</t>
  </si>
  <si>
    <t>Ball</t>
  </si>
  <si>
    <t>Darlaston Road</t>
  </si>
  <si>
    <t xml:space="preserve">Purfleet </t>
  </si>
  <si>
    <t>Erlene</t>
  </si>
  <si>
    <t>Esposito</t>
  </si>
  <si>
    <t>Eversholt Street</t>
  </si>
  <si>
    <t>Tabatha</t>
  </si>
  <si>
    <t>Amott Road</t>
  </si>
  <si>
    <t>Henry</t>
  </si>
  <si>
    <t>Nuthurst Avenue</t>
  </si>
  <si>
    <t>Tia</t>
  </si>
  <si>
    <t>Conley</t>
  </si>
  <si>
    <t>Kari</t>
  </si>
  <si>
    <t>Yarbrough</t>
  </si>
  <si>
    <t>Edgill Street</t>
  </si>
  <si>
    <t xml:space="preserve">Abergele </t>
  </si>
  <si>
    <t>Tasia</t>
  </si>
  <si>
    <t>Briggs</t>
  </si>
  <si>
    <t>Ansdell Terrace</t>
  </si>
  <si>
    <t>Elnora</t>
  </si>
  <si>
    <t>Kent Place</t>
  </si>
  <si>
    <t>Cathey</t>
  </si>
  <si>
    <t>Glaserton Road</t>
  </si>
  <si>
    <t>Deborah</t>
  </si>
  <si>
    <t>Larson</t>
  </si>
  <si>
    <t>Sparrows Row</t>
  </si>
  <si>
    <t>Brigette</t>
  </si>
  <si>
    <t>Poonah Street</t>
  </si>
  <si>
    <t>Hilda</t>
  </si>
  <si>
    <t>Havant Road</t>
  </si>
  <si>
    <t>Jeffrey</t>
  </si>
  <si>
    <t>Palmer</t>
  </si>
  <si>
    <t>Carpenters Place</t>
  </si>
  <si>
    <t xml:space="preserve">Isle Of North Uist </t>
  </si>
  <si>
    <t>Tonette</t>
  </si>
  <si>
    <t>Humphrey</t>
  </si>
  <si>
    <t>Maurice Brown</t>
  </si>
  <si>
    <t>Nannette</t>
  </si>
  <si>
    <t>Clare Place</t>
  </si>
  <si>
    <t>Dewitt</t>
  </si>
  <si>
    <t>Lodge Close</t>
  </si>
  <si>
    <t xml:space="preserve">Calstock </t>
  </si>
  <si>
    <t>Serafina</t>
  </si>
  <si>
    <t>Marcus</t>
  </si>
  <si>
    <t>Meadowbank</t>
  </si>
  <si>
    <t xml:space="preserve">Thornton Heath </t>
  </si>
  <si>
    <t>Tessa</t>
  </si>
  <si>
    <t>Kirby Grove</t>
  </si>
  <si>
    <t>Synthia</t>
  </si>
  <si>
    <t>Goins</t>
  </si>
  <si>
    <t>New North</t>
  </si>
  <si>
    <t>Margeret</t>
  </si>
  <si>
    <t>Prescott</t>
  </si>
  <si>
    <t>Warrior Square</t>
  </si>
  <si>
    <t>Ashley</t>
  </si>
  <si>
    <t>Fitzpatrick</t>
  </si>
  <si>
    <t>Inca Drive</t>
  </si>
  <si>
    <t xml:space="preserve">Newton Abbot </t>
  </si>
  <si>
    <t>Lorene</t>
  </si>
  <si>
    <t xml:space="preserve">Sandwich </t>
  </si>
  <si>
    <t>Cleopatra</t>
  </si>
  <si>
    <t>Southern Road</t>
  </si>
  <si>
    <t xml:space="preserve">Wallington </t>
  </si>
  <si>
    <t>Emerita</t>
  </si>
  <si>
    <t>Patterson</t>
  </si>
  <si>
    <t>Bones Cottages</t>
  </si>
  <si>
    <t xml:space="preserve">Aberfeldy </t>
  </si>
  <si>
    <t>Juliet</t>
  </si>
  <si>
    <t>Tor Gardens</t>
  </si>
  <si>
    <t>Sherise</t>
  </si>
  <si>
    <t>Chapman</t>
  </si>
  <si>
    <t>Frobisher Cres</t>
  </si>
  <si>
    <t>Angelo</t>
  </si>
  <si>
    <t>Ludovick Walk</t>
  </si>
  <si>
    <t>Melina</t>
  </si>
  <si>
    <t>Givens</t>
  </si>
  <si>
    <t>Keats Parade</t>
  </si>
  <si>
    <t>Cassy</t>
  </si>
  <si>
    <t>Daniels</t>
  </si>
  <si>
    <t>Seyssel Street</t>
  </si>
  <si>
    <t>Shin</t>
  </si>
  <si>
    <t>Fernandez</t>
  </si>
  <si>
    <t>Marylebone Mews</t>
  </si>
  <si>
    <t>Norris</t>
  </si>
  <si>
    <t>Eclipse Road</t>
  </si>
  <si>
    <t>Babcock</t>
  </si>
  <si>
    <t>Aylesbury Close</t>
  </si>
  <si>
    <t xml:space="preserve">Ottery St. Mary </t>
  </si>
  <si>
    <t>Hill Street</t>
  </si>
  <si>
    <t>Shanel</t>
  </si>
  <si>
    <t>Garza</t>
  </si>
  <si>
    <t>Marley Close</t>
  </si>
  <si>
    <t>Lacresha</t>
  </si>
  <si>
    <t>Avery</t>
  </si>
  <si>
    <t>Kentmere Road</t>
  </si>
  <si>
    <t xml:space="preserve">Bodmin </t>
  </si>
  <si>
    <t>Kathleen</t>
  </si>
  <si>
    <t>Blackmon</t>
  </si>
  <si>
    <t>Morden Road</t>
  </si>
  <si>
    <t>Curtis</t>
  </si>
  <si>
    <t>Well Cottage</t>
  </si>
  <si>
    <t xml:space="preserve">St. Asaph </t>
  </si>
  <si>
    <t>Estefana</t>
  </si>
  <si>
    <t>Frank</t>
  </si>
  <si>
    <t>Rhodesia Road</t>
  </si>
  <si>
    <t>Holman</t>
  </si>
  <si>
    <t>Dacre Road</t>
  </si>
  <si>
    <t>Sina</t>
  </si>
  <si>
    <t>Lorrimore Terrace</t>
  </si>
  <si>
    <t>Carly</t>
  </si>
  <si>
    <t>Boone</t>
  </si>
  <si>
    <t>Portbury Close</t>
  </si>
  <si>
    <t>West Sussex</t>
  </si>
  <si>
    <t>Katelynn</t>
  </si>
  <si>
    <t>Pegwell Cottages</t>
  </si>
  <si>
    <t>Susan</t>
  </si>
  <si>
    <t>Brandon</t>
  </si>
  <si>
    <t>Penny Fields</t>
  </si>
  <si>
    <t>Tolbert</t>
  </si>
  <si>
    <t>Brunswick Mews</t>
  </si>
  <si>
    <t xml:space="preserve">Kidwelly </t>
  </si>
  <si>
    <t>Maryrose</t>
  </si>
  <si>
    <t>Agnew Street</t>
  </si>
  <si>
    <t>Vickers</t>
  </si>
  <si>
    <t>Randon Street</t>
  </si>
  <si>
    <t xml:space="preserve">Hessle </t>
  </si>
  <si>
    <t>Trinh</t>
  </si>
  <si>
    <t>Wells</t>
  </si>
  <si>
    <t>Macauley Mews</t>
  </si>
  <si>
    <t xml:space="preserve">Burnham-On-Crouch </t>
  </si>
  <si>
    <t>Kathyrn</t>
  </si>
  <si>
    <t>Becklow Road</t>
  </si>
  <si>
    <t>Marian</t>
  </si>
  <si>
    <t>Grecian Crescent</t>
  </si>
  <si>
    <t xml:space="preserve">Bordon </t>
  </si>
  <si>
    <t>Ona</t>
  </si>
  <si>
    <t>Stratton</t>
  </si>
  <si>
    <t>Grove Hall</t>
  </si>
  <si>
    <t>Summer</t>
  </si>
  <si>
    <t>Knowles</t>
  </si>
  <si>
    <t>Paddock Passage</t>
  </si>
  <si>
    <t>Castro</t>
  </si>
  <si>
    <t>Barlow Street</t>
  </si>
  <si>
    <t xml:space="preserve">Lochgelly </t>
  </si>
  <si>
    <t>Dania</t>
  </si>
  <si>
    <t>Earls Yard</t>
  </si>
  <si>
    <t>Tyrell Street</t>
  </si>
  <si>
    <t>soila</t>
  </si>
  <si>
    <t>Grosvenor Villas</t>
  </si>
  <si>
    <t>Asley</t>
  </si>
  <si>
    <t>Coveland Cottage</t>
  </si>
  <si>
    <t xml:space="preserve">Devizes </t>
  </si>
  <si>
    <t>Zoraida</t>
  </si>
  <si>
    <t>Bruce</t>
  </si>
  <si>
    <t>Hawkwell Walk</t>
  </si>
  <si>
    <t xml:space="preserve">Bedworth </t>
  </si>
  <si>
    <t>Jammie</t>
  </si>
  <si>
    <t>Pavilion Mews</t>
  </si>
  <si>
    <t>Woodruff</t>
  </si>
  <si>
    <t>Cline Road</t>
  </si>
  <si>
    <t>Faulk</t>
  </si>
  <si>
    <t>Parkside Gardens</t>
  </si>
  <si>
    <t xml:space="preserve">High Peak </t>
  </si>
  <si>
    <t>Hong</t>
  </si>
  <si>
    <t>Witherspoon</t>
  </si>
  <si>
    <t>Goad's Place</t>
  </si>
  <si>
    <t>Jonelle</t>
  </si>
  <si>
    <t>Mcmahon</t>
  </si>
  <si>
    <t>Thamesbank Place</t>
  </si>
  <si>
    <t xml:space="preserve">Aldershot </t>
  </si>
  <si>
    <t>Lettie</t>
  </si>
  <si>
    <t>Pratt</t>
  </si>
  <si>
    <t>Broad Way</t>
  </si>
  <si>
    <t>Chante</t>
  </si>
  <si>
    <t>Pruitt</t>
  </si>
  <si>
    <t>William Bonney</t>
  </si>
  <si>
    <t xml:space="preserve">Denny </t>
  </si>
  <si>
    <t>Sonya</t>
  </si>
  <si>
    <t>Dubois</t>
  </si>
  <si>
    <t>Antrim Road</t>
  </si>
  <si>
    <t xml:space="preserve">Brackley </t>
  </si>
  <si>
    <t>Lonna</t>
  </si>
  <si>
    <t>Sedding Street</t>
  </si>
  <si>
    <t>Holli</t>
  </si>
  <si>
    <t>Beal</t>
  </si>
  <si>
    <t>Draycott Mews</t>
  </si>
  <si>
    <t xml:space="preserve">Exmouth </t>
  </si>
  <si>
    <t>Richard</t>
  </si>
  <si>
    <t>Lyvenden Road</t>
  </si>
  <si>
    <t xml:space="preserve">Rosewell </t>
  </si>
  <si>
    <t>Zetta</t>
  </si>
  <si>
    <t>Blenheim Road</t>
  </si>
  <si>
    <t>Rozanne</t>
  </si>
  <si>
    <t>May</t>
  </si>
  <si>
    <t>James's Market</t>
  </si>
  <si>
    <t>Tanna</t>
  </si>
  <si>
    <t>Watson</t>
  </si>
  <si>
    <t>Gladding Road</t>
  </si>
  <si>
    <t xml:space="preserve">Brampton </t>
  </si>
  <si>
    <t>Consuela</t>
  </si>
  <si>
    <t>Hilgrove Road</t>
  </si>
  <si>
    <t>Cherrie</t>
  </si>
  <si>
    <t>Rocha</t>
  </si>
  <si>
    <t>Moselle Avenue</t>
  </si>
  <si>
    <t>Danyelle</t>
  </si>
  <si>
    <t>Emery</t>
  </si>
  <si>
    <t>China Hall</t>
  </si>
  <si>
    <t xml:space="preserve">Holywood </t>
  </si>
  <si>
    <t>Kyra</t>
  </si>
  <si>
    <t>Cortez</t>
  </si>
  <si>
    <t>Chalfont Road</t>
  </si>
  <si>
    <t xml:space="preserve">Sandhurst </t>
  </si>
  <si>
    <t>Tressa</t>
  </si>
  <si>
    <t>Yazzie</t>
  </si>
  <si>
    <t>King Frederick</t>
  </si>
  <si>
    <t xml:space="preserve">Bagshot </t>
  </si>
  <si>
    <t>Kirkdale Road</t>
  </si>
  <si>
    <t>Maragret</t>
  </si>
  <si>
    <t>Stokesley Street</t>
  </si>
  <si>
    <t>Clarisa</t>
  </si>
  <si>
    <t>Geiger</t>
  </si>
  <si>
    <t>Ashby Grove</t>
  </si>
  <si>
    <t>Birdie</t>
  </si>
  <si>
    <t>Bravo</t>
  </si>
  <si>
    <t>Blanchedowne</t>
  </si>
  <si>
    <t xml:space="preserve">Kingussie </t>
  </si>
  <si>
    <t>Lavon</t>
  </si>
  <si>
    <t>Mcconnell</t>
  </si>
  <si>
    <t>Wards Wharf</t>
  </si>
  <si>
    <t xml:space="preserve">North Tawton </t>
  </si>
  <si>
    <t>Lesha</t>
  </si>
  <si>
    <t>Means</t>
  </si>
  <si>
    <t>Meliot Road</t>
  </si>
  <si>
    <t>Lucilla</t>
  </si>
  <si>
    <t>Delacruz</t>
  </si>
  <si>
    <t>Great New</t>
  </si>
  <si>
    <t>Jonathan</t>
  </si>
  <si>
    <t>Roach</t>
  </si>
  <si>
    <t>Mr</t>
  </si>
  <si>
    <t>Lansdowne Road</t>
  </si>
  <si>
    <t xml:space="preserve">Fraserburgh </t>
  </si>
  <si>
    <t>Kermit</t>
  </si>
  <si>
    <t>Lynch</t>
  </si>
  <si>
    <t>Wesley Square</t>
  </si>
  <si>
    <t>Garth</t>
  </si>
  <si>
    <t>Bowling</t>
  </si>
  <si>
    <t>Epsom Road</t>
  </si>
  <si>
    <t>Ken</t>
  </si>
  <si>
    <t>Bouchard</t>
  </si>
  <si>
    <t>Dale Green</t>
  </si>
  <si>
    <t>Peter</t>
  </si>
  <si>
    <t>Coleman</t>
  </si>
  <si>
    <t>Lovegrove Cottages</t>
  </si>
  <si>
    <t>Vincent</t>
  </si>
  <si>
    <t>Turner Avenue</t>
  </si>
  <si>
    <t>Nigel</t>
  </si>
  <si>
    <t>Appleby Road</t>
  </si>
  <si>
    <t>Judson</t>
  </si>
  <si>
    <t>Percy Mews</t>
  </si>
  <si>
    <t xml:space="preserve">Gretna </t>
  </si>
  <si>
    <t>Jerrell</t>
  </si>
  <si>
    <t>Hogue</t>
  </si>
  <si>
    <t>Verity Close</t>
  </si>
  <si>
    <t>Dirk</t>
  </si>
  <si>
    <t>Flood</t>
  </si>
  <si>
    <t>York Square</t>
  </si>
  <si>
    <t>Chas</t>
  </si>
  <si>
    <t>Kempshead Road</t>
  </si>
  <si>
    <t>Gwudon Lodge</t>
  </si>
  <si>
    <t xml:space="preserve">South Croydon </t>
  </si>
  <si>
    <t>Jed</t>
  </si>
  <si>
    <t>Barnhart</t>
  </si>
  <si>
    <t>Sailsbury Villas</t>
  </si>
  <si>
    <t>Queen Place</t>
  </si>
  <si>
    <t>Bryce</t>
  </si>
  <si>
    <t>Ritter</t>
  </si>
  <si>
    <t>Paley Street</t>
  </si>
  <si>
    <t xml:space="preserve">Uttoxeter </t>
  </si>
  <si>
    <t>Shultz</t>
  </si>
  <si>
    <t>Branford Terrace</t>
  </si>
  <si>
    <t xml:space="preserve">Tighnabruaich </t>
  </si>
  <si>
    <t>Jared</t>
  </si>
  <si>
    <t>Dale Row</t>
  </si>
  <si>
    <t>Pickens</t>
  </si>
  <si>
    <t>Homelands</t>
  </si>
  <si>
    <t>Crummock Gardens</t>
  </si>
  <si>
    <t>Philip</t>
  </si>
  <si>
    <t>Rushing</t>
  </si>
  <si>
    <t>Burdett Avenue</t>
  </si>
  <si>
    <t>Lamont</t>
  </si>
  <si>
    <t>Nunez</t>
  </si>
  <si>
    <t>Union Drive</t>
  </si>
  <si>
    <t xml:space="preserve">St. Albans </t>
  </si>
  <si>
    <t>Lange</t>
  </si>
  <si>
    <t>Ahmed</t>
  </si>
  <si>
    <t>Dahl</t>
  </si>
  <si>
    <t>Bangor Street</t>
  </si>
  <si>
    <t xml:space="preserve">Buntingford </t>
  </si>
  <si>
    <t>Thomas Doyle</t>
  </si>
  <si>
    <t>Randell</t>
  </si>
  <si>
    <t>Dye</t>
  </si>
  <si>
    <t>Echo Heights</t>
  </si>
  <si>
    <t xml:space="preserve">North Walsham </t>
  </si>
  <si>
    <t>Darnell</t>
  </si>
  <si>
    <t>Hasler Close</t>
  </si>
  <si>
    <t xml:space="preserve">Irvine </t>
  </si>
  <si>
    <t>Troy</t>
  </si>
  <si>
    <t>Harden</t>
  </si>
  <si>
    <t>Oldbury Place</t>
  </si>
  <si>
    <t>Spencer</t>
  </si>
  <si>
    <t>Faulkners Alley</t>
  </si>
  <si>
    <t xml:space="preserve">Brough </t>
  </si>
  <si>
    <t>Parker</t>
  </si>
  <si>
    <t>Goldcrest Mews</t>
  </si>
  <si>
    <t>Dorian</t>
  </si>
  <si>
    <t>Schmitz</t>
  </si>
  <si>
    <t>Wykeham Rise</t>
  </si>
  <si>
    <t>Wilbert</t>
  </si>
  <si>
    <t>Tapp Street</t>
  </si>
  <si>
    <t>Winston</t>
  </si>
  <si>
    <t>Daly</t>
  </si>
  <si>
    <t>Leafield Close</t>
  </si>
  <si>
    <t xml:space="preserve">Fowey </t>
  </si>
  <si>
    <t>Thaddeus</t>
  </si>
  <si>
    <t>Booker Close</t>
  </si>
  <si>
    <t xml:space="preserve">Tarporley </t>
  </si>
  <si>
    <t>Brantley</t>
  </si>
  <si>
    <t>Colquhoun Place</t>
  </si>
  <si>
    <t xml:space="preserve">Godalming </t>
  </si>
  <si>
    <t>Jae</t>
  </si>
  <si>
    <t>Britannia Close</t>
  </si>
  <si>
    <t>Morton</t>
  </si>
  <si>
    <t>Brixton Station</t>
  </si>
  <si>
    <t>Mitch</t>
  </si>
  <si>
    <t>Prince</t>
  </si>
  <si>
    <t>Stockwell Terrace</t>
  </si>
  <si>
    <t>Alonso</t>
  </si>
  <si>
    <t>Benthal Road</t>
  </si>
  <si>
    <t>Guillermo</t>
  </si>
  <si>
    <t>Giles</t>
  </si>
  <si>
    <t>Brackenbury Gardens</t>
  </si>
  <si>
    <t xml:space="preserve">Annan </t>
  </si>
  <si>
    <t>Adrian</t>
  </si>
  <si>
    <t>Sloane Court</t>
  </si>
  <si>
    <t>Brain</t>
  </si>
  <si>
    <t>Calloway</t>
  </si>
  <si>
    <t>Greenwood Terrace</t>
  </si>
  <si>
    <t xml:space="preserve">Chalfont St. Giles </t>
  </si>
  <si>
    <t>Starr</t>
  </si>
  <si>
    <t>Coke Street</t>
  </si>
  <si>
    <t>Ezekiel</t>
  </si>
  <si>
    <t>Trafalgar Square</t>
  </si>
  <si>
    <t>Josue</t>
  </si>
  <si>
    <t>Marrero</t>
  </si>
  <si>
    <t>Rev</t>
  </si>
  <si>
    <t>Courtleigh Gardens</t>
  </si>
  <si>
    <t xml:space="preserve">Cleator Moor </t>
  </si>
  <si>
    <t>Adolfo</t>
  </si>
  <si>
    <t>Downing</t>
  </si>
  <si>
    <t>Esmerelda Road</t>
  </si>
  <si>
    <t>Armando</t>
  </si>
  <si>
    <t>Aftab Terrace</t>
  </si>
  <si>
    <t>Markus</t>
  </si>
  <si>
    <t>Seals</t>
  </si>
  <si>
    <t>Redcliffe Mews</t>
  </si>
  <si>
    <t>Swift</t>
  </si>
  <si>
    <t>Hambledown Chase</t>
  </si>
  <si>
    <t xml:space="preserve">Faversham </t>
  </si>
  <si>
    <t>Graham</t>
  </si>
  <si>
    <t>Shepperton Street</t>
  </si>
  <si>
    <t xml:space="preserve">Shoreham-By-Sea </t>
  </si>
  <si>
    <t>Dominique</t>
  </si>
  <si>
    <t>Zamora</t>
  </si>
  <si>
    <t>Sanders Buildings</t>
  </si>
  <si>
    <t xml:space="preserve">Milltimber </t>
  </si>
  <si>
    <t>Rodger</t>
  </si>
  <si>
    <t>Meyer</t>
  </si>
  <si>
    <t>Edwards Cottages</t>
  </si>
  <si>
    <t>Gerald</t>
  </si>
  <si>
    <t>Buckner</t>
  </si>
  <si>
    <t>Perry Avenue</t>
  </si>
  <si>
    <t>Derrick</t>
  </si>
  <si>
    <t>Ruffin</t>
  </si>
  <si>
    <t>Capel Road</t>
  </si>
  <si>
    <t>Ashworth Road</t>
  </si>
  <si>
    <t>Shaw</t>
  </si>
  <si>
    <t>Marden Road</t>
  </si>
  <si>
    <t xml:space="preserve">Beverley </t>
  </si>
  <si>
    <t>Bradford</t>
  </si>
  <si>
    <t>Nickerson</t>
  </si>
  <si>
    <t>Dartford Street</t>
  </si>
  <si>
    <t xml:space="preserve">Portree </t>
  </si>
  <si>
    <t>Jerrod</t>
  </si>
  <si>
    <t>Xiong</t>
  </si>
  <si>
    <t>Kimberley Gardens</t>
  </si>
  <si>
    <t xml:space="preserve">Mitcham </t>
  </si>
  <si>
    <t>Alden</t>
  </si>
  <si>
    <t>Westholm</t>
  </si>
  <si>
    <t>Cokers Lane</t>
  </si>
  <si>
    <t>Raul</t>
  </si>
  <si>
    <t>Sterling</t>
  </si>
  <si>
    <t>Oxgate Court</t>
  </si>
  <si>
    <t>Joshua</t>
  </si>
  <si>
    <t>Leary</t>
  </si>
  <si>
    <t>Edmund Place</t>
  </si>
  <si>
    <t>Lamar</t>
  </si>
  <si>
    <t>Naquin</t>
  </si>
  <si>
    <t>Walton Terrace</t>
  </si>
  <si>
    <t>Andreas</t>
  </si>
  <si>
    <t>Holt</t>
  </si>
  <si>
    <t>Stoneyard Place</t>
  </si>
  <si>
    <t>Freddie</t>
  </si>
  <si>
    <t>Leathermarket Court</t>
  </si>
  <si>
    <t>Rolando</t>
  </si>
  <si>
    <t>Southholme Close</t>
  </si>
  <si>
    <t xml:space="preserve">Spean Bridge </t>
  </si>
  <si>
    <t>Jan</t>
  </si>
  <si>
    <t>Cannon</t>
  </si>
  <si>
    <t>Berryfield Street</t>
  </si>
  <si>
    <t>Rayford</t>
  </si>
  <si>
    <t>Merritt</t>
  </si>
  <si>
    <t>Roland Villas</t>
  </si>
  <si>
    <t xml:space="preserve">Larne </t>
  </si>
  <si>
    <t>Danilo</t>
  </si>
  <si>
    <t>Riley</t>
  </si>
  <si>
    <t>Spring Mount</t>
  </si>
  <si>
    <t xml:space="preserve">Spalding </t>
  </si>
  <si>
    <t>Passmore Street</t>
  </si>
  <si>
    <t xml:space="preserve">Andover </t>
  </si>
  <si>
    <t>Arnoldo</t>
  </si>
  <si>
    <t>Parkdale Road</t>
  </si>
  <si>
    <t xml:space="preserve">Cinderford </t>
  </si>
  <si>
    <t>East Place</t>
  </si>
  <si>
    <t>Louis</t>
  </si>
  <si>
    <t>Leeson Road</t>
  </si>
  <si>
    <t>Scottie</t>
  </si>
  <si>
    <t>Findon Close</t>
  </si>
  <si>
    <t>Felipe</t>
  </si>
  <si>
    <t>Inman</t>
  </si>
  <si>
    <t>Domenic</t>
  </si>
  <si>
    <t>Reed</t>
  </si>
  <si>
    <t>Francis Court</t>
  </si>
  <si>
    <t>Malcolm</t>
  </si>
  <si>
    <t>Mahoney</t>
  </si>
  <si>
    <t>Beckett Street</t>
  </si>
  <si>
    <t>Emil</t>
  </si>
  <si>
    <t>Lund</t>
  </si>
  <si>
    <t>Leaf Grove</t>
  </si>
  <si>
    <t>Booker</t>
  </si>
  <si>
    <t>Knights Chambers</t>
  </si>
  <si>
    <t xml:space="preserve">Boldon Colliery </t>
  </si>
  <si>
    <t>Alejandro</t>
  </si>
  <si>
    <t>Vine Place</t>
  </si>
  <si>
    <t>CLIFTON</t>
  </si>
  <si>
    <t>Shere Road</t>
  </si>
  <si>
    <t xml:space="preserve">Pembroke </t>
  </si>
  <si>
    <t>Margarito</t>
  </si>
  <si>
    <t>Taunton Avenue</t>
  </si>
  <si>
    <t xml:space="preserve">Llanbedrgoch </t>
  </si>
  <si>
    <t>Gerardo</t>
  </si>
  <si>
    <t>Stokes</t>
  </si>
  <si>
    <t>Sturdys Cottage</t>
  </si>
  <si>
    <t>Memess Path</t>
  </si>
  <si>
    <t>Walker</t>
  </si>
  <si>
    <t>Cormier</t>
  </si>
  <si>
    <t>Lower Woolwich</t>
  </si>
  <si>
    <t xml:space="preserve">Merthyr Tydfil </t>
  </si>
  <si>
    <t>Olen</t>
  </si>
  <si>
    <t>Pugh</t>
  </si>
  <si>
    <t>Doctor Street</t>
  </si>
  <si>
    <t>Herrera</t>
  </si>
  <si>
    <t>Torrington Villas</t>
  </si>
  <si>
    <t xml:space="preserve">Sutton Coldfield </t>
  </si>
  <si>
    <t>Colby</t>
  </si>
  <si>
    <t>Quentin</t>
  </si>
  <si>
    <t>Lugo</t>
  </si>
  <si>
    <t>Buckmaster Road</t>
  </si>
  <si>
    <t xml:space="preserve">Epsom </t>
  </si>
  <si>
    <t>David</t>
  </si>
  <si>
    <t>Julian Avenue</t>
  </si>
  <si>
    <t xml:space="preserve">Witham </t>
  </si>
  <si>
    <t>Wayne</t>
  </si>
  <si>
    <t>Logan</t>
  </si>
  <si>
    <t>Homer Street</t>
  </si>
  <si>
    <t>Lauren</t>
  </si>
  <si>
    <t>Hardwicke Villas</t>
  </si>
  <si>
    <t>Jordon</t>
  </si>
  <si>
    <t>Chambers</t>
  </si>
  <si>
    <t>Ravensbury Road</t>
  </si>
  <si>
    <t>Arron</t>
  </si>
  <si>
    <t>Donahue</t>
  </si>
  <si>
    <t>Messeter Place</t>
  </si>
  <si>
    <t>Waylon</t>
  </si>
  <si>
    <t>Brady</t>
  </si>
  <si>
    <t>Luttrell Avenue</t>
  </si>
  <si>
    <t>Nestor</t>
  </si>
  <si>
    <t>Goldsmith</t>
  </si>
  <si>
    <t>Blackett Street</t>
  </si>
  <si>
    <t>Otha</t>
  </si>
  <si>
    <t>Lyme Grove</t>
  </si>
  <si>
    <t>Chris</t>
  </si>
  <si>
    <t>Hanley</t>
  </si>
  <si>
    <t>Leamington Villas</t>
  </si>
  <si>
    <t>Jerome</t>
  </si>
  <si>
    <t>Lujan</t>
  </si>
  <si>
    <t>Waterfield Close</t>
  </si>
  <si>
    <t>Vardens Road</t>
  </si>
  <si>
    <t>Maximo</t>
  </si>
  <si>
    <t>Deepdene Road</t>
  </si>
  <si>
    <t xml:space="preserve">Wadhurst </t>
  </si>
  <si>
    <t>Hipolito</t>
  </si>
  <si>
    <t>Kelfield Mews</t>
  </si>
  <si>
    <t xml:space="preserve">Barnet </t>
  </si>
  <si>
    <t>Donovan</t>
  </si>
  <si>
    <t>Saldana</t>
  </si>
  <si>
    <t>Knightly Court</t>
  </si>
  <si>
    <t xml:space="preserve">Boat Of Garten </t>
  </si>
  <si>
    <t>Deandre</t>
  </si>
  <si>
    <t>Choi</t>
  </si>
  <si>
    <t>Theodore Road</t>
  </si>
  <si>
    <t>Steve</t>
  </si>
  <si>
    <t>Bower</t>
  </si>
  <si>
    <t>Grovehall Terrace</t>
  </si>
  <si>
    <t xml:space="preserve">Stanmore </t>
  </si>
  <si>
    <t>Albert</t>
  </si>
  <si>
    <t>Lorrimore Street</t>
  </si>
  <si>
    <t>Agustin</t>
  </si>
  <si>
    <t>Schafer</t>
  </si>
  <si>
    <t>Tritton Street</t>
  </si>
  <si>
    <t>Rodrick</t>
  </si>
  <si>
    <t>Kingsmead Avenue</t>
  </si>
  <si>
    <t>Buster</t>
  </si>
  <si>
    <t>Snider</t>
  </si>
  <si>
    <t>Autumn Street</t>
  </si>
  <si>
    <t xml:space="preserve">Gorebridge </t>
  </si>
  <si>
    <t>Orville</t>
  </si>
  <si>
    <t>Brompton Terrace</t>
  </si>
  <si>
    <t>West Row</t>
  </si>
  <si>
    <t xml:space="preserve">Kington </t>
  </si>
  <si>
    <t>Hardens Manorway</t>
  </si>
  <si>
    <t>Bush</t>
  </si>
  <si>
    <t>Charles Grinling</t>
  </si>
  <si>
    <t>Stacey</t>
  </si>
  <si>
    <t>Haarlem Road</t>
  </si>
  <si>
    <t>Landon</t>
  </si>
  <si>
    <t>Berry</t>
  </si>
  <si>
    <t>Claybrook Close</t>
  </si>
  <si>
    <t>Blair</t>
  </si>
  <si>
    <t>Sidney Cottages</t>
  </si>
  <si>
    <t xml:space="preserve">Arlesey </t>
  </si>
  <si>
    <t>Doty</t>
  </si>
  <si>
    <t>Darlington Place</t>
  </si>
  <si>
    <t>Holcomb</t>
  </si>
  <si>
    <t>West Drive</t>
  </si>
  <si>
    <t xml:space="preserve">Isle Of Coll </t>
  </si>
  <si>
    <t>Rhett</t>
  </si>
  <si>
    <t>Melvin</t>
  </si>
  <si>
    <t>Glongall Terrace</t>
  </si>
  <si>
    <t>Rock</t>
  </si>
  <si>
    <t>Lewis</t>
  </si>
  <si>
    <t>Pancras Street</t>
  </si>
  <si>
    <t>Burston Villas</t>
  </si>
  <si>
    <t xml:space="preserve">Maldon </t>
  </si>
  <si>
    <t>Virginia Stone</t>
  </si>
  <si>
    <t>Joan</t>
  </si>
  <si>
    <t>Rossi</t>
  </si>
  <si>
    <t>Plum Lane</t>
  </si>
  <si>
    <t>Fermin</t>
  </si>
  <si>
    <t>Esmond Street</t>
  </si>
  <si>
    <t>Kim</t>
  </si>
  <si>
    <t>Osnaburgh Street</t>
  </si>
  <si>
    <t xml:space="preserve">Isle Of Scalpay </t>
  </si>
  <si>
    <t>Normand</t>
  </si>
  <si>
    <t>Delarosa</t>
  </si>
  <si>
    <t xml:space="preserve">Ongar </t>
  </si>
  <si>
    <t>willard</t>
  </si>
  <si>
    <t>Rojas</t>
  </si>
  <si>
    <t>Alcester Crescent</t>
  </si>
  <si>
    <t xml:space="preserve">Addlestone </t>
  </si>
  <si>
    <t>Lozano</t>
  </si>
  <si>
    <t>Whittington Road</t>
  </si>
  <si>
    <t>leon</t>
  </si>
  <si>
    <t>Gallegos</t>
  </si>
  <si>
    <t>Lyndon</t>
  </si>
  <si>
    <t>Chappell</t>
  </si>
  <si>
    <t>Holmshaw Close</t>
  </si>
  <si>
    <t xml:space="preserve">Kidlington </t>
  </si>
  <si>
    <t>Linwood</t>
  </si>
  <si>
    <t>Fryatt Road</t>
  </si>
  <si>
    <t>Gonzalo</t>
  </si>
  <si>
    <t>Ransom</t>
  </si>
  <si>
    <t>Tollington Place</t>
  </si>
  <si>
    <t>Curt</t>
  </si>
  <si>
    <t>Cromwell Road</t>
  </si>
  <si>
    <t xml:space="preserve">Lymington </t>
  </si>
  <si>
    <t>Luciano</t>
  </si>
  <si>
    <t>Ferriby Close</t>
  </si>
  <si>
    <t xml:space="preserve">Penrith </t>
  </si>
  <si>
    <t>Tommie</t>
  </si>
  <si>
    <t>Buck</t>
  </si>
  <si>
    <t>Fitchet's Court</t>
  </si>
  <si>
    <t>Ervin</t>
  </si>
  <si>
    <t>Eswyn Road</t>
  </si>
  <si>
    <t xml:space="preserve">Mexborough </t>
  </si>
  <si>
    <t>Monty</t>
  </si>
  <si>
    <t>Mccormick</t>
  </si>
  <si>
    <t>Southgate Business</t>
  </si>
  <si>
    <t xml:space="preserve">Ardrossan </t>
  </si>
  <si>
    <t>Grant Close</t>
  </si>
  <si>
    <t>Jay</t>
  </si>
  <si>
    <t>Meeks</t>
  </si>
  <si>
    <t>Brodlove Lane</t>
  </si>
  <si>
    <t xml:space="preserve">Littlehampton </t>
  </si>
  <si>
    <t>Francesco</t>
  </si>
  <si>
    <t>Trust Walk</t>
  </si>
  <si>
    <t>Aaron</t>
  </si>
  <si>
    <t>Clements</t>
  </si>
  <si>
    <t>Streathbourne Road</t>
  </si>
  <si>
    <t xml:space="preserve">Beckermet </t>
  </si>
  <si>
    <t>Dailey</t>
  </si>
  <si>
    <t>Westfield Way</t>
  </si>
  <si>
    <t xml:space="preserve">Isle Of Jura </t>
  </si>
  <si>
    <t>Dryburgh Gardens</t>
  </si>
  <si>
    <t xml:space="preserve">Catterick Garrison </t>
  </si>
  <si>
    <t>Erin</t>
  </si>
  <si>
    <t>Mayes</t>
  </si>
  <si>
    <t>Cedars</t>
  </si>
  <si>
    <t>Lytcott Grove</t>
  </si>
  <si>
    <t>Samual</t>
  </si>
  <si>
    <t>Northumberland Terrace</t>
  </si>
  <si>
    <t>Pete</t>
  </si>
  <si>
    <t>Hall</t>
  </si>
  <si>
    <t>Lancer Square</t>
  </si>
  <si>
    <t xml:space="preserve">Lightwater </t>
  </si>
  <si>
    <t>Cory</t>
  </si>
  <si>
    <t>Ron</t>
  </si>
  <si>
    <t>Wilkerson</t>
  </si>
  <si>
    <t>Countess Road</t>
  </si>
  <si>
    <t>Aguirre</t>
  </si>
  <si>
    <t>Bromells Buildings</t>
  </si>
  <si>
    <t>Carver</t>
  </si>
  <si>
    <t>Nightingale Close</t>
  </si>
  <si>
    <t>Mariano</t>
  </si>
  <si>
    <t>Clifford Street</t>
  </si>
  <si>
    <t>Roscoe</t>
  </si>
  <si>
    <t>Cantu</t>
  </si>
  <si>
    <t>Bridges Street</t>
  </si>
  <si>
    <t xml:space="preserve">Mold </t>
  </si>
  <si>
    <t>Rey</t>
  </si>
  <si>
    <t>Stanswood Gardens</t>
  </si>
  <si>
    <t xml:space="preserve">Martock </t>
  </si>
  <si>
    <t>Kyle</t>
  </si>
  <si>
    <t>Dalton</t>
  </si>
  <si>
    <t>Canal Wharf</t>
  </si>
  <si>
    <t xml:space="preserve">Peterhead </t>
  </si>
  <si>
    <t>Preston</t>
  </si>
  <si>
    <t>Moser</t>
  </si>
  <si>
    <t>Culford Mews</t>
  </si>
  <si>
    <t xml:space="preserve">Kingswinford </t>
  </si>
  <si>
    <t>Israel</t>
  </si>
  <si>
    <t>Kirkdale Corner</t>
  </si>
  <si>
    <t>Robby</t>
  </si>
  <si>
    <t>Frostic Place</t>
  </si>
  <si>
    <t>Malik</t>
  </si>
  <si>
    <t>Swanson</t>
  </si>
  <si>
    <t>Horsmonden Road</t>
  </si>
  <si>
    <t>Filiberto</t>
  </si>
  <si>
    <t>Crown Dale</t>
  </si>
  <si>
    <t>Ward</t>
  </si>
  <si>
    <t>Golderton</t>
  </si>
  <si>
    <t xml:space="preserve">Barry </t>
  </si>
  <si>
    <t>Eldon</t>
  </si>
  <si>
    <t>Shrubbery Close</t>
  </si>
  <si>
    <t>Pat</t>
  </si>
  <si>
    <t>Chu</t>
  </si>
  <si>
    <t>India Road</t>
  </si>
  <si>
    <t xml:space="preserve">Beaconsfield </t>
  </si>
  <si>
    <t>Pakeman Street</t>
  </si>
  <si>
    <t xml:space="preserve">Brighouse </t>
  </si>
  <si>
    <t>Noe</t>
  </si>
  <si>
    <t>Suggs</t>
  </si>
  <si>
    <t>Trollope Street</t>
  </si>
  <si>
    <t xml:space="preserve">Dudley </t>
  </si>
  <si>
    <t>Edmundo</t>
  </si>
  <si>
    <t>Fitzgerald</t>
  </si>
  <si>
    <t>Halcrow Street</t>
  </si>
  <si>
    <t>Benjamin</t>
  </si>
  <si>
    <t>Dodson</t>
  </si>
  <si>
    <t xml:space="preserve">Macclesfield </t>
  </si>
  <si>
    <t>Burton</t>
  </si>
  <si>
    <t>Telford Avenue</t>
  </si>
  <si>
    <t xml:space="preserve">Ryde </t>
  </si>
  <si>
    <t>Vincenzo</t>
  </si>
  <si>
    <t>Whitehall Yard</t>
  </si>
  <si>
    <t xml:space="preserve">Perranporth </t>
  </si>
  <si>
    <t>Orval</t>
  </si>
  <si>
    <t>Blount</t>
  </si>
  <si>
    <t>Well Grove</t>
  </si>
  <si>
    <t xml:space="preserve">Wilmslow </t>
  </si>
  <si>
    <t>Maynard</t>
  </si>
  <si>
    <t>Mcmillan</t>
  </si>
  <si>
    <t>Gunter Grove</t>
  </si>
  <si>
    <t xml:space="preserve">Bembridge </t>
  </si>
  <si>
    <t>Rodrigo</t>
  </si>
  <si>
    <t>Holbein Mews</t>
  </si>
  <si>
    <t xml:space="preserve">East Grinstead </t>
  </si>
  <si>
    <t>Leo</t>
  </si>
  <si>
    <t>New Bond</t>
  </si>
  <si>
    <t>Edith Green</t>
  </si>
  <si>
    <t xml:space="preserve">Amlwch </t>
  </si>
  <si>
    <t>Jame</t>
  </si>
  <si>
    <t>Taplow Street</t>
  </si>
  <si>
    <t>Cristobal</t>
  </si>
  <si>
    <t>Tuckers Rents</t>
  </si>
  <si>
    <t>Jim</t>
  </si>
  <si>
    <t>Adair</t>
  </si>
  <si>
    <t>Priors Dean</t>
  </si>
  <si>
    <t>Gaylord</t>
  </si>
  <si>
    <t>Lopez</t>
  </si>
  <si>
    <t>Trehurst Street</t>
  </si>
  <si>
    <t>Merlin</t>
  </si>
  <si>
    <t>Bradshaws Close</t>
  </si>
  <si>
    <t>Amelia Street</t>
  </si>
  <si>
    <t xml:space="preserve">Ingatestone </t>
  </si>
  <si>
    <t>Stevie</t>
  </si>
  <si>
    <t>Clonmore Street</t>
  </si>
  <si>
    <t xml:space="preserve">Halstead </t>
  </si>
  <si>
    <t>Garfield</t>
  </si>
  <si>
    <t>Dulwich High</t>
  </si>
  <si>
    <t xml:space="preserve">Marlow </t>
  </si>
  <si>
    <t>Cyril</t>
  </si>
  <si>
    <t>Rubio</t>
  </si>
  <si>
    <t>Sandringham Close</t>
  </si>
  <si>
    <t>Reggie</t>
  </si>
  <si>
    <t>Hawkins</t>
  </si>
  <si>
    <t>Harrow Manor</t>
  </si>
  <si>
    <t>Truman</t>
  </si>
  <si>
    <t>Mccall</t>
  </si>
  <si>
    <t>Rotherwick Hill</t>
  </si>
  <si>
    <t>Stan</t>
  </si>
  <si>
    <t>Little Cloisters</t>
  </si>
  <si>
    <t xml:space="preserve">Beaumaris </t>
  </si>
  <si>
    <t>Keneth</t>
  </si>
  <si>
    <t>Shipley</t>
  </si>
  <si>
    <t>Aeroville</t>
  </si>
  <si>
    <t xml:space="preserve">Callington </t>
  </si>
  <si>
    <t>Garland</t>
  </si>
  <si>
    <t>Bell Alley</t>
  </si>
  <si>
    <t>Phil</t>
  </si>
  <si>
    <t>Everards Place</t>
  </si>
  <si>
    <t xml:space="preserve">Gordon </t>
  </si>
  <si>
    <t>Christopher</t>
  </si>
  <si>
    <t>The Grove</t>
  </si>
  <si>
    <t xml:space="preserve">Abergavenny </t>
  </si>
  <si>
    <t>Russel</t>
  </si>
  <si>
    <t>Spa Green</t>
  </si>
  <si>
    <t xml:space="preserve">Cramlington </t>
  </si>
  <si>
    <t>Manual</t>
  </si>
  <si>
    <t>Regent Street</t>
  </si>
  <si>
    <t>Lawerence</t>
  </si>
  <si>
    <t>Phipps</t>
  </si>
  <si>
    <t>Hilton House</t>
  </si>
  <si>
    <t>Rex</t>
  </si>
  <si>
    <t>Arlesey Close</t>
  </si>
  <si>
    <t>Aubrey</t>
  </si>
  <si>
    <t>Woodward</t>
  </si>
  <si>
    <t>Rock Green</t>
  </si>
  <si>
    <t xml:space="preserve">Newtownards </t>
  </si>
  <si>
    <t>Hyman</t>
  </si>
  <si>
    <t>Loughbourough Park</t>
  </si>
  <si>
    <t xml:space="preserve">Rhosneigr </t>
  </si>
  <si>
    <t>Willow Gardens</t>
  </si>
  <si>
    <t>Barr</t>
  </si>
  <si>
    <t>Sterling Close</t>
  </si>
  <si>
    <t>Millard</t>
  </si>
  <si>
    <t>Crowley</t>
  </si>
  <si>
    <t>Dovercourt Estate</t>
  </si>
  <si>
    <t xml:space="preserve">Stourport-On-Severn </t>
  </si>
  <si>
    <t>Hobart Place</t>
  </si>
  <si>
    <t xml:space="preserve">Kingston Upon Thames </t>
  </si>
  <si>
    <t>Hank</t>
  </si>
  <si>
    <t>Queens Elm</t>
  </si>
  <si>
    <t>Gregg</t>
  </si>
  <si>
    <t>Orr</t>
  </si>
  <si>
    <t>Eaton Lane</t>
  </si>
  <si>
    <t>Terry</t>
  </si>
  <si>
    <t>Pasteur Gardens</t>
  </si>
  <si>
    <t xml:space="preserve">Frinton-On-Sea </t>
  </si>
  <si>
    <t>Glen</t>
  </si>
  <si>
    <t>Grange Lodge</t>
  </si>
  <si>
    <t xml:space="preserve">Elland </t>
  </si>
  <si>
    <t>Devon</t>
  </si>
  <si>
    <t>Cummings</t>
  </si>
  <si>
    <t>Christopher Street</t>
  </si>
  <si>
    <t>Darrell</t>
  </si>
  <si>
    <t>Rowell</t>
  </si>
  <si>
    <t>Pardon Street</t>
  </si>
  <si>
    <t xml:space="preserve">Banstead </t>
  </si>
  <si>
    <t>Nathaniel</t>
  </si>
  <si>
    <t>Geneva Court</t>
  </si>
  <si>
    <t>Hubert</t>
  </si>
  <si>
    <t>Tanner</t>
  </si>
  <si>
    <t>Gutteridge Court</t>
  </si>
  <si>
    <t xml:space="preserve">Tadley </t>
  </si>
  <si>
    <t>Isaiah</t>
  </si>
  <si>
    <t>Hamm</t>
  </si>
  <si>
    <t>Earles Cottages</t>
  </si>
  <si>
    <t xml:space="preserve">Earlston </t>
  </si>
  <si>
    <t>Nolan</t>
  </si>
  <si>
    <t>Akins</t>
  </si>
  <si>
    <t>Royal Victoria</t>
  </si>
  <si>
    <t xml:space="preserve">Wemyss Bay </t>
  </si>
  <si>
    <t>Blaine</t>
  </si>
  <si>
    <t>Blake</t>
  </si>
  <si>
    <t>Trinity Lane</t>
  </si>
  <si>
    <t xml:space="preserve">Llandysul </t>
  </si>
  <si>
    <t>Tobin</t>
  </si>
  <si>
    <t>Balliol Road</t>
  </si>
  <si>
    <t>Basil</t>
  </si>
  <si>
    <t>Chelsworth Drive</t>
  </si>
  <si>
    <t>Marc</t>
  </si>
  <si>
    <t>Oakley</t>
  </si>
  <si>
    <t>Station Crescent</t>
  </si>
  <si>
    <t>Jeffery</t>
  </si>
  <si>
    <t>Pace</t>
  </si>
  <si>
    <t>Loddige's Terrace</t>
  </si>
  <si>
    <t>Dwain</t>
  </si>
  <si>
    <t>Nassau Place</t>
  </si>
  <si>
    <t xml:space="preserve">Talsarnau </t>
  </si>
  <si>
    <t>Don</t>
  </si>
  <si>
    <t>Crowell</t>
  </si>
  <si>
    <t>Marsland Close</t>
  </si>
  <si>
    <t xml:space="preserve">Shipston-On-Stour </t>
  </si>
  <si>
    <t>Lynwood</t>
  </si>
  <si>
    <t>Mckay</t>
  </si>
  <si>
    <t>Minet Road</t>
  </si>
  <si>
    <t xml:space="preserve">Congleton </t>
  </si>
  <si>
    <t>Trig Lane</t>
  </si>
  <si>
    <t xml:space="preserve">Ullapool </t>
  </si>
  <si>
    <t>Parterstia Place</t>
  </si>
  <si>
    <t xml:space="preserve">Nairn </t>
  </si>
  <si>
    <t>Stone</t>
  </si>
  <si>
    <t>Farlton Road</t>
  </si>
  <si>
    <t>Faustino</t>
  </si>
  <si>
    <t>Saxfield Street</t>
  </si>
  <si>
    <t xml:space="preserve">Grantham </t>
  </si>
  <si>
    <t>Milan</t>
  </si>
  <si>
    <t>Frazer Street</t>
  </si>
  <si>
    <t>Leonardo</t>
  </si>
  <si>
    <t>Dunlap</t>
  </si>
  <si>
    <t>Haverstock Road</t>
  </si>
  <si>
    <t xml:space="preserve">Prestwick </t>
  </si>
  <si>
    <t>Keven</t>
  </si>
  <si>
    <t>Champagne</t>
  </si>
  <si>
    <t>Royal Tent</t>
  </si>
  <si>
    <t>Robinson</t>
  </si>
  <si>
    <t>Nancy Street</t>
  </si>
  <si>
    <t xml:space="preserve">Bures </t>
  </si>
  <si>
    <t>Jonas</t>
  </si>
  <si>
    <t>Quinones</t>
  </si>
  <si>
    <t>Dunfield Road</t>
  </si>
  <si>
    <t xml:space="preserve">Lampeter </t>
  </si>
  <si>
    <t>Ty</t>
  </si>
  <si>
    <t>Great Guilford</t>
  </si>
  <si>
    <t>Corbett</t>
  </si>
  <si>
    <t>Southcombe Street</t>
  </si>
  <si>
    <t>Brad</t>
  </si>
  <si>
    <t>Mims</t>
  </si>
  <si>
    <t>Fairfax Road</t>
  </si>
  <si>
    <t xml:space="preserve">Winkleigh </t>
  </si>
  <si>
    <t>Matthew</t>
  </si>
  <si>
    <t>Granary Road</t>
  </si>
  <si>
    <t xml:space="preserve">Chipping Norton </t>
  </si>
  <si>
    <t>Scot</t>
  </si>
  <si>
    <t>Copper Mead</t>
  </si>
  <si>
    <t xml:space="preserve">Pwllheli </t>
  </si>
  <si>
    <t>Theo</t>
  </si>
  <si>
    <t>Evelyn Mews</t>
  </si>
  <si>
    <t xml:space="preserve">Jarrow </t>
  </si>
  <si>
    <t>Winford</t>
  </si>
  <si>
    <t>Teague</t>
  </si>
  <si>
    <t>Ellaline Road</t>
  </si>
  <si>
    <t xml:space="preserve">Stornoway </t>
  </si>
  <si>
    <t>Charley</t>
  </si>
  <si>
    <t>Beckway Street</t>
  </si>
  <si>
    <t>Rufus</t>
  </si>
  <si>
    <t>Cardenas</t>
  </si>
  <si>
    <t>Goulston Square</t>
  </si>
  <si>
    <t xml:space="preserve">Wedmore </t>
  </si>
  <si>
    <t>Columbus</t>
  </si>
  <si>
    <t>Jacksons Lane</t>
  </si>
  <si>
    <t>Ware</t>
  </si>
  <si>
    <t>Edward Road</t>
  </si>
  <si>
    <t xml:space="preserve">Southport </t>
  </si>
  <si>
    <t>Rocco</t>
  </si>
  <si>
    <t>Geoffrey Close</t>
  </si>
  <si>
    <t>Jude</t>
  </si>
  <si>
    <t>Rush</t>
  </si>
  <si>
    <t>Maddison Villas</t>
  </si>
  <si>
    <t xml:space="preserve">Newport Pagnell </t>
  </si>
  <si>
    <t>Denmead Way</t>
  </si>
  <si>
    <t>Garry</t>
  </si>
  <si>
    <t>Holliday</t>
  </si>
  <si>
    <t>Lanbury Road</t>
  </si>
  <si>
    <t>Lower Gun</t>
  </si>
  <si>
    <t>Zachery</t>
  </si>
  <si>
    <t>Kaufman</t>
  </si>
  <si>
    <t>Frankfurt Road</t>
  </si>
  <si>
    <t>Von</t>
  </si>
  <si>
    <t>Humberstone Road</t>
  </si>
  <si>
    <t>Portinscale Road</t>
  </si>
  <si>
    <t>Madrid</t>
  </si>
  <si>
    <t>Reading Lane</t>
  </si>
  <si>
    <t>Rodgers</t>
  </si>
  <si>
    <t>John Adam</t>
  </si>
  <si>
    <t>Gibraltar Court</t>
  </si>
  <si>
    <t>Everette</t>
  </si>
  <si>
    <t>Barton</t>
  </si>
  <si>
    <t>Hobbs Place</t>
  </si>
  <si>
    <t>Willie</t>
  </si>
  <si>
    <t>Jarvis</t>
  </si>
  <si>
    <t>Bramble Gardens</t>
  </si>
  <si>
    <t>Montoya</t>
  </si>
  <si>
    <t>Shepherdess Place</t>
  </si>
  <si>
    <t>Bartle Avenue</t>
  </si>
  <si>
    <t>Sarah's Place</t>
  </si>
  <si>
    <t>Weldon</t>
  </si>
  <si>
    <t>Hatcliffes Alms</t>
  </si>
  <si>
    <t>Ignacio</t>
  </si>
  <si>
    <t>Normanton Park</t>
  </si>
  <si>
    <t>Harry</t>
  </si>
  <si>
    <t>Masslands Cottage</t>
  </si>
  <si>
    <t>Chance</t>
  </si>
  <si>
    <t>Sherwood Villas</t>
  </si>
  <si>
    <t>Carlton</t>
  </si>
  <si>
    <t>Meier</t>
  </si>
  <si>
    <t>Hambledon Gardens</t>
  </si>
  <si>
    <t>Bennie</t>
  </si>
  <si>
    <t>Coupland Terrace</t>
  </si>
  <si>
    <t>Calvert</t>
  </si>
  <si>
    <t>Radbourne Road</t>
  </si>
  <si>
    <t>Spears</t>
  </si>
  <si>
    <t>Ceres Road</t>
  </si>
  <si>
    <t>Jon</t>
  </si>
  <si>
    <t>Foote</t>
  </si>
  <si>
    <t>Crabtree Walk</t>
  </si>
  <si>
    <t>Raymon</t>
  </si>
  <si>
    <t>Balben Path</t>
  </si>
  <si>
    <t>Isaias</t>
  </si>
  <si>
    <t>Spangler</t>
  </si>
  <si>
    <t>Haysleigh Gardens</t>
  </si>
  <si>
    <t xml:space="preserve">Golspie </t>
  </si>
  <si>
    <t>Genaro</t>
  </si>
  <si>
    <t>Moulen House</t>
  </si>
  <si>
    <t>Alison Close</t>
  </si>
  <si>
    <t xml:space="preserve">King'S Lynn </t>
  </si>
  <si>
    <t>Kareem</t>
  </si>
  <si>
    <t>Hutchison</t>
  </si>
  <si>
    <t>Holborn</t>
  </si>
  <si>
    <t>Myles</t>
  </si>
  <si>
    <t>Friars Road</t>
  </si>
  <si>
    <t xml:space="preserve">Isle Of South Uist </t>
  </si>
  <si>
    <t>Bradley</t>
  </si>
  <si>
    <t xml:space="preserve">Lynton </t>
  </si>
  <si>
    <t>Lloyd</t>
  </si>
  <si>
    <t>Farnborough Way</t>
  </si>
  <si>
    <t xml:space="preserve">Castlederg </t>
  </si>
  <si>
    <t>Clyde</t>
  </si>
  <si>
    <t>Diggs</t>
  </si>
  <si>
    <t>Brockley Hall</t>
  </si>
  <si>
    <t>dylan</t>
  </si>
  <si>
    <t>Hoyt</t>
  </si>
  <si>
    <t>Garden Close</t>
  </si>
  <si>
    <t xml:space="preserve">Lee-On-The-Solent </t>
  </si>
  <si>
    <t>Dewayne</t>
  </si>
  <si>
    <t>Claps Gate</t>
  </si>
  <si>
    <t xml:space="preserve">Trefriw </t>
  </si>
  <si>
    <t>Alonzo</t>
  </si>
  <si>
    <t>Rodrigues</t>
  </si>
  <si>
    <t>Pierrepoint Road</t>
  </si>
  <si>
    <t>Jewel</t>
  </si>
  <si>
    <t>Oakes</t>
  </si>
  <si>
    <t>Lobelia Close</t>
  </si>
  <si>
    <t xml:space="preserve">Beccles </t>
  </si>
  <si>
    <t>Amies Street</t>
  </si>
  <si>
    <t>Orlando</t>
  </si>
  <si>
    <t>Hooker</t>
  </si>
  <si>
    <t>Ottaway Street</t>
  </si>
  <si>
    <t xml:space="preserve">Saltcoats </t>
  </si>
  <si>
    <t>Irvin</t>
  </si>
  <si>
    <t>Sawyer</t>
  </si>
  <si>
    <t>Stanton</t>
  </si>
  <si>
    <t>Walls</t>
  </si>
  <si>
    <t>Malthouse Drive</t>
  </si>
  <si>
    <t>Connors</t>
  </si>
  <si>
    <t>Boyd Street</t>
  </si>
  <si>
    <t>bob</t>
  </si>
  <si>
    <t>Lara</t>
  </si>
  <si>
    <t>Albert Avenue</t>
  </si>
  <si>
    <t xml:space="preserve">Buckhurst Hill </t>
  </si>
  <si>
    <t>Lincoln</t>
  </si>
  <si>
    <t>Lessar Avenue</t>
  </si>
  <si>
    <t>Thad</t>
  </si>
  <si>
    <t xml:space="preserve">Clitheroe </t>
  </si>
  <si>
    <t>Frazier</t>
  </si>
  <si>
    <t>Blaker Road</t>
  </si>
  <si>
    <t xml:space="preserve">South Petherton </t>
  </si>
  <si>
    <t>Goldman</t>
  </si>
  <si>
    <t>Southampton Mews</t>
  </si>
  <si>
    <t xml:space="preserve">Westhill </t>
  </si>
  <si>
    <t>Delmer</t>
  </si>
  <si>
    <t>Livingston</t>
  </si>
  <si>
    <t>Emerson Street</t>
  </si>
  <si>
    <t xml:space="preserve">Hassocks </t>
  </si>
  <si>
    <t>Brewer</t>
  </si>
  <si>
    <t>Garrick Avenue</t>
  </si>
  <si>
    <t>Hershel</t>
  </si>
  <si>
    <t>North Dulwich</t>
  </si>
  <si>
    <t>Toby</t>
  </si>
  <si>
    <t>Gagnon</t>
  </si>
  <si>
    <t>St Crispins</t>
  </si>
  <si>
    <t xml:space="preserve">Pentraeth </t>
  </si>
  <si>
    <t>Griffin</t>
  </si>
  <si>
    <t>Selwood Place</t>
  </si>
  <si>
    <t xml:space="preserve">Arbroath </t>
  </si>
  <si>
    <t>Milford</t>
  </si>
  <si>
    <t>Uverdale Road</t>
  </si>
  <si>
    <t xml:space="preserve">Ilford </t>
  </si>
  <si>
    <t>Stewart</t>
  </si>
  <si>
    <t>Chambon Place</t>
  </si>
  <si>
    <t xml:space="preserve">Dalkeith </t>
  </si>
  <si>
    <t>Faringford Road</t>
  </si>
  <si>
    <t>Leopoldo</t>
  </si>
  <si>
    <t>Sanctuary Buildings</t>
  </si>
  <si>
    <t xml:space="preserve">Chesterfield </t>
  </si>
  <si>
    <t>Orlando Villas</t>
  </si>
  <si>
    <t xml:space="preserve">Lairg </t>
  </si>
  <si>
    <t>Terence</t>
  </si>
  <si>
    <t>Jordan</t>
  </si>
  <si>
    <t>Cowthorpe Road</t>
  </si>
  <si>
    <t xml:space="preserve">Southam </t>
  </si>
  <si>
    <t>Salvatore</t>
  </si>
  <si>
    <t>Jacobs</t>
  </si>
  <si>
    <t>Oxford Close</t>
  </si>
  <si>
    <t>Casey</t>
  </si>
  <si>
    <t>Crawford</t>
  </si>
  <si>
    <t>Anns Row</t>
  </si>
  <si>
    <t>Elmo</t>
  </si>
  <si>
    <t>Kendrick</t>
  </si>
  <si>
    <t>Margery Street</t>
  </si>
  <si>
    <t xml:space="preserve">Colyton </t>
  </si>
  <si>
    <t>Bright Street</t>
  </si>
  <si>
    <t xml:space="preserve">Tenby </t>
  </si>
  <si>
    <t>Lon</t>
  </si>
  <si>
    <t>Rudd</t>
  </si>
  <si>
    <t>St Bartholomew</t>
  </si>
  <si>
    <t xml:space="preserve">Cheadle </t>
  </si>
  <si>
    <t>Bartley</t>
  </si>
  <si>
    <t>Portsmouth Road</t>
  </si>
  <si>
    <t xml:space="preserve">Redruth </t>
  </si>
  <si>
    <t>Darin</t>
  </si>
  <si>
    <t>Wharton Street</t>
  </si>
  <si>
    <t xml:space="preserve">Seahouses </t>
  </si>
  <si>
    <t>Medina</t>
  </si>
  <si>
    <t>Eyr Court</t>
  </si>
  <si>
    <t>Marquis</t>
  </si>
  <si>
    <t>Silvenhall</t>
  </si>
  <si>
    <t>Schultz</t>
  </si>
  <si>
    <t>Ambrose Close</t>
  </si>
  <si>
    <t>Valance Avenue</t>
  </si>
  <si>
    <t xml:space="preserve">Broughton-In-Furness </t>
  </si>
  <si>
    <t>HOSKINS</t>
  </si>
  <si>
    <t>Ashcroft Road</t>
  </si>
  <si>
    <t>Rashad</t>
  </si>
  <si>
    <t>Egan</t>
  </si>
  <si>
    <t>Conington Road</t>
  </si>
  <si>
    <t xml:space="preserve">Olney </t>
  </si>
  <si>
    <t>Leeland Road</t>
  </si>
  <si>
    <t xml:space="preserve">Crianlarich </t>
  </si>
  <si>
    <t>Federico</t>
  </si>
  <si>
    <t>Sherwood</t>
  </si>
  <si>
    <t>Vaudeville Court</t>
  </si>
  <si>
    <t xml:space="preserve">Portstewart </t>
  </si>
  <si>
    <t>Isiah</t>
  </si>
  <si>
    <t>North Passage</t>
  </si>
  <si>
    <t xml:space="preserve">Mitcheldean </t>
  </si>
  <si>
    <t>Domingo</t>
  </si>
  <si>
    <t>Ram Square</t>
  </si>
  <si>
    <t>Armand</t>
  </si>
  <si>
    <t>South Parade</t>
  </si>
  <si>
    <t>Johnson</t>
  </si>
  <si>
    <t>Daigeish Street</t>
  </si>
  <si>
    <t>Doyce Street</t>
  </si>
  <si>
    <t xml:space="preserve">Motherwell </t>
  </si>
  <si>
    <t>Danny</t>
  </si>
  <si>
    <t>Morena Street</t>
  </si>
  <si>
    <t>Salvador</t>
  </si>
  <si>
    <t>Topsfield Close</t>
  </si>
  <si>
    <t>Virgilio</t>
  </si>
  <si>
    <t>Conrad</t>
  </si>
  <si>
    <t>Kotree Way</t>
  </si>
  <si>
    <t>Colegrove Road</t>
  </si>
  <si>
    <t xml:space="preserve">Haltwhistle </t>
  </si>
  <si>
    <t>Dan</t>
  </si>
  <si>
    <t>Coppetts Road</t>
  </si>
  <si>
    <t>Shad</t>
  </si>
  <si>
    <t>Primrose Close</t>
  </si>
  <si>
    <t>burt</t>
  </si>
  <si>
    <t>Cambourne Avenue</t>
  </si>
  <si>
    <t xml:space="preserve">Herne Bay </t>
  </si>
  <si>
    <t>Arturo</t>
  </si>
  <si>
    <t>Mcghee</t>
  </si>
  <si>
    <t>Hillside Terrace</t>
  </si>
  <si>
    <t>Brendan</t>
  </si>
  <si>
    <t>Herbert Mews</t>
  </si>
  <si>
    <t>Jamal</t>
  </si>
  <si>
    <t>Primrose Mews</t>
  </si>
  <si>
    <t xml:space="preserve">Hook </t>
  </si>
  <si>
    <t>Vibart Gardens</t>
  </si>
  <si>
    <t>Bernard</t>
  </si>
  <si>
    <t>Compton Mews</t>
  </si>
  <si>
    <t>Downsfield Road</t>
  </si>
  <si>
    <t xml:space="preserve">Henfield </t>
  </si>
  <si>
    <t>Ronnie</t>
  </si>
  <si>
    <t>Diamond Terrace</t>
  </si>
  <si>
    <t xml:space="preserve">Redhill </t>
  </si>
  <si>
    <t>Leandro</t>
  </si>
  <si>
    <t>Driver</t>
  </si>
  <si>
    <t>Henrietta Cottages</t>
  </si>
  <si>
    <t>Spivey</t>
  </si>
  <si>
    <t>Hammond Gardens</t>
  </si>
  <si>
    <t xml:space="preserve">Bishopton </t>
  </si>
  <si>
    <t>Juan</t>
  </si>
  <si>
    <t>Electric Lane</t>
  </si>
  <si>
    <t>Claud</t>
  </si>
  <si>
    <t>Thorpe</t>
  </si>
  <si>
    <t>Chesterfield Gdns</t>
  </si>
  <si>
    <t xml:space="preserve">Bamburgh </t>
  </si>
  <si>
    <t>Damion</t>
  </si>
  <si>
    <t>Millais Road</t>
  </si>
  <si>
    <t xml:space="preserve">Hartlepool </t>
  </si>
  <si>
    <t>Lucius</t>
  </si>
  <si>
    <t>Dick</t>
  </si>
  <si>
    <t>Caravel Close</t>
  </si>
  <si>
    <t>Korey</t>
  </si>
  <si>
    <t>Castlands Road</t>
  </si>
  <si>
    <t xml:space="preserve">Lydbury North </t>
  </si>
  <si>
    <t>Gayle</t>
  </si>
  <si>
    <t>Cyprus Street</t>
  </si>
  <si>
    <t>Clays Lane</t>
  </si>
  <si>
    <t>Devon Cottages</t>
  </si>
  <si>
    <t xml:space="preserve">Rochester </t>
  </si>
  <si>
    <t>Wilburn</t>
  </si>
  <si>
    <t>Blechynden Street</t>
  </si>
  <si>
    <t xml:space="preserve">Lochailort </t>
  </si>
  <si>
    <t>Reginald</t>
  </si>
  <si>
    <t>Pembroke Studios</t>
  </si>
  <si>
    <t>Robt</t>
  </si>
  <si>
    <t>Dorncliffe Road</t>
  </si>
  <si>
    <t>Rokeby Houses</t>
  </si>
  <si>
    <t>Green Avenue</t>
  </si>
  <si>
    <t>Faulkner</t>
  </si>
  <si>
    <t>Playfair Street</t>
  </si>
  <si>
    <t xml:space="preserve">Llandudno Junction </t>
  </si>
  <si>
    <t>Randal</t>
  </si>
  <si>
    <t>Leal</t>
  </si>
  <si>
    <t>Regents Place</t>
  </si>
  <si>
    <t>Felton</t>
  </si>
  <si>
    <t>Gibbs Avenue</t>
  </si>
  <si>
    <t xml:space="preserve">Gaerwen </t>
  </si>
  <si>
    <t>Good</t>
  </si>
  <si>
    <t>Wendover Road</t>
  </si>
  <si>
    <t xml:space="preserve">Wooler </t>
  </si>
  <si>
    <t>Carol</t>
  </si>
  <si>
    <t>Villa Road</t>
  </si>
  <si>
    <t xml:space="preserve">Bathgate </t>
  </si>
  <si>
    <t>Rodney</t>
  </si>
  <si>
    <t>Harvey</t>
  </si>
  <si>
    <t>Sunnydale Road</t>
  </si>
  <si>
    <t xml:space="preserve">Rainham </t>
  </si>
  <si>
    <t>Colin</t>
  </si>
  <si>
    <t>Aldridge Walk</t>
  </si>
  <si>
    <t xml:space="preserve">Orpington </t>
  </si>
  <si>
    <t>Pump Lane</t>
  </si>
  <si>
    <t>Waterloo Road</t>
  </si>
  <si>
    <t>Lupe</t>
  </si>
  <si>
    <t>Oakshaw Road</t>
  </si>
  <si>
    <t>Giuseppe</t>
  </si>
  <si>
    <t>Ricks</t>
  </si>
  <si>
    <t>Eyot Green</t>
  </si>
  <si>
    <t xml:space="preserve">Wokingham </t>
  </si>
  <si>
    <t>Deptford Market</t>
  </si>
  <si>
    <t xml:space="preserve">West Byfleet </t>
  </si>
  <si>
    <t>Jean</t>
  </si>
  <si>
    <t>Lutz</t>
  </si>
  <si>
    <t>Shannon Terrace</t>
  </si>
  <si>
    <t>Loraine Cottages</t>
  </si>
  <si>
    <t>Lenny</t>
  </si>
  <si>
    <t>Engel</t>
  </si>
  <si>
    <t>Budd Close</t>
  </si>
  <si>
    <t>Tate</t>
  </si>
  <si>
    <t>Chase</t>
  </si>
  <si>
    <t>Karl Place</t>
  </si>
  <si>
    <t>Andersen</t>
  </si>
  <si>
    <t>Roslyn Road</t>
  </si>
  <si>
    <t>Jeramy</t>
  </si>
  <si>
    <t>Woodside Grove</t>
  </si>
  <si>
    <t xml:space="preserve">Dalmally </t>
  </si>
  <si>
    <t>Fidel</t>
  </si>
  <si>
    <t>Tracy</t>
  </si>
  <si>
    <t>Oliphant Street</t>
  </si>
  <si>
    <t xml:space="preserve">Guildford </t>
  </si>
  <si>
    <t>Arlen</t>
  </si>
  <si>
    <t>Hylton Street</t>
  </si>
  <si>
    <t>Shaun</t>
  </si>
  <si>
    <t>St Saviours</t>
  </si>
  <si>
    <t>Greg</t>
  </si>
  <si>
    <t>Fountain</t>
  </si>
  <si>
    <t>Millbank Way</t>
  </si>
  <si>
    <t>Albion Cottages</t>
  </si>
  <si>
    <t>Alphonse</t>
  </si>
  <si>
    <t>Cambrian Close</t>
  </si>
  <si>
    <t>Emanuel</t>
  </si>
  <si>
    <t>Burdett Close</t>
  </si>
  <si>
    <t>Hardin</t>
  </si>
  <si>
    <t>Hope Street</t>
  </si>
  <si>
    <t xml:space="preserve">St. Agnes </t>
  </si>
  <si>
    <t>Rick</t>
  </si>
  <si>
    <t>Land</t>
  </si>
  <si>
    <t>Balnacraig Avenue</t>
  </si>
  <si>
    <t>Franco</t>
  </si>
  <si>
    <t>Glendish Road</t>
  </si>
  <si>
    <t>Abdul</t>
  </si>
  <si>
    <t>Friedman</t>
  </si>
  <si>
    <t>Golden Plover</t>
  </si>
  <si>
    <t>Hampton</t>
  </si>
  <si>
    <t>Chaseley Drive</t>
  </si>
  <si>
    <t>Mel</t>
  </si>
  <si>
    <t>Prowse Place</t>
  </si>
  <si>
    <t>Beck</t>
  </si>
  <si>
    <t>Westmacott Street</t>
  </si>
  <si>
    <t xml:space="preserve">Crieff </t>
  </si>
  <si>
    <t>Shawn</t>
  </si>
  <si>
    <t>Blomfield Circus</t>
  </si>
  <si>
    <t xml:space="preserve">Llanbrynmair </t>
  </si>
  <si>
    <t>Lockwood</t>
  </si>
  <si>
    <t>Brancaster Drive</t>
  </si>
  <si>
    <t>Virgil</t>
  </si>
  <si>
    <t>Lane</t>
  </si>
  <si>
    <t>Litchfield St</t>
  </si>
  <si>
    <t>RosmoreRoad</t>
  </si>
  <si>
    <t>GraftonRoad</t>
  </si>
  <si>
    <t xml:space="preserve">    Ross Way</t>
  </si>
  <si>
    <t xml:space="preserve">Artisans Dwellings   </t>
  </si>
  <si>
    <t xml:space="preserve"> High St</t>
  </si>
  <si>
    <t>baker road</t>
  </si>
  <si>
    <t xml:space="preserve"> burton Grove</t>
  </si>
  <si>
    <t>Coningsby cottages</t>
  </si>
  <si>
    <t>Biddenden   Way</t>
  </si>
  <si>
    <t>Edgar   Road</t>
  </si>
  <si>
    <t>sladedale ROAD</t>
  </si>
  <si>
    <t>Westdean  close</t>
  </si>
  <si>
    <t xml:space="preserve"> Grainger Street</t>
  </si>
  <si>
    <t xml:space="preserve">upper  paget </t>
  </si>
  <si>
    <t>Hanford Cls</t>
  </si>
  <si>
    <t>Langdon Plc</t>
  </si>
  <si>
    <t>College Rd</t>
  </si>
  <si>
    <t>Bells Bldgs</t>
  </si>
  <si>
    <t>Petherton road</t>
  </si>
  <si>
    <t>maxfield Close</t>
  </si>
  <si>
    <t>SHAP St</t>
  </si>
  <si>
    <t>Vant Rd</t>
  </si>
  <si>
    <t>Abbott Av</t>
  </si>
  <si>
    <t>Burslem ST</t>
  </si>
  <si>
    <t>WARNER RD</t>
  </si>
  <si>
    <t>Roxwell RD</t>
  </si>
  <si>
    <t>Full Name</t>
  </si>
  <si>
    <t>Capitalization</t>
  </si>
  <si>
    <t xml:space="preserve">Separate combined words </t>
  </si>
  <si>
    <t>Remove Question Mark "?"</t>
  </si>
  <si>
    <t>Leading, Multiple &amp; Trailing spaces</t>
  </si>
  <si>
    <t>Abbreviations</t>
  </si>
  <si>
    <t>STREET DATA CORRECTION</t>
  </si>
  <si>
    <t>Final Data (Combined)</t>
  </si>
  <si>
    <t>Rosmore Road</t>
  </si>
  <si>
    <t>Roxwell Road</t>
  </si>
  <si>
    <t>Grafton Road</t>
  </si>
  <si>
    <t>Ross Way</t>
  </si>
  <si>
    <t>Artisans Dwellings</t>
  </si>
  <si>
    <t>High Street</t>
  </si>
  <si>
    <t>Baker Road</t>
  </si>
  <si>
    <t>Burton Grove</t>
  </si>
  <si>
    <t>Coningsby Cottages</t>
  </si>
  <si>
    <t>Biddenden Way</t>
  </si>
  <si>
    <t>Edgar Road</t>
  </si>
  <si>
    <t>Sladedale Road</t>
  </si>
  <si>
    <t>Westdean Close</t>
  </si>
  <si>
    <t>Grainger Street</t>
  </si>
  <si>
    <t>Upper Paget</t>
  </si>
  <si>
    <t>Hanford Close</t>
  </si>
  <si>
    <t>Langdon Place</t>
  </si>
  <si>
    <t>College Road</t>
  </si>
  <si>
    <t>Petherton Road</t>
  </si>
  <si>
    <t>Maxfield Close</t>
  </si>
  <si>
    <t>Shap Street</t>
  </si>
  <si>
    <t>Vant Road</t>
  </si>
  <si>
    <t>Morgana Villa</t>
  </si>
  <si>
    <t>Burslem Street</t>
  </si>
  <si>
    <t>Warner Road</t>
  </si>
  <si>
    <t>Hartswood Garden</t>
  </si>
  <si>
    <t>Smithfield See</t>
  </si>
  <si>
    <t>Poultney Street</t>
  </si>
  <si>
    <t>Dussore'S Court</t>
  </si>
  <si>
    <t>Chandler'S Rents</t>
  </si>
  <si>
    <t>Brook Street</t>
  </si>
  <si>
    <t>Cooper'S Road</t>
  </si>
  <si>
    <t>Batty'S Yard</t>
  </si>
  <si>
    <t>Paul'S Court</t>
  </si>
  <si>
    <t>Parker'S Buildings</t>
  </si>
  <si>
    <t>Smith'S Lane</t>
  </si>
  <si>
    <t>Baker'S Alley</t>
  </si>
  <si>
    <t>Goad'S Place</t>
  </si>
  <si>
    <t>James'S Market</t>
  </si>
  <si>
    <t>Fitchet'S Court</t>
  </si>
  <si>
    <t>Loddige'S Terrace</t>
  </si>
  <si>
    <t>Sarah'S Place</t>
  </si>
  <si>
    <t>Chesterfield Garden</t>
  </si>
  <si>
    <t>Litchfield Street</t>
  </si>
  <si>
    <t>No.</t>
  </si>
  <si>
    <t>Full Name (Initials)</t>
  </si>
  <si>
    <t>Gender</t>
  </si>
  <si>
    <t>Corrected Data</t>
  </si>
  <si>
    <t>Steps</t>
  </si>
  <si>
    <t>Created a formula that combines a client’s title, first name and last name</t>
  </si>
  <si>
    <t>Correcting Street Data:</t>
  </si>
  <si>
    <t xml:space="preserve">Formula: </t>
  </si>
  <si>
    <t>SUBSTITUTE([@Street],"Road"," Road")</t>
  </si>
  <si>
    <t>SUBSTITUTE([@[Separate combined words ]],"?","")</t>
  </si>
  <si>
    <t>Added another column that removes the Leading, Multiple &amp; Trailing spaces from the Street Data</t>
  </si>
  <si>
    <t>Added another column to Correct the Capitalization from Street Data</t>
  </si>
  <si>
    <t>Created a new column to combine all the corrected data in one column</t>
  </si>
  <si>
    <t>Added a new column to correct all the Abbreviations that replaces the short Abbreviations with the full text</t>
  </si>
  <si>
    <r>
      <t xml:space="preserve">Created a new column in the worksheet titled “Full Name” and used </t>
    </r>
    <r>
      <rPr>
        <b/>
        <sz val="11"/>
        <color theme="1"/>
        <rFont val="Calibri"/>
        <family val="2"/>
        <scheme val="minor"/>
      </rPr>
      <t>PROPER &amp; CONCAT</t>
    </r>
    <r>
      <rPr>
        <sz val="11"/>
        <color theme="1"/>
        <rFont val="Calibri"/>
        <family val="2"/>
        <scheme val="minor"/>
      </rPr>
      <t xml:space="preserve"> function to combine client’s title, first name and last name</t>
    </r>
  </si>
  <si>
    <r>
      <t xml:space="preserve">Formula: </t>
    </r>
    <r>
      <rPr>
        <b/>
        <sz val="11"/>
        <color theme="1"/>
        <rFont val="Calibri"/>
        <family val="2"/>
        <scheme val="minor"/>
      </rPr>
      <t>= PROPER(CONCAT([@Title]," ",[@[First Name]]," ",[@[Last Name]]))</t>
    </r>
  </si>
  <si>
    <r>
      <t xml:space="preserve">Added anew column to separate combined words &amp; Remove question marks "?" from Street data by using the </t>
    </r>
    <r>
      <rPr>
        <b/>
        <sz val="11"/>
        <color theme="1"/>
        <rFont val="Calibri"/>
        <family val="2"/>
        <scheme val="minor"/>
      </rPr>
      <t>SUBSTITUTE</t>
    </r>
    <r>
      <rPr>
        <sz val="11"/>
        <color theme="1"/>
        <rFont val="Calibri"/>
        <family val="2"/>
        <scheme val="minor"/>
      </rPr>
      <t xml:space="preserve"> function</t>
    </r>
  </si>
  <si>
    <r>
      <t xml:space="preserve">Used </t>
    </r>
    <r>
      <rPr>
        <b/>
        <sz val="11"/>
        <color theme="1"/>
        <rFont val="Calibri"/>
        <family val="2"/>
        <scheme val="minor"/>
      </rPr>
      <t>TRIM</t>
    </r>
    <r>
      <rPr>
        <sz val="11"/>
        <color theme="1"/>
        <rFont val="Calibri"/>
        <family val="2"/>
        <scheme val="minor"/>
      </rPr>
      <t xml:space="preserve"> function for this Error Correction</t>
    </r>
  </si>
  <si>
    <r>
      <t xml:space="preserve">Formula: </t>
    </r>
    <r>
      <rPr>
        <b/>
        <sz val="11"/>
        <color theme="1"/>
        <rFont val="Calibri"/>
        <family val="2"/>
        <scheme val="minor"/>
      </rPr>
      <t>=TRIM([@[Remove Question Mark "?"]])</t>
    </r>
  </si>
  <si>
    <r>
      <t xml:space="preserve">Used </t>
    </r>
    <r>
      <rPr>
        <b/>
        <sz val="11"/>
        <color theme="1"/>
        <rFont val="Calibri"/>
        <family val="2"/>
        <scheme val="minor"/>
      </rPr>
      <t>PROPER</t>
    </r>
    <r>
      <rPr>
        <sz val="11"/>
        <color theme="1"/>
        <rFont val="Calibri"/>
        <family val="2"/>
        <scheme val="minor"/>
      </rPr>
      <t xml:space="preserve"> function to correct this Error</t>
    </r>
  </si>
  <si>
    <r>
      <t xml:space="preserve">Formula: </t>
    </r>
    <r>
      <rPr>
        <b/>
        <sz val="11"/>
        <color theme="1"/>
        <rFont val="Calibri"/>
        <family val="2"/>
        <scheme val="minor"/>
      </rPr>
      <t>=PROPER([@[Leading, Multiple &amp; Trailing spaces]])</t>
    </r>
  </si>
  <si>
    <r>
      <t xml:space="preserve">Formula: </t>
    </r>
    <r>
      <rPr>
        <b/>
        <sz val="11"/>
        <color theme="1"/>
        <rFont val="Calibri"/>
        <family val="2"/>
        <scheme val="minor"/>
      </rPr>
      <t>=TRIM(PROPER(SUBSTITUTE(SUBSTITUTE((E5),"?",""),"Road"," Road")))</t>
    </r>
  </si>
  <si>
    <r>
      <t xml:space="preserve">Used </t>
    </r>
    <r>
      <rPr>
        <b/>
        <sz val="11"/>
        <color theme="1"/>
        <rFont val="Calibri"/>
        <family val="2"/>
        <scheme val="minor"/>
      </rPr>
      <t>VBA</t>
    </r>
    <r>
      <rPr>
        <sz val="11"/>
        <color theme="1"/>
        <rFont val="Calibri"/>
        <family val="2"/>
        <scheme val="minor"/>
      </rPr>
      <t xml:space="preserve"> code to perform this operation and created a button for it</t>
    </r>
  </si>
  <si>
    <t>Added a new column to show the Initials of clients full name</t>
  </si>
  <si>
    <t>STEPS</t>
  </si>
  <si>
    <t xml:space="preserve">Added a column to show Gender of clients </t>
  </si>
  <si>
    <r>
      <t xml:space="preserve">Used the </t>
    </r>
    <r>
      <rPr>
        <b/>
        <sz val="11"/>
        <color theme="1"/>
        <rFont val="Calibri"/>
        <family val="2"/>
        <scheme val="minor"/>
      </rPr>
      <t>CONCAT &amp; LEFT</t>
    </r>
    <r>
      <rPr>
        <sz val="11"/>
        <color theme="1"/>
        <rFont val="Calibri"/>
        <family val="2"/>
        <scheme val="minor"/>
      </rPr>
      <t xml:space="preserve"> function that takes a client’s full name (and title) and returns a correctly formatted salutation by replacing a person’s first name with an initial </t>
    </r>
  </si>
  <si>
    <r>
      <t xml:space="preserve">Formula: </t>
    </r>
    <r>
      <rPr>
        <b/>
        <sz val="11"/>
        <color theme="1"/>
        <rFont val="Calibri"/>
        <family val="2"/>
        <scheme val="minor"/>
      </rPr>
      <t>=CONCAT(D4)&amp;" "&amp; LEFT(B4,1)&amp;"."&amp;C4</t>
    </r>
  </si>
  <si>
    <r>
      <t xml:space="preserve">Used </t>
    </r>
    <r>
      <rPr>
        <b/>
        <sz val="11"/>
        <color theme="1"/>
        <rFont val="Calibri"/>
        <family val="2"/>
        <scheme val="minor"/>
      </rPr>
      <t>"IF"</t>
    </r>
    <r>
      <rPr>
        <sz val="11"/>
        <color theme="1"/>
        <rFont val="Calibri"/>
        <family val="2"/>
        <scheme val="minor"/>
      </rPr>
      <t xml:space="preserve"> Statement that takes a person’s title and returns “F” for a female and “M” for a male</t>
    </r>
  </si>
  <si>
    <r>
      <t xml:space="preserve">Formula: </t>
    </r>
    <r>
      <rPr>
        <b/>
        <sz val="11"/>
        <color theme="1"/>
        <rFont val="Calibri"/>
        <family val="2"/>
        <scheme val="minor"/>
      </rPr>
      <t>=IF(LEFT(D4,3)="Mr","M","F")</t>
    </r>
  </si>
  <si>
    <r>
      <t>Note: This Sheet is Password Protected, To unlock this sheet use "</t>
    </r>
    <r>
      <rPr>
        <b/>
        <i/>
        <sz val="11"/>
        <color rgb="FF9C0006"/>
        <rFont val="Calibri"/>
        <family val="2"/>
        <scheme val="minor"/>
      </rPr>
      <t>qwer</t>
    </r>
    <r>
      <rPr>
        <i/>
        <sz val="11"/>
        <color rgb="FF9C0006"/>
        <rFont val="Calibri"/>
        <family val="2"/>
        <scheme val="minor"/>
      </rPr>
      <t>" as password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</si>
</sst>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9C0006"/>
      <name val="Calibri"/>
      <family val="2"/>
      <scheme val="minor"/>
    </font>
    <font>
      <b/>
      <i/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7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5"/>
      </patternFill>
    </fill>
  </fills>
  <borders count="6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8" fillId="6" borderId="0" applyNumberFormat="0" applyBorder="0" applyAlignment="0" applyProtection="0"/>
  </cellStyleXfs>
  <cellXfs count="14">
    <xf numFmtId="0" fontId="0" fillId="0" borderId="0" xfId="0"/>
    <xf numFmtId="0" fontId="3" fillId="3" borderId="0" xfId="2" applyFont="1"/>
    <xf numFmtId="0" fontId="3" fillId="5" borderId="0" xfId="2" applyFont="1" applyFill="1"/>
    <xf numFmtId="0" fontId="1" fillId="4" borderId="2" xfId="0" applyFont="1" applyFill="1" applyBorder="1" applyAlignment="1">
      <alignment horizontal="center"/>
    </xf>
    <xf numFmtId="0" fontId="0" fillId="0" borderId="2" xfId="0" applyBorder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1" fillId="6" borderId="1" xfId="3" applyFont="1" applyBorder="1" applyAlignment="1">
      <alignment horizontal="center"/>
    </xf>
    <xf numFmtId="0" fontId="6" fillId="2" borderId="3" xfId="1" applyFont="1" applyBorder="1" applyAlignment="1">
      <alignment horizontal="center" wrapText="1"/>
    </xf>
    <xf numFmtId="0" fontId="6" fillId="2" borderId="4" xfId="1" applyFont="1" applyBorder="1" applyAlignment="1">
      <alignment horizontal="center" wrapText="1"/>
    </xf>
    <xf numFmtId="0" fontId="6" fillId="2" borderId="5" xfId="1" applyFont="1" applyBorder="1" applyAlignment="1">
      <alignment horizontal="center" wrapText="1"/>
    </xf>
    <xf numFmtId="0" fontId="0" fillId="0" borderId="0" xfId="0"/>
    <xf numFmtId="0" fontId="1" fillId="4" borderId="2" xfId="0" applyFont="1" applyFill="1" applyBorder="1" applyAlignment="1">
      <alignment horizontal="center" wrapText="1"/>
    </xf>
  </cellXfs>
  <cellStyles count="4">
    <cellStyle name="20% - Accent5" xfId="3" builtinId="46"/>
    <cellStyle name="Accent4" xfId="2" builtinId="41"/>
    <cellStyle name="Bad" xfId="1" builtinId="27"/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228600</xdr:colOff>
      <xdr:row>2</xdr:row>
      <xdr:rowOff>7620</xdr:rowOff>
    </xdr:from>
    <xdr:to>
      <xdr:col>15</xdr:col>
      <xdr:colOff>594360</xdr:colOff>
      <xdr:row>4</xdr:row>
      <xdr:rowOff>160020</xdr:rowOff>
    </xdr:to>
    <xdr:sp macro="[0]!AbbreviationsExpand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157157-B720-06B5-B48D-246679D824C8}"/>
            </a:ext>
          </a:extLst>
        </xdr:cNvPr>
        <xdr:cNvSpPr/>
      </xdr:nvSpPr>
      <xdr:spPr>
        <a:xfrm>
          <a:off x="17320260" y="373380"/>
          <a:ext cx="1584960" cy="518160"/>
        </a:xfrm>
        <a:prstGeom prst="roundRect">
          <a:avLst>
            <a:gd name="adj" fmla="val 10785"/>
          </a:avLst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Press</a:t>
          </a:r>
          <a:r>
            <a:rPr lang="en-GB" sz="1100" b="1" baseline="0"/>
            <a:t> to Expand all the Abbreviations</a:t>
          </a:r>
          <a:endParaRPr lang="en-GB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7C02BF-EB5B-473E-B2E0-EBD83C7593FC}" name="Table1" displayName="Table1" ref="A3:M1028" totalsRowShown="0" headerRowDxfId="12" headerRowCellStyle="Accent4">
  <autoFilter ref="A3:M1028" xr:uid="{397C02BF-EB5B-473E-B2E0-EBD83C7593F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84F127D4-CDD3-4F70-8C84-1A3D852ADF24}" name="No."/>
    <tableColumn id="2" xr3:uid="{CAD4CF07-5EDE-4B59-8694-62CAA4D3FD41}" name="First Name"/>
    <tableColumn id="3" xr3:uid="{9D8C1C71-70D4-4A48-B72A-B1C98A0EDC3D}" name="Last Name"/>
    <tableColumn id="4" xr3:uid="{00C6D558-806B-4787-BF82-B373EC303D92}" name="Title"/>
    <tableColumn id="5" xr3:uid="{71633634-A8F4-4023-988C-905F15C7F9C9}" name="Street"/>
    <tableColumn id="6" xr3:uid="{E15B8EF3-C645-4260-A3A9-A4B337C89F65}" name="Town"/>
    <tableColumn id="7" xr3:uid="{A3818026-5D84-4B03-9CFE-1F6987B10831}" name="Full Name" dataDxfId="11">
      <calculatedColumnFormula xml:space="preserve"> PROPER(_xlfn.CONCAT(Table1[[#This Row],[Title]]," ",Table1[[#This Row],[First Name]]," ",Table1[[#This Row],[Last Name]]))</calculatedColumnFormula>
    </tableColumn>
    <tableColumn id="8" xr3:uid="{C4A87EA2-3A80-44B1-A32E-6C2F87055B0C}" name="Separate combined words " dataDxfId="10">
      <calculatedColumnFormula>SUBSTITUTE(Table1[[#This Row],[Street]],"Road"," Road")</calculatedColumnFormula>
    </tableColumn>
    <tableColumn id="9" xr3:uid="{A764F53C-FE0A-4334-972D-0924869DC000}" name="Remove Question Mark &quot;?&quot;" dataDxfId="9">
      <calculatedColumnFormula>SUBSTITUTE(Table1[[#This Row],[Separate combined words ]],"?","")</calculatedColumnFormula>
    </tableColumn>
    <tableColumn id="10" xr3:uid="{B3D7EBDB-B72B-4F84-AA54-154CBFF1AFAE}" name="Leading, Multiple &amp; Trailing spaces" dataDxfId="8">
      <calculatedColumnFormula>TRIM(Table1[[#This Row],[Remove Question Mark "?"]])</calculatedColumnFormula>
    </tableColumn>
    <tableColumn id="11" xr3:uid="{A35CB2A6-1669-4991-B0EB-202119A872A8}" name="Capitalization" dataDxfId="7">
      <calculatedColumnFormula>PROPER(Table1[[#This Row],[Leading, Multiple &amp; Trailing spaces]])</calculatedColumnFormula>
    </tableColumn>
    <tableColumn id="12" xr3:uid="{B66D400B-139D-48A6-B1FA-A73B88DC170E}" name="Final Data (Combined)" dataDxfId="6">
      <calculatedColumnFormula>TRIM(PROPER(SUBSTITUTE(SUBSTITUTE((E4),"?",""),"Road"," Road")))</calculatedColumnFormula>
    </tableColumn>
    <tableColumn id="13" xr3:uid="{B3BD62F2-D50C-45FD-AC88-8939FA6A059A}" name="Abbreviations" dataDxfId="5">
      <calculatedColumnFormula>Table1[[#This Row],[Final Data (Combined)]]</calculatedColumnFormula>
    </tableColumn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1CA5EC-DB22-47EE-9F1F-5C5CE3E66396}" name="Table13" displayName="Table13" ref="A3:I1028" totalsRowShown="0" headerRowDxfId="4" headerRowCellStyle="Accent4">
  <autoFilter ref="A3:I1028" xr:uid="{397C02BF-EB5B-473E-B2E0-EBD83C7593F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C67119D8-F463-4099-9A6A-0F759C16DE0C}" name="No."/>
    <tableColumn id="2" xr3:uid="{5B7AE88D-3A6B-4C13-A858-878403658DEF}" name="First Name"/>
    <tableColumn id="3" xr3:uid="{7BC11323-CBBE-42A0-B865-8927CA0AE493}" name="Last Name"/>
    <tableColumn id="4" xr3:uid="{8326BF20-6977-4C37-BB79-A830689FF76B}" name="Title"/>
    <tableColumn id="5" xr3:uid="{81D2D5FF-9899-4469-A1E9-A3BDBD25C368}" name="Street" dataDxfId="3">
      <calculatedColumnFormula>Table1[[#This Row],[Abbreviations]]</calculatedColumnFormula>
    </tableColumn>
    <tableColumn id="6" xr3:uid="{44001009-6962-49A9-873A-86CB3E03248F}" name="Town"/>
    <tableColumn id="7" xr3:uid="{90E4CD82-770C-4518-8443-1E722BE97195}" name="Full Name" dataDxfId="2">
      <calculatedColumnFormula xml:space="preserve"> PROPER(_xlfn.CONCAT(Table13[[#This Row],[Title]]," ",Table13[[#This Row],[First Name]]," ",Table13[[#This Row],[Last Name]]))</calculatedColumnFormula>
    </tableColumn>
    <tableColumn id="14" xr3:uid="{75F500CA-4100-4A29-96AF-BA5CE9FDE681}" name="Full Name (Initials)" dataDxfId="1">
      <calculatedColumnFormula>_xlfn.CONCAT(D4)&amp;" "&amp; LEFT(B4,1)&amp;"."&amp;C4</calculatedColumnFormula>
    </tableColumn>
    <tableColumn id="15" xr3:uid="{3BC74911-B6F1-4260-A918-CF3B50161CB4}" name="Gender" dataDxfId="0">
      <calculatedColumnFormula>IF(LEFT(D4,3)="Mr","M","F")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Y1028"/>
  <sheetViews>
    <sheetView tabSelected="1" workbookViewId="0">
      <selection activeCell="R3" sqref="R3:Y3"/>
    </sheetView>
  </sheetViews>
  <sheetFormatPr defaultRowHeight="14.4" x14ac:dyDescent="0.3"/>
  <cols>
    <col min="1" max="1" width="10.44140625" customWidth="1"/>
    <col min="2" max="2" width="14.5546875" customWidth="1"/>
    <col min="3" max="3" width="15.5546875" customWidth="1"/>
    <col min="4" max="4" width="11.88671875" customWidth="1"/>
    <col min="5" max="5" width="14.109375" customWidth="1"/>
    <col min="6" max="6" width="17.44140625" customWidth="1"/>
    <col min="7" max="7" width="22.44140625" bestFit="1" customWidth="1"/>
    <col min="8" max="8" width="23.6640625" bestFit="1" customWidth="1"/>
    <col min="9" max="9" width="24.21875" bestFit="1" customWidth="1"/>
    <col min="10" max="10" width="30.5546875" bestFit="1" customWidth="1"/>
    <col min="11" max="13" width="21.44140625" bestFit="1" customWidth="1"/>
  </cols>
  <sheetData>
    <row r="2" spans="1:25" x14ac:dyDescent="0.3">
      <c r="H2" s="3" t="s">
        <v>3397</v>
      </c>
      <c r="I2" s="3"/>
      <c r="J2" s="3"/>
      <c r="K2" s="3"/>
      <c r="L2" s="3"/>
      <c r="M2" s="3"/>
    </row>
    <row r="3" spans="1:25" ht="15" thickBot="1" x14ac:dyDescent="0.35">
      <c r="A3" s="1" t="s">
        <v>3443</v>
      </c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3391</v>
      </c>
      <c r="H3" s="2" t="s">
        <v>3393</v>
      </c>
      <c r="I3" s="2" t="s">
        <v>3394</v>
      </c>
      <c r="J3" s="2" t="s">
        <v>3395</v>
      </c>
      <c r="K3" s="2" t="s">
        <v>3392</v>
      </c>
      <c r="L3" s="2" t="s">
        <v>3398</v>
      </c>
      <c r="M3" s="2" t="s">
        <v>3396</v>
      </c>
      <c r="R3" s="8" t="s">
        <v>3447</v>
      </c>
      <c r="S3" s="8"/>
      <c r="T3" s="8"/>
      <c r="U3" s="8"/>
      <c r="V3" s="8"/>
      <c r="W3" s="8"/>
      <c r="X3" s="8"/>
      <c r="Y3" s="8"/>
    </row>
    <row r="4" spans="1:25" ht="15" thickTop="1" x14ac:dyDescent="0.3">
      <c r="A4">
        <v>1</v>
      </c>
      <c r="B4" t="s">
        <v>5</v>
      </c>
      <c r="C4" t="s">
        <v>6</v>
      </c>
      <c r="D4" t="s">
        <v>7</v>
      </c>
      <c r="E4" t="s">
        <v>3365</v>
      </c>
      <c r="F4" t="s">
        <v>8</v>
      </c>
      <c r="G4" t="str">
        <f xml:space="preserve"> PROPER(_xlfn.CONCAT(Table1[[#This Row],[Title]]," ",Table1[[#This Row],[First Name]]," ",Table1[[#This Row],[Last Name]]))</f>
        <v>Mrs Nanci Camp</v>
      </c>
      <c r="H4" t="str">
        <f>SUBSTITUTE(Table1[[#This Row],[Street]],"Road"," Road")</f>
        <v>Rosmore Road</v>
      </c>
      <c r="I4" t="str">
        <f>SUBSTITUTE(Table1[[#This Row],[Separate combined words ]],"?","")</f>
        <v>Rosmore Road</v>
      </c>
      <c r="J4" t="str">
        <f>TRIM(Table1[[#This Row],[Remove Question Mark "?"]])</f>
        <v>Rosmore Road</v>
      </c>
      <c r="K4" t="str">
        <f>PROPER(Table1[[#This Row],[Leading, Multiple &amp; Trailing spaces]])</f>
        <v>Rosmore Road</v>
      </c>
      <c r="L4" t="str">
        <f>TRIM(PROPER(SUBSTITUTE(SUBSTITUTE((E4),"?",""),"Road"," Road")))</f>
        <v>Rosmore Road</v>
      </c>
      <c r="M4" t="s">
        <v>3399</v>
      </c>
      <c r="R4" s="4" t="s">
        <v>3448</v>
      </c>
      <c r="S4" s="4"/>
      <c r="T4" s="4"/>
      <c r="U4" s="4"/>
      <c r="V4" s="4"/>
      <c r="W4" s="4"/>
      <c r="X4" s="4"/>
      <c r="Y4" s="4"/>
    </row>
    <row r="5" spans="1:25" ht="14.4" customHeight="1" x14ac:dyDescent="0.3">
      <c r="A5">
        <v>2</v>
      </c>
      <c r="B5" t="s">
        <v>9</v>
      </c>
      <c r="C5" t="s">
        <v>10</v>
      </c>
      <c r="D5" t="s">
        <v>7</v>
      </c>
      <c r="E5" t="s">
        <v>3390</v>
      </c>
      <c r="F5" t="s">
        <v>11</v>
      </c>
      <c r="G5" t="str">
        <f xml:space="preserve"> PROPER(_xlfn.CONCAT(Table1[[#This Row],[Title]]," ",Table1[[#This Row],[First Name]]," ",Table1[[#This Row],[Last Name]]))</f>
        <v>Mrs Erlinda Dorsey</v>
      </c>
      <c r="H5" t="str">
        <f>SUBSTITUTE(Table1[[#This Row],[Street]],"Road"," Road")</f>
        <v>Roxwell RD</v>
      </c>
      <c r="I5" t="str">
        <f>SUBSTITUTE(Table1[[#This Row],[Separate combined words ]],"?","")</f>
        <v>Roxwell RD</v>
      </c>
      <c r="J5" t="str">
        <f>TRIM(Table1[[#This Row],[Remove Question Mark "?"]])</f>
        <v>Roxwell RD</v>
      </c>
      <c r="K5" t="str">
        <f>PROPER(Table1[[#This Row],[Leading, Multiple &amp; Trailing spaces]])</f>
        <v>Roxwell Rd</v>
      </c>
      <c r="L5" t="str">
        <f t="shared" ref="L5:L68" si="0">TRIM(PROPER(SUBSTITUTE(SUBSTITUTE((E5),"?",""),"Road"," Road")))</f>
        <v>Roxwell Rd</v>
      </c>
      <c r="M5" t="s">
        <v>3400</v>
      </c>
      <c r="R5" s="4" t="s">
        <v>3457</v>
      </c>
      <c r="S5" s="4"/>
      <c r="T5" s="4"/>
      <c r="U5" s="4"/>
      <c r="V5" s="4"/>
      <c r="W5" s="4"/>
      <c r="X5" s="4"/>
      <c r="Y5" s="4"/>
    </row>
    <row r="6" spans="1:25" x14ac:dyDescent="0.3">
      <c r="A6">
        <v>3</v>
      </c>
      <c r="B6" t="s">
        <v>12</v>
      </c>
      <c r="C6" t="s">
        <v>13</v>
      </c>
      <c r="D6" t="s">
        <v>7</v>
      </c>
      <c r="E6" t="s">
        <v>14</v>
      </c>
      <c r="F6" t="s">
        <v>15</v>
      </c>
      <c r="G6" t="str">
        <f xml:space="preserve"> PROPER(_xlfn.CONCAT(Table1[[#This Row],[Title]]," ",Table1[[#This Row],[First Name]]," ",Table1[[#This Row],[Last Name]]))</f>
        <v>Mrs Albertha Devine</v>
      </c>
      <c r="H6" t="str">
        <f>SUBSTITUTE(Table1[[#This Row],[Street]],"Road"," Road")</f>
        <v>Ashbury Place</v>
      </c>
      <c r="I6" t="str">
        <f>SUBSTITUTE(Table1[[#This Row],[Separate combined words ]],"?","")</f>
        <v>Ashbury Place</v>
      </c>
      <c r="J6" t="str">
        <f>TRIM(Table1[[#This Row],[Remove Question Mark "?"]])</f>
        <v>Ashbury Place</v>
      </c>
      <c r="K6" t="str">
        <f>PROPER(Table1[[#This Row],[Leading, Multiple &amp; Trailing spaces]])</f>
        <v>Ashbury Place</v>
      </c>
      <c r="L6" t="str">
        <f t="shared" si="0"/>
        <v>Ashbury Place</v>
      </c>
      <c r="M6" t="s">
        <v>14</v>
      </c>
      <c r="R6" s="4"/>
      <c r="S6" s="4"/>
      <c r="T6" s="4"/>
      <c r="U6" s="4"/>
      <c r="V6" s="4"/>
      <c r="W6" s="4"/>
      <c r="X6" s="4"/>
      <c r="Y6" s="4"/>
    </row>
    <row r="7" spans="1:25" x14ac:dyDescent="0.3">
      <c r="A7">
        <v>4</v>
      </c>
      <c r="B7" t="s">
        <v>16</v>
      </c>
      <c r="C7" t="s">
        <v>17</v>
      </c>
      <c r="D7" t="s">
        <v>18</v>
      </c>
      <c r="E7" t="s">
        <v>3366</v>
      </c>
      <c r="F7" t="s">
        <v>19</v>
      </c>
      <c r="G7" t="str">
        <f xml:space="preserve"> PROPER(_xlfn.CONCAT(Table1[[#This Row],[Title]]," ",Table1[[#This Row],[First Name]]," ",Table1[[#This Row],[Last Name]]))</f>
        <v>Miss Nathalie Washington</v>
      </c>
      <c r="H7" t="str">
        <f>SUBSTITUTE(Table1[[#This Row],[Street]],"Road"," Road")</f>
        <v>Grafton Road</v>
      </c>
      <c r="I7" t="str">
        <f>SUBSTITUTE(Table1[[#This Row],[Separate combined words ]],"?","")</f>
        <v>Grafton Road</v>
      </c>
      <c r="J7" t="str">
        <f>TRIM(Table1[[#This Row],[Remove Question Mark "?"]])</f>
        <v>Grafton Road</v>
      </c>
      <c r="K7" t="str">
        <f>PROPER(Table1[[#This Row],[Leading, Multiple &amp; Trailing spaces]])</f>
        <v>Grafton Road</v>
      </c>
      <c r="L7" t="str">
        <f t="shared" si="0"/>
        <v>Grafton Road</v>
      </c>
      <c r="M7" t="s">
        <v>3401</v>
      </c>
      <c r="R7" s="5" t="s">
        <v>3458</v>
      </c>
      <c r="S7" s="5"/>
      <c r="T7" s="5"/>
      <c r="U7" s="5"/>
      <c r="V7" s="5"/>
      <c r="W7" s="5"/>
      <c r="X7" s="5"/>
      <c r="Y7" s="5"/>
    </row>
    <row r="8" spans="1:25" x14ac:dyDescent="0.3">
      <c r="A8">
        <v>5</v>
      </c>
      <c r="B8" t="s">
        <v>20</v>
      </c>
      <c r="C8" t="s">
        <v>21</v>
      </c>
      <c r="D8" t="s">
        <v>18</v>
      </c>
      <c r="E8" t="s">
        <v>22</v>
      </c>
      <c r="F8" t="s">
        <v>23</v>
      </c>
      <c r="G8" t="str">
        <f xml:space="preserve"> PROPER(_xlfn.CONCAT(Table1[[#This Row],[Title]]," ",Table1[[#This Row],[First Name]]," ",Table1[[#This Row],[Last Name]]))</f>
        <v>Miss Shonta Hedrick</v>
      </c>
      <c r="H8" t="str">
        <f>SUBSTITUTE(Table1[[#This Row],[Street]],"Road"," Road")</f>
        <v>Beechdale  Road</v>
      </c>
      <c r="I8" t="str">
        <f>SUBSTITUTE(Table1[[#This Row],[Separate combined words ]],"?","")</f>
        <v>Beechdale  Road</v>
      </c>
      <c r="J8" t="str">
        <f>TRIM(Table1[[#This Row],[Remove Question Mark "?"]])</f>
        <v>Beechdale Road</v>
      </c>
      <c r="K8" t="str">
        <f>PROPER(Table1[[#This Row],[Leading, Multiple &amp; Trailing spaces]])</f>
        <v>Beechdale Road</v>
      </c>
      <c r="L8" t="str">
        <f t="shared" si="0"/>
        <v>Beechdale Road</v>
      </c>
      <c r="M8" t="s">
        <v>22</v>
      </c>
    </row>
    <row r="9" spans="1:25" x14ac:dyDescent="0.3">
      <c r="A9">
        <v>6</v>
      </c>
      <c r="B9" t="s">
        <v>24</v>
      </c>
      <c r="C9" t="s">
        <v>25</v>
      </c>
      <c r="D9" t="s">
        <v>18</v>
      </c>
      <c r="E9" t="s">
        <v>26</v>
      </c>
      <c r="F9" t="s">
        <v>27</v>
      </c>
      <c r="G9" t="str">
        <f xml:space="preserve"> PROPER(_xlfn.CONCAT(Table1[[#This Row],[Title]]," ",Table1[[#This Row],[First Name]]," ",Table1[[#This Row],[Last Name]]))</f>
        <v>Miss Veronika Lundy</v>
      </c>
      <c r="H9" t="str">
        <f>SUBSTITUTE(Table1[[#This Row],[Street]],"Road"," Road")</f>
        <v>Katherine Gardens</v>
      </c>
      <c r="I9" t="str">
        <f>SUBSTITUTE(Table1[[#This Row],[Separate combined words ]],"?","")</f>
        <v>Katherine Gardens</v>
      </c>
      <c r="J9" t="str">
        <f>TRIM(Table1[[#This Row],[Remove Question Mark "?"]])</f>
        <v>Katherine Gardens</v>
      </c>
      <c r="K9" t="str">
        <f>PROPER(Table1[[#This Row],[Leading, Multiple &amp; Trailing spaces]])</f>
        <v>Katherine Gardens</v>
      </c>
      <c r="L9" t="str">
        <f t="shared" si="0"/>
        <v>Katherine Gardens</v>
      </c>
      <c r="M9" t="s">
        <v>26</v>
      </c>
      <c r="R9" s="7" t="s">
        <v>3449</v>
      </c>
      <c r="S9" s="7"/>
      <c r="T9" s="7"/>
      <c r="U9" s="7"/>
      <c r="V9" s="7"/>
      <c r="W9" s="7"/>
      <c r="X9" s="7"/>
      <c r="Y9" s="7"/>
    </row>
    <row r="10" spans="1:25" x14ac:dyDescent="0.3">
      <c r="A10">
        <v>7</v>
      </c>
      <c r="B10" t="s">
        <v>28</v>
      </c>
      <c r="C10" t="s">
        <v>29</v>
      </c>
      <c r="D10" t="s">
        <v>7</v>
      </c>
      <c r="E10" t="s">
        <v>3367</v>
      </c>
      <c r="F10" t="s">
        <v>30</v>
      </c>
      <c r="G10" t="str">
        <f xml:space="preserve"> PROPER(_xlfn.CONCAT(Table1[[#This Row],[Title]]," ",Table1[[#This Row],[First Name]]," ",Table1[[#This Row],[Last Name]]))</f>
        <v>Mrs Valeria Frost</v>
      </c>
      <c r="H10" t="str">
        <f>SUBSTITUTE(Table1[[#This Row],[Street]],"Road"," Road")</f>
        <v xml:space="preserve">    Ross Way</v>
      </c>
      <c r="I10" t="str">
        <f>SUBSTITUTE(Table1[[#This Row],[Separate combined words ]],"?","")</f>
        <v xml:space="preserve">    Ross Way</v>
      </c>
      <c r="J10" t="str">
        <f>TRIM(Table1[[#This Row],[Remove Question Mark "?"]])</f>
        <v>Ross Way</v>
      </c>
      <c r="K10" t="str">
        <f>PROPER(Table1[[#This Row],[Leading, Multiple &amp; Trailing spaces]])</f>
        <v>Ross Way</v>
      </c>
      <c r="L10" t="str">
        <f t="shared" si="0"/>
        <v>Ross Way</v>
      </c>
      <c r="M10" t="s">
        <v>3402</v>
      </c>
      <c r="R10" s="4" t="s">
        <v>3459</v>
      </c>
      <c r="S10" s="4"/>
      <c r="T10" s="4"/>
      <c r="U10" s="4"/>
      <c r="V10" s="4"/>
      <c r="W10" s="4"/>
      <c r="X10" s="4"/>
      <c r="Y10" s="4"/>
    </row>
    <row r="11" spans="1:25" x14ac:dyDescent="0.3">
      <c r="A11">
        <v>8</v>
      </c>
      <c r="B11" t="s">
        <v>31</v>
      </c>
      <c r="C11" t="s">
        <v>32</v>
      </c>
      <c r="D11" t="s">
        <v>7</v>
      </c>
      <c r="E11" t="s">
        <v>3368</v>
      </c>
      <c r="F11" t="s">
        <v>33</v>
      </c>
      <c r="G11" t="str">
        <f xml:space="preserve"> PROPER(_xlfn.CONCAT(Table1[[#This Row],[Title]]," ",Table1[[#This Row],[First Name]]," ",Table1[[#This Row],[Last Name]]))</f>
        <v>Mrs Randa Woods</v>
      </c>
      <c r="H11" t="str">
        <f>SUBSTITUTE(Table1[[#This Row],[Street]],"Road"," Road")</f>
        <v xml:space="preserve">Artisans Dwellings   </v>
      </c>
      <c r="I11" t="str">
        <f>SUBSTITUTE(Table1[[#This Row],[Separate combined words ]],"?","")</f>
        <v xml:space="preserve">Artisans Dwellings   </v>
      </c>
      <c r="J11" t="str">
        <f>TRIM(Table1[[#This Row],[Remove Question Mark "?"]])</f>
        <v>Artisans Dwellings</v>
      </c>
      <c r="K11" t="str">
        <f>PROPER(Table1[[#This Row],[Leading, Multiple &amp; Trailing spaces]])</f>
        <v>Artisans Dwellings</v>
      </c>
      <c r="L11" t="str">
        <f t="shared" si="0"/>
        <v>Artisans Dwellings</v>
      </c>
      <c r="M11" t="s">
        <v>3403</v>
      </c>
      <c r="R11" s="4"/>
      <c r="S11" s="4"/>
      <c r="T11" s="4"/>
      <c r="U11" s="4"/>
      <c r="V11" s="4"/>
      <c r="W11" s="4"/>
      <c r="X11" s="4"/>
      <c r="Y11" s="4"/>
    </row>
    <row r="12" spans="1:25" x14ac:dyDescent="0.3">
      <c r="A12">
        <v>9</v>
      </c>
      <c r="B12" t="s">
        <v>34</v>
      </c>
      <c r="C12" t="s">
        <v>35</v>
      </c>
      <c r="D12" t="s">
        <v>7</v>
      </c>
      <c r="E12" t="s">
        <v>36</v>
      </c>
      <c r="F12" t="s">
        <v>37</v>
      </c>
      <c r="G12" t="str">
        <f xml:space="preserve"> PROPER(_xlfn.CONCAT(Table1[[#This Row],[Title]]," ",Table1[[#This Row],[First Name]]," ",Table1[[#This Row],[Last Name]]))</f>
        <v>Mrs Karole Navarro</v>
      </c>
      <c r="H12" t="str">
        <f>SUBSTITUTE(Table1[[#This Row],[Street]],"Road"," Road")</f>
        <v>Rhoda Street</v>
      </c>
      <c r="I12" t="str">
        <f>SUBSTITUTE(Table1[[#This Row],[Separate combined words ]],"?","")</f>
        <v>Rhoda Street</v>
      </c>
      <c r="J12" t="str">
        <f>TRIM(Table1[[#This Row],[Remove Question Mark "?"]])</f>
        <v>Rhoda Street</v>
      </c>
      <c r="K12" t="str">
        <f>PROPER(Table1[[#This Row],[Leading, Multiple &amp; Trailing spaces]])</f>
        <v>Rhoda Street</v>
      </c>
      <c r="L12" t="str">
        <f t="shared" si="0"/>
        <v>Rhoda Street</v>
      </c>
      <c r="M12" t="s">
        <v>36</v>
      </c>
      <c r="R12" s="6" t="s">
        <v>3450</v>
      </c>
      <c r="S12" s="6"/>
      <c r="T12" s="7" t="s">
        <v>3451</v>
      </c>
      <c r="U12" s="7"/>
      <c r="V12" s="7"/>
      <c r="W12" s="7"/>
      <c r="X12" s="7"/>
      <c r="Y12" s="7"/>
    </row>
    <row r="13" spans="1:25" x14ac:dyDescent="0.3">
      <c r="A13">
        <v>10</v>
      </c>
      <c r="B13" t="s">
        <v>38</v>
      </c>
      <c r="C13" t="s">
        <v>39</v>
      </c>
      <c r="D13" t="s">
        <v>18</v>
      </c>
      <c r="E13" t="s">
        <v>40</v>
      </c>
      <c r="F13" t="s">
        <v>41</v>
      </c>
      <c r="G13" t="str">
        <f xml:space="preserve"> PROPER(_xlfn.CONCAT(Table1[[#This Row],[Title]]," ",Table1[[#This Row],[First Name]]," ",Table1[[#This Row],[Last Name]]))</f>
        <v>Miss Martin Anthony</v>
      </c>
      <c r="H13" t="str">
        <f>SUBSTITUTE(Table1[[#This Row],[Street]],"Road"," Road")</f>
        <v>Iceland  Road</v>
      </c>
      <c r="I13" t="str">
        <f>SUBSTITUTE(Table1[[#This Row],[Separate combined words ]],"?","")</f>
        <v>Iceland  Road</v>
      </c>
      <c r="J13" t="str">
        <f>TRIM(Table1[[#This Row],[Remove Question Mark "?"]])</f>
        <v>Iceland Road</v>
      </c>
      <c r="K13" t="str">
        <f>PROPER(Table1[[#This Row],[Leading, Multiple &amp; Trailing spaces]])</f>
        <v>Iceland Road</v>
      </c>
      <c r="L13" t="str">
        <f t="shared" si="0"/>
        <v>Iceland Road</v>
      </c>
      <c r="M13" t="s">
        <v>40</v>
      </c>
      <c r="R13" s="6"/>
      <c r="S13" s="6"/>
      <c r="T13" s="7" t="s">
        <v>3452</v>
      </c>
      <c r="U13" s="7"/>
      <c r="V13" s="7"/>
      <c r="W13" s="7"/>
      <c r="X13" s="7"/>
      <c r="Y13" s="7"/>
    </row>
    <row r="14" spans="1:25" x14ac:dyDescent="0.3">
      <c r="A14">
        <v>11</v>
      </c>
      <c r="B14" t="s">
        <v>42</v>
      </c>
      <c r="C14" t="s">
        <v>43</v>
      </c>
      <c r="D14" t="s">
        <v>7</v>
      </c>
      <c r="E14" t="s">
        <v>44</v>
      </c>
      <c r="F14" t="s">
        <v>45</v>
      </c>
      <c r="G14" t="str">
        <f xml:space="preserve"> PROPER(_xlfn.CONCAT(Table1[[#This Row],[Title]]," ",Table1[[#This Row],[First Name]]," ",Table1[[#This Row],[Last Name]]))</f>
        <v>Mrs Shanae Roland</v>
      </c>
      <c r="H14" t="str">
        <f>SUBSTITUTE(Table1[[#This Row],[Street]],"Road"," Road")</f>
        <v>Samels Court</v>
      </c>
      <c r="I14" t="str">
        <f>SUBSTITUTE(Table1[[#This Row],[Separate combined words ]],"?","")</f>
        <v>Samels Court</v>
      </c>
      <c r="J14" t="str">
        <f>TRIM(Table1[[#This Row],[Remove Question Mark "?"]])</f>
        <v>Samels Court</v>
      </c>
      <c r="K14" t="str">
        <f>PROPER(Table1[[#This Row],[Leading, Multiple &amp; Trailing spaces]])</f>
        <v>Samels Court</v>
      </c>
      <c r="L14" t="str">
        <f t="shared" si="0"/>
        <v>Samels Court</v>
      </c>
      <c r="M14" t="s">
        <v>44</v>
      </c>
    </row>
    <row r="15" spans="1:25" x14ac:dyDescent="0.3">
      <c r="A15">
        <v>12</v>
      </c>
      <c r="B15" t="s">
        <v>46</v>
      </c>
      <c r="C15" t="s">
        <v>47</v>
      </c>
      <c r="D15" t="s">
        <v>18</v>
      </c>
      <c r="E15" t="s">
        <v>48</v>
      </c>
      <c r="F15" t="s">
        <v>49</v>
      </c>
      <c r="G15" t="str">
        <f xml:space="preserve"> PROPER(_xlfn.CONCAT(Table1[[#This Row],[Title]]," ",Table1[[#This Row],[First Name]]," ",Table1[[#This Row],[Last Name]]))</f>
        <v>Miss Yen Culver</v>
      </c>
      <c r="H15" t="str">
        <f>SUBSTITUTE(Table1[[#This Row],[Street]],"Road"," Road")</f>
        <v>Garratt Green</v>
      </c>
      <c r="I15" t="str">
        <f>SUBSTITUTE(Table1[[#This Row],[Separate combined words ]],"?","")</f>
        <v>Garratt Green</v>
      </c>
      <c r="J15" t="str">
        <f>TRIM(Table1[[#This Row],[Remove Question Mark "?"]])</f>
        <v>Garratt Green</v>
      </c>
      <c r="K15" t="str">
        <f>PROPER(Table1[[#This Row],[Leading, Multiple &amp; Trailing spaces]])</f>
        <v>Garratt Green</v>
      </c>
      <c r="L15" t="str">
        <f t="shared" si="0"/>
        <v>Garratt Green</v>
      </c>
      <c r="M15" t="s">
        <v>48</v>
      </c>
      <c r="R15" s="4" t="s">
        <v>3453</v>
      </c>
      <c r="S15" s="4"/>
      <c r="T15" s="4"/>
      <c r="U15" s="4"/>
      <c r="V15" s="4"/>
      <c r="W15" s="4"/>
      <c r="X15" s="4"/>
      <c r="Y15" s="4"/>
    </row>
    <row r="16" spans="1:25" x14ac:dyDescent="0.3">
      <c r="A16">
        <v>13</v>
      </c>
      <c r="B16" t="s">
        <v>50</v>
      </c>
      <c r="C16" t="s">
        <v>51</v>
      </c>
      <c r="D16" t="s">
        <v>18</v>
      </c>
      <c r="E16" t="s">
        <v>3369</v>
      </c>
      <c r="F16" t="s">
        <v>52</v>
      </c>
      <c r="G16" t="str">
        <f xml:space="preserve"> PROPER(_xlfn.CONCAT(Table1[[#This Row],[Title]]," ",Table1[[#This Row],[First Name]]," ",Table1[[#This Row],[Last Name]]))</f>
        <v>Miss Monica Doran</v>
      </c>
      <c r="H16" t="str">
        <f>SUBSTITUTE(Table1[[#This Row],[Street]],"Road"," Road")</f>
        <v xml:space="preserve"> High St</v>
      </c>
      <c r="I16" t="str">
        <f>SUBSTITUTE(Table1[[#This Row],[Separate combined words ]],"?","")</f>
        <v xml:space="preserve"> High St</v>
      </c>
      <c r="J16" t="str">
        <f>TRIM(Table1[[#This Row],[Remove Question Mark "?"]])</f>
        <v>High St</v>
      </c>
      <c r="K16" t="str">
        <f>PROPER(Table1[[#This Row],[Leading, Multiple &amp; Trailing spaces]])</f>
        <v>High St</v>
      </c>
      <c r="L16" t="str">
        <f t="shared" si="0"/>
        <v>High St</v>
      </c>
      <c r="M16" t="s">
        <v>3404</v>
      </c>
      <c r="R16" s="4"/>
      <c r="S16" s="4"/>
      <c r="T16" s="4"/>
      <c r="U16" s="4"/>
      <c r="V16" s="4"/>
      <c r="W16" s="4"/>
      <c r="X16" s="4"/>
      <c r="Y16" s="4"/>
    </row>
    <row r="17" spans="1:25" x14ac:dyDescent="0.3">
      <c r="A17">
        <v>14</v>
      </c>
      <c r="B17" t="s">
        <v>53</v>
      </c>
      <c r="C17" t="s">
        <v>54</v>
      </c>
      <c r="D17" t="s">
        <v>55</v>
      </c>
      <c r="E17" t="s">
        <v>56</v>
      </c>
      <c r="F17" t="s">
        <v>57</v>
      </c>
      <c r="G17" t="str">
        <f xml:space="preserve"> PROPER(_xlfn.CONCAT(Table1[[#This Row],[Title]]," ",Table1[[#This Row],[First Name]]," ",Table1[[#This Row],[Last Name]]))</f>
        <v>Prof Laureen Richards</v>
      </c>
      <c r="H17" t="str">
        <f>SUBSTITUTE(Table1[[#This Row],[Street]],"Road"," Road")</f>
        <v>Brackenfield Close</v>
      </c>
      <c r="I17" t="str">
        <f>SUBSTITUTE(Table1[[#This Row],[Separate combined words ]],"?","")</f>
        <v>Brackenfield Close</v>
      </c>
      <c r="J17" t="str">
        <f>TRIM(Table1[[#This Row],[Remove Question Mark "?"]])</f>
        <v>Brackenfield Close</v>
      </c>
      <c r="K17" t="str">
        <f>PROPER(Table1[[#This Row],[Leading, Multiple &amp; Trailing spaces]])</f>
        <v>Brackenfield Close</v>
      </c>
      <c r="L17" t="str">
        <f t="shared" si="0"/>
        <v>Brackenfield Close</v>
      </c>
      <c r="M17" t="s">
        <v>56</v>
      </c>
      <c r="R17" s="5" t="s">
        <v>3460</v>
      </c>
      <c r="S17" s="5"/>
      <c r="T17" s="5"/>
      <c r="U17" s="5"/>
      <c r="V17" s="5"/>
      <c r="W17" s="5"/>
      <c r="X17" s="5"/>
      <c r="Y17" s="5"/>
    </row>
    <row r="18" spans="1:25" x14ac:dyDescent="0.3">
      <c r="A18">
        <v>15</v>
      </c>
      <c r="B18" t="s">
        <v>58</v>
      </c>
      <c r="C18" t="s">
        <v>59</v>
      </c>
      <c r="D18" t="s">
        <v>7</v>
      </c>
      <c r="E18" t="s">
        <v>60</v>
      </c>
      <c r="F18" t="s">
        <v>61</v>
      </c>
      <c r="G18" t="str">
        <f xml:space="preserve"> PROPER(_xlfn.CONCAT(Table1[[#This Row],[Title]]," ",Table1[[#This Row],[First Name]]," ",Table1[[#This Row],[Last Name]]))</f>
        <v>Mrs Meta Wright</v>
      </c>
      <c r="H18" t="str">
        <f>SUBSTITUTE(Table1[[#This Row],[Street]],"Road"," Road")</f>
        <v>Bearstead Rise</v>
      </c>
      <c r="I18" t="str">
        <f>SUBSTITUTE(Table1[[#This Row],[Separate combined words ]],"?","")</f>
        <v>Bearstead Rise</v>
      </c>
      <c r="J18" t="str">
        <f>TRIM(Table1[[#This Row],[Remove Question Mark "?"]])</f>
        <v>Bearstead Rise</v>
      </c>
      <c r="K18" t="str">
        <f>PROPER(Table1[[#This Row],[Leading, Multiple &amp; Trailing spaces]])</f>
        <v>Bearstead Rise</v>
      </c>
      <c r="L18" t="str">
        <f t="shared" si="0"/>
        <v>Bearstead Rise</v>
      </c>
      <c r="M18" t="s">
        <v>60</v>
      </c>
      <c r="R18" s="5" t="s">
        <v>3461</v>
      </c>
      <c r="S18" s="5"/>
      <c r="T18" s="5"/>
      <c r="U18" s="5"/>
      <c r="V18" s="5"/>
      <c r="W18" s="5"/>
      <c r="X18" s="5"/>
      <c r="Y18" s="5"/>
    </row>
    <row r="19" spans="1:25" x14ac:dyDescent="0.3">
      <c r="A19">
        <v>16</v>
      </c>
      <c r="B19" t="s">
        <v>62</v>
      </c>
      <c r="C19" t="s">
        <v>63</v>
      </c>
      <c r="D19" t="s">
        <v>7</v>
      </c>
      <c r="E19" t="s">
        <v>3370</v>
      </c>
      <c r="F19" t="s">
        <v>64</v>
      </c>
      <c r="G19" t="str">
        <f xml:space="preserve"> PROPER(_xlfn.CONCAT(Table1[[#This Row],[Title]]," ",Table1[[#This Row],[First Name]]," ",Table1[[#This Row],[Last Name]]))</f>
        <v>Mrs Bobbye Vasquez</v>
      </c>
      <c r="H19" t="str">
        <f>SUBSTITUTE(Table1[[#This Row],[Street]],"Road"," Road")</f>
        <v>baker road</v>
      </c>
      <c r="I19" t="str">
        <f>SUBSTITUTE(Table1[[#This Row],[Separate combined words ]],"?","")</f>
        <v>baker road</v>
      </c>
      <c r="J19" t="str">
        <f>TRIM(Table1[[#This Row],[Remove Question Mark "?"]])</f>
        <v>baker road</v>
      </c>
      <c r="K19" t="str">
        <f>PROPER(Table1[[#This Row],[Leading, Multiple &amp; Trailing spaces]])</f>
        <v>Baker Road</v>
      </c>
      <c r="L19" t="str">
        <f t="shared" si="0"/>
        <v>Baker Road</v>
      </c>
      <c r="M19" t="s">
        <v>3405</v>
      </c>
    </row>
    <row r="20" spans="1:25" x14ac:dyDescent="0.3">
      <c r="A20">
        <v>17</v>
      </c>
      <c r="B20" t="s">
        <v>65</v>
      </c>
      <c r="C20" t="s">
        <v>66</v>
      </c>
      <c r="D20" t="s">
        <v>18</v>
      </c>
      <c r="E20" t="s">
        <v>67</v>
      </c>
      <c r="F20" t="s">
        <v>68</v>
      </c>
      <c r="G20" t="str">
        <f xml:space="preserve"> PROPER(_xlfn.CONCAT(Table1[[#This Row],[Title]]," ",Table1[[#This Row],[First Name]]," ",Table1[[#This Row],[Last Name]]))</f>
        <v>Miss Emily Butler</v>
      </c>
      <c r="H20" t="str">
        <f>SUBSTITUTE(Table1[[#This Row],[Street]],"Road"," Road")</f>
        <v>Telford Close</v>
      </c>
      <c r="I20" t="str">
        <f>SUBSTITUTE(Table1[[#This Row],[Separate combined words ]],"?","")</f>
        <v>Telford Close</v>
      </c>
      <c r="J20" t="str">
        <f>TRIM(Table1[[#This Row],[Remove Question Mark "?"]])</f>
        <v>Telford Close</v>
      </c>
      <c r="K20" t="str">
        <f>PROPER(Table1[[#This Row],[Leading, Multiple &amp; Trailing spaces]])</f>
        <v>Telford Close</v>
      </c>
      <c r="L20" t="str">
        <f t="shared" si="0"/>
        <v>Telford Close</v>
      </c>
      <c r="M20" t="s">
        <v>67</v>
      </c>
      <c r="R20" s="4" t="s">
        <v>3454</v>
      </c>
      <c r="S20" s="4"/>
      <c r="T20" s="4"/>
      <c r="U20" s="4"/>
      <c r="V20" s="4"/>
      <c r="W20" s="4"/>
      <c r="X20" s="4"/>
      <c r="Y20" s="4"/>
    </row>
    <row r="21" spans="1:25" x14ac:dyDescent="0.3">
      <c r="A21">
        <v>18</v>
      </c>
      <c r="B21" t="s">
        <v>69</v>
      </c>
      <c r="C21" t="s">
        <v>70</v>
      </c>
      <c r="D21" t="s">
        <v>71</v>
      </c>
      <c r="E21" t="s">
        <v>72</v>
      </c>
      <c r="F21" t="s">
        <v>73</v>
      </c>
      <c r="G21" t="str">
        <f xml:space="preserve"> PROPER(_xlfn.CONCAT(Table1[[#This Row],[Title]]," ",Table1[[#This Row],[First Name]]," ",Table1[[#This Row],[Last Name]]))</f>
        <v>Ms Iona Hutchinson</v>
      </c>
      <c r="H21" t="str">
        <f>SUBSTITUTE(Table1[[#This Row],[Street]],"Road"," Road")</f>
        <v>Queens Buildings</v>
      </c>
      <c r="I21" t="str">
        <f>SUBSTITUTE(Table1[[#This Row],[Separate combined words ]],"?","")</f>
        <v>Queens Buildings</v>
      </c>
      <c r="J21" t="str">
        <f>TRIM(Table1[[#This Row],[Remove Question Mark "?"]])</f>
        <v>Queens Buildings</v>
      </c>
      <c r="K21" t="str">
        <f>PROPER(Table1[[#This Row],[Leading, Multiple &amp; Trailing spaces]])</f>
        <v>Queens Buildings</v>
      </c>
      <c r="L21" t="str">
        <f t="shared" si="0"/>
        <v>Queens Buildings</v>
      </c>
      <c r="M21" t="s">
        <v>72</v>
      </c>
      <c r="R21" s="4" t="s">
        <v>3462</v>
      </c>
      <c r="S21" s="4"/>
      <c r="T21" s="4"/>
      <c r="U21" s="4"/>
      <c r="V21" s="4"/>
      <c r="W21" s="4"/>
      <c r="X21" s="4"/>
      <c r="Y21" s="4"/>
    </row>
    <row r="22" spans="1:25" x14ac:dyDescent="0.3">
      <c r="A22">
        <v>19</v>
      </c>
      <c r="B22" t="s">
        <v>74</v>
      </c>
      <c r="C22" t="s">
        <v>75</v>
      </c>
      <c r="D22" t="s">
        <v>18</v>
      </c>
      <c r="E22" t="s">
        <v>76</v>
      </c>
      <c r="F22" t="s">
        <v>77</v>
      </c>
      <c r="G22" t="str">
        <f xml:space="preserve"> PROPER(_xlfn.CONCAT(Table1[[#This Row],[Title]]," ",Table1[[#This Row],[First Name]]," ",Table1[[#This Row],[Last Name]]))</f>
        <v>Miss Windy Cabrera</v>
      </c>
      <c r="H22" t="str">
        <f>SUBSTITUTE(Table1[[#This Row],[Street]],"Road"," Road")</f>
        <v>Havelock Cottages</v>
      </c>
      <c r="I22" t="str">
        <f>SUBSTITUTE(Table1[[#This Row],[Separate combined words ]],"?","")</f>
        <v>Havelock Cottages</v>
      </c>
      <c r="J22" t="str">
        <f>TRIM(Table1[[#This Row],[Remove Question Mark "?"]])</f>
        <v>Havelock Cottages</v>
      </c>
      <c r="K22" t="str">
        <f>PROPER(Table1[[#This Row],[Leading, Multiple &amp; Trailing spaces]])</f>
        <v>Havelock Cottages</v>
      </c>
      <c r="L22" t="str">
        <f t="shared" si="0"/>
        <v>Havelock Cottages</v>
      </c>
      <c r="M22" t="s">
        <v>76</v>
      </c>
      <c r="R22" s="4" t="s">
        <v>3463</v>
      </c>
      <c r="S22" s="4"/>
      <c r="T22" s="4"/>
      <c r="U22" s="4"/>
      <c r="V22" s="4"/>
      <c r="W22" s="4"/>
      <c r="X22" s="4"/>
      <c r="Y22" s="4"/>
    </row>
    <row r="23" spans="1:25" x14ac:dyDescent="0.3">
      <c r="A23">
        <v>20</v>
      </c>
      <c r="B23" t="s">
        <v>78</v>
      </c>
      <c r="C23" t="s">
        <v>79</v>
      </c>
      <c r="D23" t="s">
        <v>7</v>
      </c>
      <c r="E23" t="s">
        <v>80</v>
      </c>
      <c r="F23" t="s">
        <v>81</v>
      </c>
      <c r="G23" t="str">
        <f xml:space="preserve"> PROPER(_xlfn.CONCAT(Table1[[#This Row],[Title]]," ",Table1[[#This Row],[First Name]]," ",Table1[[#This Row],[Last Name]]))</f>
        <v>Mrs Cherry Walsh</v>
      </c>
      <c r="H23" t="str">
        <f>SUBSTITUTE(Table1[[#This Row],[Street]],"Road"," Road")</f>
        <v>Huntingdon Gardens</v>
      </c>
      <c r="I23" t="str">
        <f>SUBSTITUTE(Table1[[#This Row],[Separate combined words ]],"?","")</f>
        <v>Huntingdon Gardens</v>
      </c>
      <c r="J23" t="str">
        <f>TRIM(Table1[[#This Row],[Remove Question Mark "?"]])</f>
        <v>Huntingdon Gardens</v>
      </c>
      <c r="K23" t="str">
        <f>PROPER(Table1[[#This Row],[Leading, Multiple &amp; Trailing spaces]])</f>
        <v>Huntingdon Gardens</v>
      </c>
      <c r="L23" t="str">
        <f t="shared" si="0"/>
        <v>Huntingdon Gardens</v>
      </c>
      <c r="M23" t="s">
        <v>80</v>
      </c>
    </row>
    <row r="24" spans="1:25" x14ac:dyDescent="0.3">
      <c r="A24">
        <v>21</v>
      </c>
      <c r="B24" t="s">
        <v>82</v>
      </c>
      <c r="C24" t="s">
        <v>83</v>
      </c>
      <c r="D24" t="s">
        <v>7</v>
      </c>
      <c r="E24" t="s">
        <v>84</v>
      </c>
      <c r="F24" t="s">
        <v>85</v>
      </c>
      <c r="G24" t="str">
        <f xml:space="preserve"> PROPER(_xlfn.CONCAT(Table1[[#This Row],[Title]]," ",Table1[[#This Row],[First Name]]," ",Table1[[#This Row],[Last Name]]))</f>
        <v>Mrs Jaye Farley</v>
      </c>
      <c r="H24" t="str">
        <f>SUBSTITUTE(Table1[[#This Row],[Street]],"Road"," Road")</f>
        <v>Embankment Gardens</v>
      </c>
      <c r="I24" t="str">
        <f>SUBSTITUTE(Table1[[#This Row],[Separate combined words ]],"?","")</f>
        <v>Embankment Gardens</v>
      </c>
      <c r="J24" t="str">
        <f>TRIM(Table1[[#This Row],[Remove Question Mark "?"]])</f>
        <v>Embankment Gardens</v>
      </c>
      <c r="K24" t="str">
        <f>PROPER(Table1[[#This Row],[Leading, Multiple &amp; Trailing spaces]])</f>
        <v>Embankment Gardens</v>
      </c>
      <c r="L24" t="str">
        <f t="shared" si="0"/>
        <v>Embankment Gardens</v>
      </c>
      <c r="M24" t="s">
        <v>84</v>
      </c>
      <c r="R24" s="5" t="s">
        <v>3455</v>
      </c>
      <c r="S24" s="5"/>
      <c r="T24" s="5"/>
      <c r="U24" s="5"/>
      <c r="V24" s="5"/>
      <c r="W24" s="5"/>
      <c r="X24" s="5"/>
      <c r="Y24" s="5"/>
    </row>
    <row r="25" spans="1:25" x14ac:dyDescent="0.3">
      <c r="A25">
        <v>22</v>
      </c>
      <c r="B25" t="s">
        <v>86</v>
      </c>
      <c r="C25" t="s">
        <v>87</v>
      </c>
      <c r="D25" t="s">
        <v>18</v>
      </c>
      <c r="E25" t="s">
        <v>3371</v>
      </c>
      <c r="F25" t="s">
        <v>88</v>
      </c>
      <c r="G25" t="str">
        <f xml:space="preserve"> PROPER(_xlfn.CONCAT(Table1[[#This Row],[Title]]," ",Table1[[#This Row],[First Name]]," ",Table1[[#This Row],[Last Name]]))</f>
        <v>Miss Garnet Tipton</v>
      </c>
      <c r="H25" t="str">
        <f>SUBSTITUTE(Table1[[#This Row],[Street]],"Road"," Road")</f>
        <v xml:space="preserve"> burton Grove</v>
      </c>
      <c r="I25" t="str">
        <f>SUBSTITUTE(Table1[[#This Row],[Separate combined words ]],"?","")</f>
        <v xml:space="preserve"> burton Grove</v>
      </c>
      <c r="J25" t="str">
        <f>TRIM(Table1[[#This Row],[Remove Question Mark "?"]])</f>
        <v>burton Grove</v>
      </c>
      <c r="K25" t="str">
        <f>PROPER(Table1[[#This Row],[Leading, Multiple &amp; Trailing spaces]])</f>
        <v>Burton Grove</v>
      </c>
      <c r="L25" t="str">
        <f t="shared" si="0"/>
        <v>Burton Grove</v>
      </c>
      <c r="M25" t="s">
        <v>3406</v>
      </c>
      <c r="R25" s="5" t="s">
        <v>3464</v>
      </c>
      <c r="S25" s="5"/>
      <c r="T25" s="5"/>
      <c r="U25" s="5"/>
      <c r="V25" s="5"/>
      <c r="W25" s="5"/>
      <c r="X25" s="5"/>
      <c r="Y25" s="5"/>
    </row>
    <row r="26" spans="1:25" x14ac:dyDescent="0.3">
      <c r="A26">
        <v>23</v>
      </c>
      <c r="B26" t="s">
        <v>89</v>
      </c>
      <c r="C26" t="s">
        <v>90</v>
      </c>
      <c r="D26" t="s">
        <v>18</v>
      </c>
      <c r="E26" t="s">
        <v>91</v>
      </c>
      <c r="F26" t="s">
        <v>92</v>
      </c>
      <c r="G26" t="str">
        <f xml:space="preserve"> PROPER(_xlfn.CONCAT(Table1[[#This Row],[Title]]," ",Table1[[#This Row],[First Name]]," ",Table1[[#This Row],[Last Name]]))</f>
        <v>Miss Coral Grace</v>
      </c>
      <c r="H26" t="str">
        <f>SUBSTITUTE(Table1[[#This Row],[Street]],"Road"," Road")</f>
        <v>Alliance  Road</v>
      </c>
      <c r="I26" t="str">
        <f>SUBSTITUTE(Table1[[#This Row],[Separate combined words ]],"?","")</f>
        <v>Alliance  Road</v>
      </c>
      <c r="J26" t="str">
        <f>TRIM(Table1[[#This Row],[Remove Question Mark "?"]])</f>
        <v>Alliance Road</v>
      </c>
      <c r="K26" t="str">
        <f>PROPER(Table1[[#This Row],[Leading, Multiple &amp; Trailing spaces]])</f>
        <v>Alliance Road</v>
      </c>
      <c r="L26" t="str">
        <f t="shared" si="0"/>
        <v>Alliance Road</v>
      </c>
      <c r="M26" t="s">
        <v>91</v>
      </c>
    </row>
    <row r="27" spans="1:25" x14ac:dyDescent="0.3">
      <c r="A27">
        <v>24</v>
      </c>
      <c r="B27" t="s">
        <v>93</v>
      </c>
      <c r="C27" t="s">
        <v>94</v>
      </c>
      <c r="D27" t="s">
        <v>18</v>
      </c>
      <c r="E27" t="s">
        <v>3372</v>
      </c>
      <c r="F27" t="s">
        <v>95</v>
      </c>
      <c r="G27" t="str">
        <f xml:space="preserve"> PROPER(_xlfn.CONCAT(Table1[[#This Row],[Title]]," ",Table1[[#This Row],[First Name]]," ",Table1[[#This Row],[Last Name]]))</f>
        <v>Miss Kacy Ragland</v>
      </c>
      <c r="H27" t="str">
        <f>SUBSTITUTE(Table1[[#This Row],[Street]],"Road"," Road")</f>
        <v>Coningsby cottages</v>
      </c>
      <c r="I27" t="str">
        <f>SUBSTITUTE(Table1[[#This Row],[Separate combined words ]],"?","")</f>
        <v>Coningsby cottages</v>
      </c>
      <c r="J27" t="str">
        <f>TRIM(Table1[[#This Row],[Remove Question Mark "?"]])</f>
        <v>Coningsby cottages</v>
      </c>
      <c r="K27" t="str">
        <f>PROPER(Table1[[#This Row],[Leading, Multiple &amp; Trailing spaces]])</f>
        <v>Coningsby Cottages</v>
      </c>
      <c r="L27" t="str">
        <f t="shared" si="0"/>
        <v>Coningsby Cottages</v>
      </c>
      <c r="M27" t="s">
        <v>3407</v>
      </c>
      <c r="R27" s="4" t="s">
        <v>3456</v>
      </c>
      <c r="S27" s="4"/>
      <c r="T27" s="4"/>
      <c r="U27" s="4"/>
      <c r="V27" s="4"/>
      <c r="W27" s="4"/>
      <c r="X27" s="4"/>
      <c r="Y27" s="4"/>
    </row>
    <row r="28" spans="1:25" x14ac:dyDescent="0.3">
      <c r="A28">
        <v>25</v>
      </c>
      <c r="B28" t="s">
        <v>96</v>
      </c>
      <c r="C28" t="s">
        <v>97</v>
      </c>
      <c r="D28" t="s">
        <v>18</v>
      </c>
      <c r="E28" t="s">
        <v>98</v>
      </c>
      <c r="F28" t="s">
        <v>99</v>
      </c>
      <c r="G28" t="str">
        <f xml:space="preserve"> PROPER(_xlfn.CONCAT(Table1[[#This Row],[Title]]," ",Table1[[#This Row],[First Name]]," ",Table1[[#This Row],[Last Name]]))</f>
        <v>Miss Riva Crosby</v>
      </c>
      <c r="H28" t="str">
        <f>SUBSTITUTE(Table1[[#This Row],[Street]],"Road"," Road")</f>
        <v>Burdett Place</v>
      </c>
      <c r="I28" t="str">
        <f>SUBSTITUTE(Table1[[#This Row],[Separate combined words ]],"?","")</f>
        <v>Burdett Place</v>
      </c>
      <c r="J28" t="str">
        <f>TRIM(Table1[[#This Row],[Remove Question Mark "?"]])</f>
        <v>Burdett Place</v>
      </c>
      <c r="K28" t="str">
        <f>PROPER(Table1[[#This Row],[Leading, Multiple &amp; Trailing spaces]])</f>
        <v>Burdett Place</v>
      </c>
      <c r="L28" t="str">
        <f t="shared" si="0"/>
        <v>Burdett Place</v>
      </c>
      <c r="M28" t="s">
        <v>98</v>
      </c>
      <c r="R28" s="4"/>
      <c r="S28" s="4"/>
      <c r="T28" s="4"/>
      <c r="U28" s="4"/>
      <c r="V28" s="4"/>
      <c r="W28" s="4"/>
      <c r="X28" s="4"/>
      <c r="Y28" s="4"/>
    </row>
    <row r="29" spans="1:25" x14ac:dyDescent="0.3">
      <c r="A29">
        <v>26</v>
      </c>
      <c r="B29" t="s">
        <v>100</v>
      </c>
      <c r="C29" t="s">
        <v>101</v>
      </c>
      <c r="D29" t="s">
        <v>7</v>
      </c>
      <c r="E29" t="s">
        <v>3373</v>
      </c>
      <c r="F29" t="s">
        <v>102</v>
      </c>
      <c r="G29" t="str">
        <f xml:space="preserve"> PROPER(_xlfn.CONCAT(Table1[[#This Row],[Title]]," ",Table1[[#This Row],[First Name]]," ",Table1[[#This Row],[Last Name]]))</f>
        <v>Mrs Thi Stroud</v>
      </c>
      <c r="H29" t="str">
        <f>SUBSTITUTE(Table1[[#This Row],[Street]],"Road"," Road")</f>
        <v>Biddenden   Way</v>
      </c>
      <c r="I29" t="str">
        <f>SUBSTITUTE(Table1[[#This Row],[Separate combined words ]],"?","")</f>
        <v>Biddenden   Way</v>
      </c>
      <c r="J29" t="str">
        <f>TRIM(Table1[[#This Row],[Remove Question Mark "?"]])</f>
        <v>Biddenden Way</v>
      </c>
      <c r="K29" t="str">
        <f>PROPER(Table1[[#This Row],[Leading, Multiple &amp; Trailing spaces]])</f>
        <v>Biddenden Way</v>
      </c>
      <c r="L29" t="str">
        <f t="shared" si="0"/>
        <v>Biddenden Way</v>
      </c>
      <c r="M29" t="s">
        <v>3408</v>
      </c>
      <c r="R29" s="5" t="s">
        <v>3465</v>
      </c>
      <c r="S29" s="5"/>
      <c r="T29" s="5"/>
      <c r="U29" s="5"/>
      <c r="V29" s="5"/>
      <c r="W29" s="5"/>
      <c r="X29" s="5"/>
      <c r="Y29" s="5"/>
    </row>
    <row r="30" spans="1:25" x14ac:dyDescent="0.3">
      <c r="A30">
        <v>27</v>
      </c>
      <c r="B30" t="s">
        <v>103</v>
      </c>
      <c r="C30" t="s">
        <v>104</v>
      </c>
      <c r="D30" t="s">
        <v>7</v>
      </c>
      <c r="E30" t="s">
        <v>105</v>
      </c>
      <c r="F30" t="s">
        <v>106</v>
      </c>
      <c r="G30" t="str">
        <f xml:space="preserve"> PROPER(_xlfn.CONCAT(Table1[[#This Row],[Title]]," ",Table1[[#This Row],[First Name]]," ",Table1[[#This Row],[Last Name]]))</f>
        <v>Mrs Ji Austin</v>
      </c>
      <c r="H30" t="str">
        <f>SUBSTITUTE(Table1[[#This Row],[Street]],"Road"," Road")</f>
        <v>Selhurst  Road</v>
      </c>
      <c r="I30" t="str">
        <f>SUBSTITUTE(Table1[[#This Row],[Separate combined words ]],"?","")</f>
        <v>Selhurst  Road</v>
      </c>
      <c r="J30" t="str">
        <f>TRIM(Table1[[#This Row],[Remove Question Mark "?"]])</f>
        <v>Selhurst Road</v>
      </c>
      <c r="K30" t="str">
        <f>PROPER(Table1[[#This Row],[Leading, Multiple &amp; Trailing spaces]])</f>
        <v>Selhurst Road</v>
      </c>
      <c r="L30" t="str">
        <f t="shared" si="0"/>
        <v>Selhurst Road</v>
      </c>
      <c r="M30" t="s">
        <v>105</v>
      </c>
    </row>
    <row r="31" spans="1:25" x14ac:dyDescent="0.3">
      <c r="A31">
        <v>28</v>
      </c>
      <c r="B31" t="s">
        <v>107</v>
      </c>
      <c r="C31" t="s">
        <v>108</v>
      </c>
      <c r="D31" t="s">
        <v>7</v>
      </c>
      <c r="E31" t="s">
        <v>109</v>
      </c>
      <c r="F31" t="s">
        <v>110</v>
      </c>
      <c r="G31" t="str">
        <f xml:space="preserve"> PROPER(_xlfn.CONCAT(Table1[[#This Row],[Title]]," ",Table1[[#This Row],[First Name]]," ",Table1[[#This Row],[Last Name]]))</f>
        <v>Mrs Molly Marcus</v>
      </c>
      <c r="H31" t="str">
        <f>SUBSTITUTE(Table1[[#This Row],[Street]],"Road"," Road")</f>
        <v>Lyons Yard</v>
      </c>
      <c r="I31" t="str">
        <f>SUBSTITUTE(Table1[[#This Row],[Separate combined words ]],"?","")</f>
        <v>Lyons Yard</v>
      </c>
      <c r="J31" t="str">
        <f>TRIM(Table1[[#This Row],[Remove Question Mark "?"]])</f>
        <v>Lyons Yard</v>
      </c>
      <c r="K31" t="str">
        <f>PROPER(Table1[[#This Row],[Leading, Multiple &amp; Trailing spaces]])</f>
        <v>Lyons Yard</v>
      </c>
      <c r="L31" t="str">
        <f t="shared" si="0"/>
        <v>Lyons Yard</v>
      </c>
      <c r="M31" t="s">
        <v>109</v>
      </c>
      <c r="R31" s="9" t="s">
        <v>3473</v>
      </c>
      <c r="S31" s="10"/>
      <c r="T31" s="10"/>
      <c r="U31" s="10"/>
      <c r="V31" s="10"/>
      <c r="W31" s="10"/>
      <c r="X31" s="10"/>
      <c r="Y31" s="11"/>
    </row>
    <row r="32" spans="1:25" x14ac:dyDescent="0.3">
      <c r="A32">
        <v>29</v>
      </c>
      <c r="B32" t="s">
        <v>111</v>
      </c>
      <c r="C32" t="s">
        <v>112</v>
      </c>
      <c r="D32" t="s">
        <v>71</v>
      </c>
      <c r="E32" t="s">
        <v>3374</v>
      </c>
      <c r="F32" t="s">
        <v>113</v>
      </c>
      <c r="G32" t="str">
        <f xml:space="preserve"> PROPER(_xlfn.CONCAT(Table1[[#This Row],[Title]]," ",Table1[[#This Row],[First Name]]," ",Table1[[#This Row],[Last Name]]))</f>
        <v>Ms Alina Pryor</v>
      </c>
      <c r="H32" t="str">
        <f>SUBSTITUTE(Table1[[#This Row],[Street]],"Road"," Road")</f>
        <v>Edgar    Road</v>
      </c>
      <c r="I32" t="str">
        <f>SUBSTITUTE(Table1[[#This Row],[Separate combined words ]],"?","")</f>
        <v>Edgar    Road</v>
      </c>
      <c r="J32" t="str">
        <f>TRIM(Table1[[#This Row],[Remove Question Mark "?"]])</f>
        <v>Edgar Road</v>
      </c>
      <c r="K32" t="str">
        <f>PROPER(Table1[[#This Row],[Leading, Multiple &amp; Trailing spaces]])</f>
        <v>Edgar Road</v>
      </c>
      <c r="L32" t="str">
        <f t="shared" si="0"/>
        <v>Edgar Road</v>
      </c>
      <c r="M32" t="s">
        <v>3409</v>
      </c>
    </row>
    <row r="33" spans="1:13" x14ac:dyDescent="0.3">
      <c r="A33">
        <v>30</v>
      </c>
      <c r="B33" t="s">
        <v>114</v>
      </c>
      <c r="C33" t="s">
        <v>115</v>
      </c>
      <c r="D33" t="s">
        <v>7</v>
      </c>
      <c r="E33" t="s">
        <v>116</v>
      </c>
      <c r="F33" t="s">
        <v>117</v>
      </c>
      <c r="G33" t="str">
        <f xml:space="preserve"> PROPER(_xlfn.CONCAT(Table1[[#This Row],[Title]]," ",Table1[[#This Row],[First Name]]," ",Table1[[#This Row],[Last Name]]))</f>
        <v>Mrs Jo Simons</v>
      </c>
      <c r="H33" t="str">
        <f>SUBSTITUTE(Table1[[#This Row],[Street]],"Road"," Road")</f>
        <v>Roe Lane</v>
      </c>
      <c r="I33" t="str">
        <f>SUBSTITUTE(Table1[[#This Row],[Separate combined words ]],"?","")</f>
        <v>Roe Lane</v>
      </c>
      <c r="J33" t="str">
        <f>TRIM(Table1[[#This Row],[Remove Question Mark "?"]])</f>
        <v>Roe Lane</v>
      </c>
      <c r="K33" t="str">
        <f>PROPER(Table1[[#This Row],[Leading, Multiple &amp; Trailing spaces]])</f>
        <v>Roe Lane</v>
      </c>
      <c r="L33" t="str">
        <f t="shared" si="0"/>
        <v>Roe Lane</v>
      </c>
      <c r="M33" t="s">
        <v>116</v>
      </c>
    </row>
    <row r="34" spans="1:13" x14ac:dyDescent="0.3">
      <c r="A34">
        <v>31</v>
      </c>
      <c r="B34" t="s">
        <v>118</v>
      </c>
      <c r="C34" t="s">
        <v>119</v>
      </c>
      <c r="D34" t="s">
        <v>18</v>
      </c>
      <c r="E34" t="s">
        <v>120</v>
      </c>
      <c r="F34" t="s">
        <v>121</v>
      </c>
      <c r="G34" t="str">
        <f xml:space="preserve"> PROPER(_xlfn.CONCAT(Table1[[#This Row],[Title]]," ",Table1[[#This Row],[First Name]]," ",Table1[[#This Row],[Last Name]]))</f>
        <v>Miss Lacy Emerson</v>
      </c>
      <c r="H34" t="str">
        <f>SUBSTITUTE(Table1[[#This Row],[Street]],"Road"," Road")</f>
        <v>Beaufort Wharf</v>
      </c>
      <c r="I34" t="str">
        <f>SUBSTITUTE(Table1[[#This Row],[Separate combined words ]],"?","")</f>
        <v>Beaufort Wharf</v>
      </c>
      <c r="J34" t="str">
        <f>TRIM(Table1[[#This Row],[Remove Question Mark "?"]])</f>
        <v>Beaufort Wharf</v>
      </c>
      <c r="K34" t="str">
        <f>PROPER(Table1[[#This Row],[Leading, Multiple &amp; Trailing spaces]])</f>
        <v>Beaufort Wharf</v>
      </c>
      <c r="L34" t="str">
        <f t="shared" si="0"/>
        <v>Beaufort Wharf</v>
      </c>
      <c r="M34" t="s">
        <v>120</v>
      </c>
    </row>
    <row r="35" spans="1:13" x14ac:dyDescent="0.3">
      <c r="A35">
        <v>32</v>
      </c>
      <c r="B35" t="s">
        <v>122</v>
      </c>
      <c r="C35" t="s">
        <v>123</v>
      </c>
      <c r="D35" t="s">
        <v>18</v>
      </c>
      <c r="E35" t="s">
        <v>124</v>
      </c>
      <c r="F35" t="s">
        <v>125</v>
      </c>
      <c r="G35" t="str">
        <f xml:space="preserve"> PROPER(_xlfn.CONCAT(Table1[[#This Row],[Title]]," ",Table1[[#This Row],[First Name]]," ",Table1[[#This Row],[Last Name]]))</f>
        <v>Miss Janice Oneal</v>
      </c>
      <c r="H35" t="str">
        <f>SUBSTITUTE(Table1[[#This Row],[Street]],"Road"," Road")</f>
        <v>Anns Close</v>
      </c>
      <c r="I35" t="str">
        <f>SUBSTITUTE(Table1[[#This Row],[Separate combined words ]],"?","")</f>
        <v>Anns Close</v>
      </c>
      <c r="J35" t="str">
        <f>TRIM(Table1[[#This Row],[Remove Question Mark "?"]])</f>
        <v>Anns Close</v>
      </c>
      <c r="K35" t="str">
        <f>PROPER(Table1[[#This Row],[Leading, Multiple &amp; Trailing spaces]])</f>
        <v>Anns Close</v>
      </c>
      <c r="L35" t="str">
        <f t="shared" si="0"/>
        <v>Anns Close</v>
      </c>
      <c r="M35" t="s">
        <v>124</v>
      </c>
    </row>
    <row r="36" spans="1:13" x14ac:dyDescent="0.3">
      <c r="A36">
        <v>33</v>
      </c>
      <c r="B36" t="s">
        <v>126</v>
      </c>
      <c r="C36" t="s">
        <v>127</v>
      </c>
      <c r="D36" t="s">
        <v>18</v>
      </c>
      <c r="E36" t="s">
        <v>3375</v>
      </c>
      <c r="F36" t="s">
        <v>128</v>
      </c>
      <c r="G36" t="str">
        <f xml:space="preserve"> PROPER(_xlfn.CONCAT(Table1[[#This Row],[Title]]," ",Table1[[#This Row],[First Name]]," ",Table1[[#This Row],[Last Name]]))</f>
        <v>Miss Donella Fenton</v>
      </c>
      <c r="H36" t="str">
        <f>SUBSTITUTE(Table1[[#This Row],[Street]],"Road"," Road")</f>
        <v>sladedale ROAD</v>
      </c>
      <c r="I36" t="str">
        <f>SUBSTITUTE(Table1[[#This Row],[Separate combined words ]],"?","")</f>
        <v>sladedale ROAD</v>
      </c>
      <c r="J36" t="str">
        <f>TRIM(Table1[[#This Row],[Remove Question Mark "?"]])</f>
        <v>sladedale ROAD</v>
      </c>
      <c r="K36" t="str">
        <f>PROPER(Table1[[#This Row],[Leading, Multiple &amp; Trailing spaces]])</f>
        <v>Sladedale Road</v>
      </c>
      <c r="L36" t="str">
        <f t="shared" si="0"/>
        <v>Sladedale Road</v>
      </c>
      <c r="M36" t="s">
        <v>3410</v>
      </c>
    </row>
    <row r="37" spans="1:13" x14ac:dyDescent="0.3">
      <c r="A37">
        <v>34</v>
      </c>
      <c r="B37" t="s">
        <v>129</v>
      </c>
      <c r="C37" t="s">
        <v>130</v>
      </c>
      <c r="D37" t="s">
        <v>7</v>
      </c>
      <c r="E37" t="s">
        <v>131</v>
      </c>
      <c r="F37" t="s">
        <v>132</v>
      </c>
      <c r="G37" t="str">
        <f xml:space="preserve"> PROPER(_xlfn.CONCAT(Table1[[#This Row],[Title]]," ",Table1[[#This Row],[First Name]]," ",Table1[[#This Row],[Last Name]]))</f>
        <v>Mrs Jacinta Blackburn</v>
      </c>
      <c r="H37" t="str">
        <f>SUBSTITUTE(Table1[[#This Row],[Street]],"Road"," Road")</f>
        <v>Falkland Place</v>
      </c>
      <c r="I37" t="str">
        <f>SUBSTITUTE(Table1[[#This Row],[Separate combined words ]],"?","")</f>
        <v>Falkland Place</v>
      </c>
      <c r="J37" t="str">
        <f>TRIM(Table1[[#This Row],[Remove Question Mark "?"]])</f>
        <v>Falkland Place</v>
      </c>
      <c r="K37" t="str">
        <f>PROPER(Table1[[#This Row],[Leading, Multiple &amp; Trailing spaces]])</f>
        <v>Falkland Place</v>
      </c>
      <c r="L37" t="str">
        <f t="shared" si="0"/>
        <v>Falkland Place</v>
      </c>
      <c r="M37" t="s">
        <v>131</v>
      </c>
    </row>
    <row r="38" spans="1:13" x14ac:dyDescent="0.3">
      <c r="A38">
        <v>35</v>
      </c>
      <c r="B38" t="s">
        <v>133</v>
      </c>
      <c r="C38" t="s">
        <v>134</v>
      </c>
      <c r="D38" t="s">
        <v>18</v>
      </c>
      <c r="E38" t="s">
        <v>3376</v>
      </c>
      <c r="F38" t="s">
        <v>27</v>
      </c>
      <c r="G38" t="str">
        <f xml:space="preserve"> PROPER(_xlfn.CONCAT(Table1[[#This Row],[Title]]," ",Table1[[#This Row],[First Name]]," ",Table1[[#This Row],[Last Name]]))</f>
        <v>Miss Chasity Mcfadden</v>
      </c>
      <c r="H38" t="str">
        <f>SUBSTITUTE(Table1[[#This Row],[Street]],"Road"," Road")</f>
        <v>Westdean  close</v>
      </c>
      <c r="I38" t="str">
        <f>SUBSTITUTE(Table1[[#This Row],[Separate combined words ]],"?","")</f>
        <v>Westdean  close</v>
      </c>
      <c r="J38" t="str">
        <f>TRIM(Table1[[#This Row],[Remove Question Mark "?"]])</f>
        <v>Westdean close</v>
      </c>
      <c r="K38" t="str">
        <f>PROPER(Table1[[#This Row],[Leading, Multiple &amp; Trailing spaces]])</f>
        <v>Westdean Close</v>
      </c>
      <c r="L38" t="str">
        <f t="shared" si="0"/>
        <v>Westdean Close</v>
      </c>
      <c r="M38" t="s">
        <v>3411</v>
      </c>
    </row>
    <row r="39" spans="1:13" x14ac:dyDescent="0.3">
      <c r="A39">
        <v>36</v>
      </c>
      <c r="B39" t="s">
        <v>135</v>
      </c>
      <c r="C39" t="s">
        <v>136</v>
      </c>
      <c r="D39" t="s">
        <v>18</v>
      </c>
      <c r="E39" t="s">
        <v>137</v>
      </c>
      <c r="F39" t="s">
        <v>138</v>
      </c>
      <c r="G39" t="str">
        <f xml:space="preserve"> PROPER(_xlfn.CONCAT(Table1[[#This Row],[Title]]," ",Table1[[#This Row],[First Name]]," ",Table1[[#This Row],[Last Name]]))</f>
        <v>Miss Margot Akers</v>
      </c>
      <c r="H39" t="str">
        <f>SUBSTITUTE(Table1[[#This Row],[Street]],"Road"," Road")</f>
        <v>Roslyn Avenue</v>
      </c>
      <c r="I39" t="str">
        <f>SUBSTITUTE(Table1[[#This Row],[Separate combined words ]],"?","")</f>
        <v>Roslyn Avenue</v>
      </c>
      <c r="J39" t="str">
        <f>TRIM(Table1[[#This Row],[Remove Question Mark "?"]])</f>
        <v>Roslyn Avenue</v>
      </c>
      <c r="K39" t="str">
        <f>PROPER(Table1[[#This Row],[Leading, Multiple &amp; Trailing spaces]])</f>
        <v>Roslyn Avenue</v>
      </c>
      <c r="L39" t="str">
        <f t="shared" si="0"/>
        <v>Roslyn Avenue</v>
      </c>
      <c r="M39" t="s">
        <v>137</v>
      </c>
    </row>
    <row r="40" spans="1:13" x14ac:dyDescent="0.3">
      <c r="A40">
        <v>37</v>
      </c>
      <c r="B40" t="s">
        <v>139</v>
      </c>
      <c r="C40" t="s">
        <v>140</v>
      </c>
      <c r="D40" t="s">
        <v>7</v>
      </c>
      <c r="E40" t="s">
        <v>141</v>
      </c>
      <c r="F40" t="s">
        <v>142</v>
      </c>
      <c r="G40" t="str">
        <f xml:space="preserve"> PROPER(_xlfn.CONCAT(Table1[[#This Row],[Title]]," ",Table1[[#This Row],[First Name]]," ",Table1[[#This Row],[Last Name]]))</f>
        <v>Mrs Tresa Meza</v>
      </c>
      <c r="H40" t="str">
        <f>SUBSTITUTE(Table1[[#This Row],[Street]],"Road"," Road")</f>
        <v>East Mount</v>
      </c>
      <c r="I40" t="str">
        <f>SUBSTITUTE(Table1[[#This Row],[Separate combined words ]],"?","")</f>
        <v>East Mount</v>
      </c>
      <c r="J40" t="str">
        <f>TRIM(Table1[[#This Row],[Remove Question Mark "?"]])</f>
        <v>East Mount</v>
      </c>
      <c r="K40" t="str">
        <f>PROPER(Table1[[#This Row],[Leading, Multiple &amp; Trailing spaces]])</f>
        <v>East Mount</v>
      </c>
      <c r="L40" t="str">
        <f t="shared" si="0"/>
        <v>East Mount</v>
      </c>
      <c r="M40" t="s">
        <v>141</v>
      </c>
    </row>
    <row r="41" spans="1:13" x14ac:dyDescent="0.3">
      <c r="A41">
        <v>38</v>
      </c>
      <c r="B41" t="s">
        <v>143</v>
      </c>
      <c r="C41" t="s">
        <v>144</v>
      </c>
      <c r="D41" t="s">
        <v>7</v>
      </c>
      <c r="E41" t="s">
        <v>3377</v>
      </c>
      <c r="F41" t="s">
        <v>145</v>
      </c>
      <c r="G41" t="str">
        <f xml:space="preserve"> PROPER(_xlfn.CONCAT(Table1[[#This Row],[Title]]," ",Table1[[#This Row],[First Name]]," ",Table1[[#This Row],[Last Name]]))</f>
        <v>Mrs Jack Johnston</v>
      </c>
      <c r="H41" t="str">
        <f>SUBSTITUTE(Table1[[#This Row],[Street]],"Road"," Road")</f>
        <v xml:space="preserve"> Grainger Street</v>
      </c>
      <c r="I41" t="str">
        <f>SUBSTITUTE(Table1[[#This Row],[Separate combined words ]],"?","")</f>
        <v xml:space="preserve"> Grainger Street</v>
      </c>
      <c r="J41" t="str">
        <f>TRIM(Table1[[#This Row],[Remove Question Mark "?"]])</f>
        <v>Grainger Street</v>
      </c>
      <c r="K41" t="str">
        <f>PROPER(Table1[[#This Row],[Leading, Multiple &amp; Trailing spaces]])</f>
        <v>Grainger Street</v>
      </c>
      <c r="L41" t="str">
        <f t="shared" si="0"/>
        <v>Grainger Street</v>
      </c>
      <c r="M41" t="s">
        <v>3412</v>
      </c>
    </row>
    <row r="42" spans="1:13" x14ac:dyDescent="0.3">
      <c r="A42">
        <v>39</v>
      </c>
      <c r="B42" t="s">
        <v>146</v>
      </c>
      <c r="C42" t="s">
        <v>147</v>
      </c>
      <c r="D42" t="s">
        <v>7</v>
      </c>
      <c r="E42" t="s">
        <v>3378</v>
      </c>
      <c r="F42" t="s">
        <v>148</v>
      </c>
      <c r="G42" t="str">
        <f xml:space="preserve"> PROPER(_xlfn.CONCAT(Table1[[#This Row],[Title]]," ",Table1[[#This Row],[First Name]]," ",Table1[[#This Row],[Last Name]]))</f>
        <v>Mrs Kaley Kay</v>
      </c>
      <c r="H42" t="str">
        <f>SUBSTITUTE(Table1[[#This Row],[Street]],"Road"," Road")</f>
        <v xml:space="preserve">upper  paget </v>
      </c>
      <c r="I42" t="str">
        <f>SUBSTITUTE(Table1[[#This Row],[Separate combined words ]],"?","")</f>
        <v xml:space="preserve">upper  paget </v>
      </c>
      <c r="J42" t="str">
        <f>TRIM(Table1[[#This Row],[Remove Question Mark "?"]])</f>
        <v>upper paget</v>
      </c>
      <c r="K42" t="str">
        <f>PROPER(Table1[[#This Row],[Leading, Multiple &amp; Trailing spaces]])</f>
        <v>Upper Paget</v>
      </c>
      <c r="L42" t="str">
        <f t="shared" si="0"/>
        <v>Upper Paget</v>
      </c>
      <c r="M42" t="s">
        <v>3413</v>
      </c>
    </row>
    <row r="43" spans="1:13" x14ac:dyDescent="0.3">
      <c r="A43">
        <v>40</v>
      </c>
      <c r="B43" t="s">
        <v>149</v>
      </c>
      <c r="C43" t="s">
        <v>150</v>
      </c>
      <c r="D43" t="s">
        <v>18</v>
      </c>
      <c r="E43" t="s">
        <v>151</v>
      </c>
      <c r="F43" t="s">
        <v>152</v>
      </c>
      <c r="G43" t="str">
        <f xml:space="preserve"> PROPER(_xlfn.CONCAT(Table1[[#This Row],[Title]]," ",Table1[[#This Row],[First Name]]," ",Table1[[#This Row],[Last Name]]))</f>
        <v>Miss Shaniqua Baker</v>
      </c>
      <c r="H43" t="str">
        <f>SUBSTITUTE(Table1[[#This Row],[Street]],"Road"," Road")</f>
        <v>Claypole  Road</v>
      </c>
      <c r="I43" t="str">
        <f>SUBSTITUTE(Table1[[#This Row],[Separate combined words ]],"?","")</f>
        <v>Claypole  Road</v>
      </c>
      <c r="J43" t="str">
        <f>TRIM(Table1[[#This Row],[Remove Question Mark "?"]])</f>
        <v>Claypole Road</v>
      </c>
      <c r="K43" t="str">
        <f>PROPER(Table1[[#This Row],[Leading, Multiple &amp; Trailing spaces]])</f>
        <v>Claypole Road</v>
      </c>
      <c r="L43" t="str">
        <f t="shared" si="0"/>
        <v>Claypole Road</v>
      </c>
      <c r="M43" t="s">
        <v>151</v>
      </c>
    </row>
    <row r="44" spans="1:13" x14ac:dyDescent="0.3">
      <c r="A44">
        <v>41</v>
      </c>
      <c r="B44" t="s">
        <v>153</v>
      </c>
      <c r="C44" t="s">
        <v>154</v>
      </c>
      <c r="D44" t="s">
        <v>18</v>
      </c>
      <c r="E44" t="s">
        <v>155</v>
      </c>
      <c r="F44" t="s">
        <v>156</v>
      </c>
      <c r="G44" t="str">
        <f xml:space="preserve"> PROPER(_xlfn.CONCAT(Table1[[#This Row],[Title]]," ",Table1[[#This Row],[First Name]]," ",Table1[[#This Row],[Last Name]]))</f>
        <v>Miss Aurora Montgomery</v>
      </c>
      <c r="H44" t="str">
        <f>SUBSTITUTE(Table1[[#This Row],[Street]],"Road"," Road")</f>
        <v>Halsbrook  Road</v>
      </c>
      <c r="I44" t="str">
        <f>SUBSTITUTE(Table1[[#This Row],[Separate combined words ]],"?","")</f>
        <v>Halsbrook  Road</v>
      </c>
      <c r="J44" t="str">
        <f>TRIM(Table1[[#This Row],[Remove Question Mark "?"]])</f>
        <v>Halsbrook Road</v>
      </c>
      <c r="K44" t="str">
        <f>PROPER(Table1[[#This Row],[Leading, Multiple &amp; Trailing spaces]])</f>
        <v>Halsbrook Road</v>
      </c>
      <c r="L44" t="str">
        <f t="shared" si="0"/>
        <v>Halsbrook Road</v>
      </c>
      <c r="M44" t="s">
        <v>155</v>
      </c>
    </row>
    <row r="45" spans="1:13" x14ac:dyDescent="0.3">
      <c r="A45">
        <v>42</v>
      </c>
      <c r="B45" t="s">
        <v>157</v>
      </c>
      <c r="C45" t="s">
        <v>158</v>
      </c>
      <c r="D45" t="s">
        <v>7</v>
      </c>
      <c r="E45" t="s">
        <v>159</v>
      </c>
      <c r="F45" t="s">
        <v>160</v>
      </c>
      <c r="G45" t="str">
        <f xml:space="preserve"> PROPER(_xlfn.CONCAT(Table1[[#This Row],[Title]]," ",Table1[[#This Row],[First Name]]," ",Table1[[#This Row],[Last Name]]))</f>
        <v>Mrs Carmelita Surname</v>
      </c>
      <c r="H45" t="str">
        <f>SUBSTITUTE(Table1[[#This Row],[Street]],"Road"," Road")</f>
        <v>Kevelioc  Road</v>
      </c>
      <c r="I45" t="str">
        <f>SUBSTITUTE(Table1[[#This Row],[Separate combined words ]],"?","")</f>
        <v>Kevelioc  Road</v>
      </c>
      <c r="J45" t="str">
        <f>TRIM(Table1[[#This Row],[Remove Question Mark "?"]])</f>
        <v>Kevelioc Road</v>
      </c>
      <c r="K45" t="str">
        <f>PROPER(Table1[[#This Row],[Leading, Multiple &amp; Trailing spaces]])</f>
        <v>Kevelioc Road</v>
      </c>
      <c r="L45" t="str">
        <f t="shared" si="0"/>
        <v>Kevelioc Road</v>
      </c>
      <c r="M45" t="s">
        <v>159</v>
      </c>
    </row>
    <row r="46" spans="1:13" x14ac:dyDescent="0.3">
      <c r="A46">
        <v>43</v>
      </c>
      <c r="B46" t="s">
        <v>161</v>
      </c>
      <c r="C46" t="s">
        <v>162</v>
      </c>
      <c r="D46" t="s">
        <v>7</v>
      </c>
      <c r="E46" t="s">
        <v>163</v>
      </c>
      <c r="F46" t="s">
        <v>164</v>
      </c>
      <c r="G46" t="str">
        <f xml:space="preserve"> PROPER(_xlfn.CONCAT(Table1[[#This Row],[Title]]," ",Table1[[#This Row],[First Name]]," ",Table1[[#This Row],[Last Name]]))</f>
        <v>Mrs Maude Orozco</v>
      </c>
      <c r="H46" t="str">
        <f>SUBSTITUTE(Table1[[#This Row],[Street]],"Road"," Road")</f>
        <v>Crede Cottages</v>
      </c>
      <c r="I46" t="str">
        <f>SUBSTITUTE(Table1[[#This Row],[Separate combined words ]],"?","")</f>
        <v>Crede Cottages</v>
      </c>
      <c r="J46" t="str">
        <f>TRIM(Table1[[#This Row],[Remove Question Mark "?"]])</f>
        <v>Crede Cottages</v>
      </c>
      <c r="K46" t="str">
        <f>PROPER(Table1[[#This Row],[Leading, Multiple &amp; Trailing spaces]])</f>
        <v>Crede Cottages</v>
      </c>
      <c r="L46" t="str">
        <f t="shared" si="0"/>
        <v>Crede Cottages</v>
      </c>
      <c r="M46" t="s">
        <v>163</v>
      </c>
    </row>
    <row r="47" spans="1:13" x14ac:dyDescent="0.3">
      <c r="A47">
        <v>44</v>
      </c>
      <c r="B47" t="s">
        <v>165</v>
      </c>
      <c r="C47" t="s">
        <v>166</v>
      </c>
      <c r="D47" t="s">
        <v>7</v>
      </c>
      <c r="E47" t="s">
        <v>3379</v>
      </c>
      <c r="F47" t="s">
        <v>167</v>
      </c>
      <c r="G47" t="str">
        <f xml:space="preserve"> PROPER(_xlfn.CONCAT(Table1[[#This Row],[Title]]," ",Table1[[#This Row],[First Name]]," ",Table1[[#This Row],[Last Name]]))</f>
        <v>Mrs Beatrice Joseph</v>
      </c>
      <c r="H47" t="str">
        <f>SUBSTITUTE(Table1[[#This Row],[Street]],"Road"," Road")</f>
        <v>Hanford Cls</v>
      </c>
      <c r="I47" t="str">
        <f>SUBSTITUTE(Table1[[#This Row],[Separate combined words ]],"?","")</f>
        <v>Hanford Cls</v>
      </c>
      <c r="J47" t="str">
        <f>TRIM(Table1[[#This Row],[Remove Question Mark "?"]])</f>
        <v>Hanford Cls</v>
      </c>
      <c r="K47" t="str">
        <f>PROPER(Table1[[#This Row],[Leading, Multiple &amp; Trailing spaces]])</f>
        <v>Hanford Cls</v>
      </c>
      <c r="L47" t="str">
        <f t="shared" si="0"/>
        <v>Hanford Cls</v>
      </c>
      <c r="M47" t="s">
        <v>3414</v>
      </c>
    </row>
    <row r="48" spans="1:13" x14ac:dyDescent="0.3">
      <c r="A48">
        <v>45</v>
      </c>
      <c r="B48" t="s">
        <v>168</v>
      </c>
      <c r="C48" t="s">
        <v>169</v>
      </c>
      <c r="D48" t="s">
        <v>18</v>
      </c>
      <c r="E48" t="s">
        <v>170</v>
      </c>
      <c r="F48" t="s">
        <v>171</v>
      </c>
      <c r="G48" t="str">
        <f xml:space="preserve"> PROPER(_xlfn.CONCAT(Table1[[#This Row],[Title]]," ",Table1[[#This Row],[First Name]]," ",Table1[[#This Row],[Last Name]]))</f>
        <v>Miss Julio Barron</v>
      </c>
      <c r="H48" t="str">
        <f>SUBSTITUTE(Table1[[#This Row],[Street]],"Road"," Road")</f>
        <v>Haydon Way</v>
      </c>
      <c r="I48" t="str">
        <f>SUBSTITUTE(Table1[[#This Row],[Separate combined words ]],"?","")</f>
        <v>Haydon Way</v>
      </c>
      <c r="J48" t="str">
        <f>TRIM(Table1[[#This Row],[Remove Question Mark "?"]])</f>
        <v>Haydon Way</v>
      </c>
      <c r="K48" t="str">
        <f>PROPER(Table1[[#This Row],[Leading, Multiple &amp; Trailing spaces]])</f>
        <v>Haydon Way</v>
      </c>
      <c r="L48" t="str">
        <f t="shared" si="0"/>
        <v>Haydon Way</v>
      </c>
      <c r="M48" t="s">
        <v>170</v>
      </c>
    </row>
    <row r="49" spans="1:13" x14ac:dyDescent="0.3">
      <c r="A49">
        <v>46</v>
      </c>
      <c r="B49" t="s">
        <v>172</v>
      </c>
      <c r="C49" t="s">
        <v>173</v>
      </c>
      <c r="D49" t="s">
        <v>7</v>
      </c>
      <c r="E49" t="s">
        <v>174</v>
      </c>
      <c r="F49" t="s">
        <v>175</v>
      </c>
      <c r="G49" t="str">
        <f xml:space="preserve"> PROPER(_xlfn.CONCAT(Table1[[#This Row],[Title]]," ",Table1[[#This Row],[First Name]]," ",Table1[[#This Row],[Last Name]]))</f>
        <v>Mrs Nam Cullen</v>
      </c>
      <c r="H49" t="str">
        <f>SUBSTITUTE(Table1[[#This Row],[Street]],"Road"," Road")</f>
        <v>Paragon Place</v>
      </c>
      <c r="I49" t="str">
        <f>SUBSTITUTE(Table1[[#This Row],[Separate combined words ]],"?","")</f>
        <v>Paragon Place</v>
      </c>
      <c r="J49" t="str">
        <f>TRIM(Table1[[#This Row],[Remove Question Mark "?"]])</f>
        <v>Paragon Place</v>
      </c>
      <c r="K49" t="str">
        <f>PROPER(Table1[[#This Row],[Leading, Multiple &amp; Trailing spaces]])</f>
        <v>Paragon Place</v>
      </c>
      <c r="L49" t="str">
        <f t="shared" si="0"/>
        <v>Paragon Place</v>
      </c>
      <c r="M49" t="s">
        <v>174</v>
      </c>
    </row>
    <row r="50" spans="1:13" x14ac:dyDescent="0.3">
      <c r="A50">
        <v>47</v>
      </c>
      <c r="B50" t="s">
        <v>176</v>
      </c>
      <c r="C50" t="s">
        <v>177</v>
      </c>
      <c r="D50" t="s">
        <v>18</v>
      </c>
      <c r="E50" t="s">
        <v>3380</v>
      </c>
      <c r="F50" t="s">
        <v>178</v>
      </c>
      <c r="G50" t="str">
        <f xml:space="preserve"> PROPER(_xlfn.CONCAT(Table1[[#This Row],[Title]]," ",Table1[[#This Row],[First Name]]," ",Table1[[#This Row],[Last Name]]))</f>
        <v>Miss Berta Grove</v>
      </c>
      <c r="H50" t="str">
        <f>SUBSTITUTE(Table1[[#This Row],[Street]],"Road"," Road")</f>
        <v>Langdon Plc</v>
      </c>
      <c r="I50" t="str">
        <f>SUBSTITUTE(Table1[[#This Row],[Separate combined words ]],"?","")</f>
        <v>Langdon Plc</v>
      </c>
      <c r="J50" t="str">
        <f>TRIM(Table1[[#This Row],[Remove Question Mark "?"]])</f>
        <v>Langdon Plc</v>
      </c>
      <c r="K50" t="str">
        <f>PROPER(Table1[[#This Row],[Leading, Multiple &amp; Trailing spaces]])</f>
        <v>Langdon Plc</v>
      </c>
      <c r="L50" t="str">
        <f t="shared" si="0"/>
        <v>Langdon Plc</v>
      </c>
      <c r="M50" t="s">
        <v>3415</v>
      </c>
    </row>
    <row r="51" spans="1:13" x14ac:dyDescent="0.3">
      <c r="A51">
        <v>48</v>
      </c>
      <c r="B51" t="s">
        <v>179</v>
      </c>
      <c r="C51" t="s">
        <v>180</v>
      </c>
      <c r="D51" t="s">
        <v>18</v>
      </c>
      <c r="E51" t="s">
        <v>181</v>
      </c>
      <c r="F51" t="s">
        <v>182</v>
      </c>
      <c r="G51" t="str">
        <f xml:space="preserve"> PROPER(_xlfn.CONCAT(Table1[[#This Row],[Title]]," ",Table1[[#This Row],[First Name]]," ",Table1[[#This Row],[Last Name]]))</f>
        <v>Miss Kandice Guthrie</v>
      </c>
      <c r="H51" t="str">
        <f>SUBSTITUTE(Table1[[#This Row],[Street]],"Road"," Road")</f>
        <v>Power  Road</v>
      </c>
      <c r="I51" t="str">
        <f>SUBSTITUTE(Table1[[#This Row],[Separate combined words ]],"?","")</f>
        <v>Power  Road</v>
      </c>
      <c r="J51" t="str">
        <f>TRIM(Table1[[#This Row],[Remove Question Mark "?"]])</f>
        <v>Power Road</v>
      </c>
      <c r="K51" t="str">
        <f>PROPER(Table1[[#This Row],[Leading, Multiple &amp; Trailing spaces]])</f>
        <v>Power Road</v>
      </c>
      <c r="L51" t="str">
        <f t="shared" si="0"/>
        <v>Power Road</v>
      </c>
      <c r="M51" t="s">
        <v>181</v>
      </c>
    </row>
    <row r="52" spans="1:13" x14ac:dyDescent="0.3">
      <c r="A52">
        <v>49</v>
      </c>
      <c r="B52" t="s">
        <v>183</v>
      </c>
      <c r="C52" t="s">
        <v>184</v>
      </c>
      <c r="D52" t="s">
        <v>7</v>
      </c>
      <c r="E52" t="s">
        <v>185</v>
      </c>
      <c r="F52" t="s">
        <v>186</v>
      </c>
      <c r="G52" t="str">
        <f xml:space="preserve"> PROPER(_xlfn.CONCAT(Table1[[#This Row],[Title]]," ",Table1[[#This Row],[First Name]]," ",Table1[[#This Row],[Last Name]]))</f>
        <v>Mrs Genesis Greene</v>
      </c>
      <c r="H52" t="str">
        <f>SUBSTITUTE(Table1[[#This Row],[Street]],"Road"," Road")</f>
        <v>Paultons Square</v>
      </c>
      <c r="I52" t="str">
        <f>SUBSTITUTE(Table1[[#This Row],[Separate combined words ]],"?","")</f>
        <v>Paultons Square</v>
      </c>
      <c r="J52" t="str">
        <f>TRIM(Table1[[#This Row],[Remove Question Mark "?"]])</f>
        <v>Paultons Square</v>
      </c>
      <c r="K52" t="str">
        <f>PROPER(Table1[[#This Row],[Leading, Multiple &amp; Trailing spaces]])</f>
        <v>Paultons Square</v>
      </c>
      <c r="L52" t="str">
        <f t="shared" si="0"/>
        <v>Paultons Square</v>
      </c>
      <c r="M52" t="s">
        <v>185</v>
      </c>
    </row>
    <row r="53" spans="1:13" x14ac:dyDescent="0.3">
      <c r="A53">
        <v>50</v>
      </c>
      <c r="B53" t="s">
        <v>187</v>
      </c>
      <c r="C53" t="s">
        <v>188</v>
      </c>
      <c r="D53" t="s">
        <v>18</v>
      </c>
      <c r="E53" t="s">
        <v>189</v>
      </c>
      <c r="F53" t="s">
        <v>85</v>
      </c>
      <c r="G53" t="str">
        <f xml:space="preserve"> PROPER(_xlfn.CONCAT(Table1[[#This Row],[Title]]," ",Table1[[#This Row],[First Name]]," ",Table1[[#This Row],[Last Name]]))</f>
        <v>Miss Chung Parson</v>
      </c>
      <c r="H53" t="str">
        <f>SUBSTITUTE(Table1[[#This Row],[Street]],"Road"," Road")</f>
        <v>Trenchard Street</v>
      </c>
      <c r="I53" t="str">
        <f>SUBSTITUTE(Table1[[#This Row],[Separate combined words ]],"?","")</f>
        <v>Trenchard Street</v>
      </c>
      <c r="J53" t="str">
        <f>TRIM(Table1[[#This Row],[Remove Question Mark "?"]])</f>
        <v>Trenchard Street</v>
      </c>
      <c r="K53" t="str">
        <f>PROPER(Table1[[#This Row],[Leading, Multiple &amp; Trailing spaces]])</f>
        <v>Trenchard Street</v>
      </c>
      <c r="L53" t="str">
        <f t="shared" si="0"/>
        <v>Trenchard Street</v>
      </c>
      <c r="M53" t="s">
        <v>189</v>
      </c>
    </row>
    <row r="54" spans="1:13" x14ac:dyDescent="0.3">
      <c r="A54">
        <v>51</v>
      </c>
      <c r="B54" t="s">
        <v>190</v>
      </c>
      <c r="C54" t="s">
        <v>191</v>
      </c>
      <c r="D54" t="s">
        <v>7</v>
      </c>
      <c r="E54" t="s">
        <v>3381</v>
      </c>
      <c r="F54" t="s">
        <v>192</v>
      </c>
      <c r="G54" t="str">
        <f xml:space="preserve"> PROPER(_xlfn.CONCAT(Table1[[#This Row],[Title]]," ",Table1[[#This Row],[First Name]]," ",Table1[[#This Row],[Last Name]]))</f>
        <v>Mrs Josefina Hancock</v>
      </c>
      <c r="H54" t="str">
        <f>SUBSTITUTE(Table1[[#This Row],[Street]],"Road"," Road")</f>
        <v>College Rd</v>
      </c>
      <c r="I54" t="str">
        <f>SUBSTITUTE(Table1[[#This Row],[Separate combined words ]],"?","")</f>
        <v>College Rd</v>
      </c>
      <c r="J54" t="str">
        <f>TRIM(Table1[[#This Row],[Remove Question Mark "?"]])</f>
        <v>College Rd</v>
      </c>
      <c r="K54" t="str">
        <f>PROPER(Table1[[#This Row],[Leading, Multiple &amp; Trailing spaces]])</f>
        <v>College Rd</v>
      </c>
      <c r="L54" t="str">
        <f t="shared" si="0"/>
        <v>College Rd</v>
      </c>
      <c r="M54" t="s">
        <v>3416</v>
      </c>
    </row>
    <row r="55" spans="1:13" x14ac:dyDescent="0.3">
      <c r="A55">
        <v>52</v>
      </c>
      <c r="B55" t="s">
        <v>193</v>
      </c>
      <c r="C55" t="s">
        <v>191</v>
      </c>
      <c r="D55" t="s">
        <v>7</v>
      </c>
      <c r="E55" t="s">
        <v>194</v>
      </c>
      <c r="F55" t="s">
        <v>195</v>
      </c>
      <c r="G55" t="str">
        <f xml:space="preserve"> PROPER(_xlfn.CONCAT(Table1[[#This Row],[Title]]," ",Table1[[#This Row],[First Name]]," ",Table1[[#This Row],[Last Name]]))</f>
        <v>Mrs Pearly Hancock</v>
      </c>
      <c r="H55" t="str">
        <f>SUBSTITUTE(Table1[[#This Row],[Street]],"Road"," Road")</f>
        <v>Bridson Street</v>
      </c>
      <c r="I55" t="str">
        <f>SUBSTITUTE(Table1[[#This Row],[Separate combined words ]],"?","")</f>
        <v>Bridson Street</v>
      </c>
      <c r="J55" t="str">
        <f>TRIM(Table1[[#This Row],[Remove Question Mark "?"]])</f>
        <v>Bridson Street</v>
      </c>
      <c r="K55" t="str">
        <f>PROPER(Table1[[#This Row],[Leading, Multiple &amp; Trailing spaces]])</f>
        <v>Bridson Street</v>
      </c>
      <c r="L55" t="str">
        <f t="shared" si="0"/>
        <v>Bridson Street</v>
      </c>
      <c r="M55" t="s">
        <v>194</v>
      </c>
    </row>
    <row r="56" spans="1:13" x14ac:dyDescent="0.3">
      <c r="A56">
        <v>53</v>
      </c>
      <c r="B56" t="s">
        <v>196</v>
      </c>
      <c r="C56" t="s">
        <v>197</v>
      </c>
      <c r="D56" t="s">
        <v>18</v>
      </c>
      <c r="E56" t="s">
        <v>198</v>
      </c>
      <c r="F56" t="s">
        <v>199</v>
      </c>
      <c r="G56" t="str">
        <f xml:space="preserve"> PROPER(_xlfn.CONCAT(Table1[[#This Row],[Title]]," ",Table1[[#This Row],[First Name]]," ",Table1[[#This Row],[Last Name]]))</f>
        <v>Miss Earline Hart</v>
      </c>
      <c r="H56" t="str">
        <f>SUBSTITUTE(Table1[[#This Row],[Street]],"Road"," Road")</f>
        <v>Bowl Court</v>
      </c>
      <c r="I56" t="str">
        <f>SUBSTITUTE(Table1[[#This Row],[Separate combined words ]],"?","")</f>
        <v>Bowl Court</v>
      </c>
      <c r="J56" t="str">
        <f>TRIM(Table1[[#This Row],[Remove Question Mark "?"]])</f>
        <v>Bowl Court</v>
      </c>
      <c r="K56" t="str">
        <f>PROPER(Table1[[#This Row],[Leading, Multiple &amp; Trailing spaces]])</f>
        <v>Bowl Court</v>
      </c>
      <c r="L56" t="str">
        <f t="shared" si="0"/>
        <v>Bowl Court</v>
      </c>
      <c r="M56" t="s">
        <v>198</v>
      </c>
    </row>
    <row r="57" spans="1:13" x14ac:dyDescent="0.3">
      <c r="A57">
        <v>54</v>
      </c>
      <c r="B57" t="s">
        <v>200</v>
      </c>
      <c r="C57" t="s">
        <v>201</v>
      </c>
      <c r="D57" t="s">
        <v>18</v>
      </c>
      <c r="E57" t="s">
        <v>202</v>
      </c>
      <c r="F57" t="s">
        <v>203</v>
      </c>
      <c r="G57" t="str">
        <f xml:space="preserve"> PROPER(_xlfn.CONCAT(Table1[[#This Row],[Title]]," ",Table1[[#This Row],[First Name]]," ",Table1[[#This Row],[Last Name]]))</f>
        <v>Miss Fredricka Sadler</v>
      </c>
      <c r="H57" t="str">
        <f>SUBSTITUTE(Table1[[#This Row],[Street]],"Road"," Road")</f>
        <v>Lyons Inn</v>
      </c>
      <c r="I57" t="str">
        <f>SUBSTITUTE(Table1[[#This Row],[Separate combined words ]],"?","")</f>
        <v>Lyons Inn</v>
      </c>
      <c r="J57" t="str">
        <f>TRIM(Table1[[#This Row],[Remove Question Mark "?"]])</f>
        <v>Lyons Inn</v>
      </c>
      <c r="K57" t="str">
        <f>PROPER(Table1[[#This Row],[Leading, Multiple &amp; Trailing spaces]])</f>
        <v>Lyons Inn</v>
      </c>
      <c r="L57" t="str">
        <f t="shared" si="0"/>
        <v>Lyons Inn</v>
      </c>
      <c r="M57" t="s">
        <v>202</v>
      </c>
    </row>
    <row r="58" spans="1:13" x14ac:dyDescent="0.3">
      <c r="A58">
        <v>55</v>
      </c>
      <c r="B58" t="s">
        <v>204</v>
      </c>
      <c r="C58" t="s">
        <v>205</v>
      </c>
      <c r="D58" t="s">
        <v>18</v>
      </c>
      <c r="E58" t="s">
        <v>3382</v>
      </c>
      <c r="F58" t="s">
        <v>85</v>
      </c>
      <c r="G58" t="str">
        <f xml:space="preserve"> PROPER(_xlfn.CONCAT(Table1[[#This Row],[Title]]," ",Table1[[#This Row],[First Name]]," ",Table1[[#This Row],[Last Name]]))</f>
        <v>Miss Dia Finch</v>
      </c>
      <c r="H58" t="str">
        <f>SUBSTITUTE(Table1[[#This Row],[Street]],"Road"," Road")</f>
        <v>Bells Bldgs</v>
      </c>
      <c r="I58" t="str">
        <f>SUBSTITUTE(Table1[[#This Row],[Separate combined words ]],"?","")</f>
        <v>Bells Bldgs</v>
      </c>
      <c r="J58" t="str">
        <f>TRIM(Table1[[#This Row],[Remove Question Mark "?"]])</f>
        <v>Bells Bldgs</v>
      </c>
      <c r="K58" t="str">
        <f>PROPER(Table1[[#This Row],[Leading, Multiple &amp; Trailing spaces]])</f>
        <v>Bells Bldgs</v>
      </c>
      <c r="L58" t="str">
        <f t="shared" si="0"/>
        <v>Bells Bldgs</v>
      </c>
      <c r="M58" t="s">
        <v>3382</v>
      </c>
    </row>
    <row r="59" spans="1:13" x14ac:dyDescent="0.3">
      <c r="A59">
        <v>56</v>
      </c>
      <c r="B59" t="s">
        <v>206</v>
      </c>
      <c r="C59" t="s">
        <v>207</v>
      </c>
      <c r="D59" t="s">
        <v>7</v>
      </c>
      <c r="E59" t="s">
        <v>208</v>
      </c>
      <c r="F59" t="s">
        <v>209</v>
      </c>
      <c r="G59" t="str">
        <f xml:space="preserve"> PROPER(_xlfn.CONCAT(Table1[[#This Row],[Title]]," ",Table1[[#This Row],[First Name]]," ",Table1[[#This Row],[Last Name]]))</f>
        <v>Mrs Gilda Flores</v>
      </c>
      <c r="H59" t="str">
        <f>SUBSTITUTE(Table1[[#This Row],[Street]],"Road"," Road")</f>
        <v>Sotheron  Road</v>
      </c>
      <c r="I59" t="str">
        <f>SUBSTITUTE(Table1[[#This Row],[Separate combined words ]],"?","")</f>
        <v>Sotheron  Road</v>
      </c>
      <c r="J59" t="str">
        <f>TRIM(Table1[[#This Row],[Remove Question Mark "?"]])</f>
        <v>Sotheron Road</v>
      </c>
      <c r="K59" t="str">
        <f>PROPER(Table1[[#This Row],[Leading, Multiple &amp; Trailing spaces]])</f>
        <v>Sotheron Road</v>
      </c>
      <c r="L59" t="str">
        <f t="shared" si="0"/>
        <v>Sotheron Road</v>
      </c>
      <c r="M59" t="s">
        <v>208</v>
      </c>
    </row>
    <row r="60" spans="1:13" x14ac:dyDescent="0.3">
      <c r="A60">
        <v>57</v>
      </c>
      <c r="B60" t="s">
        <v>210</v>
      </c>
      <c r="C60" t="s">
        <v>211</v>
      </c>
      <c r="D60" t="s">
        <v>7</v>
      </c>
      <c r="E60" t="s">
        <v>212</v>
      </c>
      <c r="F60" t="s">
        <v>213</v>
      </c>
      <c r="G60" t="str">
        <f xml:space="preserve"> PROPER(_xlfn.CONCAT(Table1[[#This Row],[Title]]," ",Table1[[#This Row],[First Name]]," ",Table1[[#This Row],[Last Name]]))</f>
        <v>Mrs Dannie Darby</v>
      </c>
      <c r="H60" t="str">
        <f>SUBSTITUTE(Table1[[#This Row],[Street]],"Road"," Road")</f>
        <v>Old Dover</v>
      </c>
      <c r="I60" t="str">
        <f>SUBSTITUTE(Table1[[#This Row],[Separate combined words ]],"?","")</f>
        <v>Old Dover</v>
      </c>
      <c r="J60" t="str">
        <f>TRIM(Table1[[#This Row],[Remove Question Mark "?"]])</f>
        <v>Old Dover</v>
      </c>
      <c r="K60" t="str">
        <f>PROPER(Table1[[#This Row],[Leading, Multiple &amp; Trailing spaces]])</f>
        <v>Old Dover</v>
      </c>
      <c r="L60" t="str">
        <f t="shared" si="0"/>
        <v>Old Dover</v>
      </c>
      <c r="M60" t="s">
        <v>212</v>
      </c>
    </row>
    <row r="61" spans="1:13" x14ac:dyDescent="0.3">
      <c r="A61">
        <v>58</v>
      </c>
      <c r="B61" t="s">
        <v>214</v>
      </c>
      <c r="C61" t="s">
        <v>188</v>
      </c>
      <c r="D61" t="s">
        <v>18</v>
      </c>
      <c r="E61" t="s">
        <v>215</v>
      </c>
      <c r="F61" t="s">
        <v>216</v>
      </c>
      <c r="G61" t="str">
        <f xml:space="preserve"> PROPER(_xlfn.CONCAT(Table1[[#This Row],[Title]]," ",Table1[[#This Row],[First Name]]," ",Table1[[#This Row],[Last Name]]))</f>
        <v>Miss Philomena Parson</v>
      </c>
      <c r="H61" t="str">
        <f>SUBSTITUTE(Table1[[#This Row],[Street]],"Road"," Road")</f>
        <v>Beech Street</v>
      </c>
      <c r="I61" t="str">
        <f>SUBSTITUTE(Table1[[#This Row],[Separate combined words ]],"?","")</f>
        <v>Beech Street</v>
      </c>
      <c r="J61" t="str">
        <f>TRIM(Table1[[#This Row],[Remove Question Mark "?"]])</f>
        <v>Beech Street</v>
      </c>
      <c r="K61" t="str">
        <f>PROPER(Table1[[#This Row],[Leading, Multiple &amp; Trailing spaces]])</f>
        <v>Beech Street</v>
      </c>
      <c r="L61" t="str">
        <f t="shared" si="0"/>
        <v>Beech Street</v>
      </c>
      <c r="M61" t="s">
        <v>215</v>
      </c>
    </row>
    <row r="62" spans="1:13" x14ac:dyDescent="0.3">
      <c r="A62">
        <v>59</v>
      </c>
      <c r="B62" t="s">
        <v>217</v>
      </c>
      <c r="C62" t="s">
        <v>218</v>
      </c>
      <c r="D62" t="s">
        <v>7</v>
      </c>
      <c r="E62" t="s">
        <v>3383</v>
      </c>
      <c r="F62" t="s">
        <v>219</v>
      </c>
      <c r="G62" t="str">
        <f xml:space="preserve"> PROPER(_xlfn.CONCAT(Table1[[#This Row],[Title]]," ",Table1[[#This Row],[First Name]]," ",Table1[[#This Row],[Last Name]]))</f>
        <v>Mrs Lea Perkins</v>
      </c>
      <c r="H62" t="str">
        <f>SUBSTITUTE(Table1[[#This Row],[Street]],"Road"," Road")</f>
        <v>Petherton road</v>
      </c>
      <c r="I62" t="str">
        <f>SUBSTITUTE(Table1[[#This Row],[Separate combined words ]],"?","")</f>
        <v>Petherton road</v>
      </c>
      <c r="J62" t="str">
        <f>TRIM(Table1[[#This Row],[Remove Question Mark "?"]])</f>
        <v>Petherton road</v>
      </c>
      <c r="K62" t="str">
        <f>PROPER(Table1[[#This Row],[Leading, Multiple &amp; Trailing spaces]])</f>
        <v>Petherton Road</v>
      </c>
      <c r="L62" t="str">
        <f t="shared" si="0"/>
        <v>Petherton Road</v>
      </c>
      <c r="M62" t="s">
        <v>3417</v>
      </c>
    </row>
    <row r="63" spans="1:13" x14ac:dyDescent="0.3">
      <c r="A63">
        <v>60</v>
      </c>
      <c r="B63" t="s">
        <v>82</v>
      </c>
      <c r="C63" t="s">
        <v>220</v>
      </c>
      <c r="D63" t="s">
        <v>18</v>
      </c>
      <c r="E63" t="s">
        <v>221</v>
      </c>
      <c r="F63" t="s">
        <v>222</v>
      </c>
      <c r="G63" t="str">
        <f xml:space="preserve"> PROPER(_xlfn.CONCAT(Table1[[#This Row],[Title]]," ",Table1[[#This Row],[First Name]]," ",Table1[[#This Row],[Last Name]]))</f>
        <v>Miss Jaye Shipman</v>
      </c>
      <c r="H63" t="str">
        <f>SUBSTITUTE(Table1[[#This Row],[Street]],"Road"," Road")</f>
        <v>Quill Cottages</v>
      </c>
      <c r="I63" t="str">
        <f>SUBSTITUTE(Table1[[#This Row],[Separate combined words ]],"?","")</f>
        <v>Quill Cottages</v>
      </c>
      <c r="J63" t="str">
        <f>TRIM(Table1[[#This Row],[Remove Question Mark "?"]])</f>
        <v>Quill Cottages</v>
      </c>
      <c r="K63" t="str">
        <f>PROPER(Table1[[#This Row],[Leading, Multiple &amp; Trailing spaces]])</f>
        <v>Quill Cottages</v>
      </c>
      <c r="L63" t="str">
        <f t="shared" si="0"/>
        <v>Quill Cottages</v>
      </c>
      <c r="M63" t="s">
        <v>221</v>
      </c>
    </row>
    <row r="64" spans="1:13" x14ac:dyDescent="0.3">
      <c r="A64">
        <v>61</v>
      </c>
      <c r="B64" t="s">
        <v>223</v>
      </c>
      <c r="C64" t="s">
        <v>224</v>
      </c>
      <c r="D64" t="s">
        <v>18</v>
      </c>
      <c r="E64" t="s">
        <v>225</v>
      </c>
      <c r="F64" t="s">
        <v>226</v>
      </c>
      <c r="G64" t="str">
        <f xml:space="preserve"> PROPER(_xlfn.CONCAT(Table1[[#This Row],[Title]]," ",Table1[[#This Row],[First Name]]," ",Table1[[#This Row],[Last Name]]))</f>
        <v>Miss Tifany Crockett</v>
      </c>
      <c r="H64" t="str">
        <f>SUBSTITUTE(Table1[[#This Row],[Street]],"Road"," Road")</f>
        <v>Webb Place</v>
      </c>
      <c r="I64" t="str">
        <f>SUBSTITUTE(Table1[[#This Row],[Separate combined words ]],"?","")</f>
        <v>Webb Place</v>
      </c>
      <c r="J64" t="str">
        <f>TRIM(Table1[[#This Row],[Remove Question Mark "?"]])</f>
        <v>Webb Place</v>
      </c>
      <c r="K64" t="str">
        <f>PROPER(Table1[[#This Row],[Leading, Multiple &amp; Trailing spaces]])</f>
        <v>Webb Place</v>
      </c>
      <c r="L64" t="str">
        <f t="shared" si="0"/>
        <v>Webb Place</v>
      </c>
      <c r="M64" t="s">
        <v>225</v>
      </c>
    </row>
    <row r="65" spans="1:13" x14ac:dyDescent="0.3">
      <c r="A65">
        <v>62</v>
      </c>
      <c r="B65" t="s">
        <v>227</v>
      </c>
      <c r="C65" t="s">
        <v>228</v>
      </c>
      <c r="D65" t="s">
        <v>18</v>
      </c>
      <c r="E65" t="s">
        <v>229</v>
      </c>
      <c r="F65" t="s">
        <v>230</v>
      </c>
      <c r="G65" t="str">
        <f xml:space="preserve"> PROPER(_xlfn.CONCAT(Table1[[#This Row],[Title]]," ",Table1[[#This Row],[First Name]]," ",Table1[[#This Row],[Last Name]]))</f>
        <v>Miss Chantel England</v>
      </c>
      <c r="H65" t="str">
        <f>SUBSTITUTE(Table1[[#This Row],[Street]],"Road"," Road")</f>
        <v>Consort  Road</v>
      </c>
      <c r="I65" t="str">
        <f>SUBSTITUTE(Table1[[#This Row],[Separate combined words ]],"?","")</f>
        <v>Consort  Road</v>
      </c>
      <c r="J65" t="str">
        <f>TRIM(Table1[[#This Row],[Remove Question Mark "?"]])</f>
        <v>Consort Road</v>
      </c>
      <c r="K65" t="str">
        <f>PROPER(Table1[[#This Row],[Leading, Multiple &amp; Trailing spaces]])</f>
        <v>Consort Road</v>
      </c>
      <c r="L65" t="str">
        <f t="shared" si="0"/>
        <v>Consort Road</v>
      </c>
      <c r="M65" t="s">
        <v>229</v>
      </c>
    </row>
    <row r="66" spans="1:13" x14ac:dyDescent="0.3">
      <c r="A66">
        <v>63</v>
      </c>
      <c r="B66" t="s">
        <v>231</v>
      </c>
      <c r="C66" t="s">
        <v>232</v>
      </c>
      <c r="D66" t="s">
        <v>18</v>
      </c>
      <c r="E66" t="s">
        <v>233</v>
      </c>
      <c r="F66" t="s">
        <v>234</v>
      </c>
      <c r="G66" t="str">
        <f xml:space="preserve"> PROPER(_xlfn.CONCAT(Table1[[#This Row],[Title]]," ",Table1[[#This Row],[First Name]]," ",Table1[[#This Row],[Last Name]]))</f>
        <v>Miss Yvonne Byrd</v>
      </c>
      <c r="H66" t="str">
        <f>SUBSTITUTE(Table1[[#This Row],[Street]],"Road"," Road")</f>
        <v>Annie Besant</v>
      </c>
      <c r="I66" t="str">
        <f>SUBSTITUTE(Table1[[#This Row],[Separate combined words ]],"?","")</f>
        <v>Annie Besant</v>
      </c>
      <c r="J66" t="str">
        <f>TRIM(Table1[[#This Row],[Remove Question Mark "?"]])</f>
        <v>Annie Besant</v>
      </c>
      <c r="K66" t="str">
        <f>PROPER(Table1[[#This Row],[Leading, Multiple &amp; Trailing spaces]])</f>
        <v>Annie Besant</v>
      </c>
      <c r="L66" t="str">
        <f t="shared" si="0"/>
        <v>Annie Besant</v>
      </c>
      <c r="M66" t="s">
        <v>233</v>
      </c>
    </row>
    <row r="67" spans="1:13" x14ac:dyDescent="0.3">
      <c r="A67">
        <v>64</v>
      </c>
      <c r="B67" t="s">
        <v>235</v>
      </c>
      <c r="C67" t="s">
        <v>236</v>
      </c>
      <c r="D67" t="s">
        <v>71</v>
      </c>
      <c r="E67" t="s">
        <v>237</v>
      </c>
      <c r="F67" t="s">
        <v>238</v>
      </c>
      <c r="G67" t="str">
        <f xml:space="preserve"> PROPER(_xlfn.CONCAT(Table1[[#This Row],[Title]]," ",Table1[[#This Row],[First Name]]," ",Table1[[#This Row],[Last Name]]))</f>
        <v>Ms Glennie Newsome</v>
      </c>
      <c r="H67" t="str">
        <f>SUBSTITUTE(Table1[[#This Row],[Street]],"Road"," Road")</f>
        <v>Winns Cottage</v>
      </c>
      <c r="I67" t="str">
        <f>SUBSTITUTE(Table1[[#This Row],[Separate combined words ]],"?","")</f>
        <v>Winns Cottage</v>
      </c>
      <c r="J67" t="str">
        <f>TRIM(Table1[[#This Row],[Remove Question Mark "?"]])</f>
        <v>Winns Cottage</v>
      </c>
      <c r="K67" t="str">
        <f>PROPER(Table1[[#This Row],[Leading, Multiple &amp; Trailing spaces]])</f>
        <v>Winns Cottage</v>
      </c>
      <c r="L67" t="str">
        <f t="shared" si="0"/>
        <v>Winns Cottage</v>
      </c>
      <c r="M67" t="s">
        <v>237</v>
      </c>
    </row>
    <row r="68" spans="1:13" x14ac:dyDescent="0.3">
      <c r="A68">
        <v>65</v>
      </c>
      <c r="B68" t="s">
        <v>239</v>
      </c>
      <c r="C68" t="s">
        <v>240</v>
      </c>
      <c r="D68" t="s">
        <v>7</v>
      </c>
      <c r="E68" t="s">
        <v>3384</v>
      </c>
      <c r="F68" t="s">
        <v>241</v>
      </c>
      <c r="G68" t="str">
        <f xml:space="preserve"> PROPER(_xlfn.CONCAT(Table1[[#This Row],[Title]]," ",Table1[[#This Row],[First Name]]," ",Table1[[#This Row],[Last Name]]))</f>
        <v>Mrs Laverna Case</v>
      </c>
      <c r="H68" t="str">
        <f>SUBSTITUTE(Table1[[#This Row],[Street]],"Road"," Road")</f>
        <v>maxfield Close</v>
      </c>
      <c r="I68" t="str">
        <f>SUBSTITUTE(Table1[[#This Row],[Separate combined words ]],"?","")</f>
        <v>maxfield Close</v>
      </c>
      <c r="J68" t="str">
        <f>TRIM(Table1[[#This Row],[Remove Question Mark "?"]])</f>
        <v>maxfield Close</v>
      </c>
      <c r="K68" t="str">
        <f>PROPER(Table1[[#This Row],[Leading, Multiple &amp; Trailing spaces]])</f>
        <v>Maxfield Close</v>
      </c>
      <c r="L68" t="str">
        <f t="shared" si="0"/>
        <v>Maxfield Close</v>
      </c>
      <c r="M68" t="s">
        <v>3418</v>
      </c>
    </row>
    <row r="69" spans="1:13" x14ac:dyDescent="0.3">
      <c r="A69">
        <v>66</v>
      </c>
      <c r="B69" t="s">
        <v>242</v>
      </c>
      <c r="C69" t="s">
        <v>243</v>
      </c>
      <c r="D69" t="s">
        <v>7</v>
      </c>
      <c r="E69" t="s">
        <v>3385</v>
      </c>
      <c r="F69" t="s">
        <v>244</v>
      </c>
      <c r="G69" t="str">
        <f xml:space="preserve"> PROPER(_xlfn.CONCAT(Table1[[#This Row],[Title]]," ",Table1[[#This Row],[First Name]]," ",Table1[[#This Row],[Last Name]]))</f>
        <v>Mrs Serita Quintero</v>
      </c>
      <c r="H69" t="str">
        <f>SUBSTITUTE(Table1[[#This Row],[Street]],"Road"," Road")</f>
        <v>SHAP St</v>
      </c>
      <c r="I69" t="str">
        <f>SUBSTITUTE(Table1[[#This Row],[Separate combined words ]],"?","")</f>
        <v>SHAP St</v>
      </c>
      <c r="J69" t="str">
        <f>TRIM(Table1[[#This Row],[Remove Question Mark "?"]])</f>
        <v>SHAP St</v>
      </c>
      <c r="K69" t="str">
        <f>PROPER(Table1[[#This Row],[Leading, Multiple &amp; Trailing spaces]])</f>
        <v>Shap St</v>
      </c>
      <c r="L69" t="str">
        <f t="shared" ref="L69:L132" si="1">TRIM(PROPER(SUBSTITUTE(SUBSTITUTE((E69),"?",""),"Road"," Road")))</f>
        <v>Shap St</v>
      </c>
      <c r="M69" t="s">
        <v>3419</v>
      </c>
    </row>
    <row r="70" spans="1:13" x14ac:dyDescent="0.3">
      <c r="A70">
        <v>67</v>
      </c>
      <c r="B70" t="s">
        <v>245</v>
      </c>
      <c r="C70" t="s">
        <v>246</v>
      </c>
      <c r="D70" t="s">
        <v>7</v>
      </c>
      <c r="E70" t="s">
        <v>247</v>
      </c>
      <c r="F70" t="s">
        <v>248</v>
      </c>
      <c r="G70" t="str">
        <f xml:space="preserve"> PROPER(_xlfn.CONCAT(Table1[[#This Row],[Title]]," ",Table1[[#This Row],[First Name]]," ",Table1[[#This Row],[Last Name]]))</f>
        <v>Mrs Zina Sexton</v>
      </c>
      <c r="H70" t="str">
        <f>SUBSTITUTE(Table1[[#This Row],[Street]],"Road"," Road")</f>
        <v>Saunders Way</v>
      </c>
      <c r="I70" t="str">
        <f>SUBSTITUTE(Table1[[#This Row],[Separate combined words ]],"?","")</f>
        <v>Saunders Way</v>
      </c>
      <c r="J70" t="str">
        <f>TRIM(Table1[[#This Row],[Remove Question Mark "?"]])</f>
        <v>Saunders Way</v>
      </c>
      <c r="K70" t="str">
        <f>PROPER(Table1[[#This Row],[Leading, Multiple &amp; Trailing spaces]])</f>
        <v>Saunders Way</v>
      </c>
      <c r="L70" t="str">
        <f t="shared" si="1"/>
        <v>Saunders Way</v>
      </c>
      <c r="M70" t="s">
        <v>247</v>
      </c>
    </row>
    <row r="71" spans="1:13" x14ac:dyDescent="0.3">
      <c r="A71">
        <v>68</v>
      </c>
      <c r="B71" t="s">
        <v>249</v>
      </c>
      <c r="C71" t="s">
        <v>250</v>
      </c>
      <c r="D71" t="s">
        <v>18</v>
      </c>
      <c r="E71" t="s">
        <v>251</v>
      </c>
      <c r="F71" t="s">
        <v>252</v>
      </c>
      <c r="G71" t="str">
        <f xml:space="preserve"> PROPER(_xlfn.CONCAT(Table1[[#This Row],[Title]]," ",Table1[[#This Row],[First Name]]," ",Table1[[#This Row],[Last Name]]))</f>
        <v>Miss Jeanetta Coates</v>
      </c>
      <c r="H71" t="str">
        <f>SUBSTITUTE(Table1[[#This Row],[Street]],"Road"," Road")</f>
        <v>Georges Place</v>
      </c>
      <c r="I71" t="str">
        <f>SUBSTITUTE(Table1[[#This Row],[Separate combined words ]],"?","")</f>
        <v>Georges Place</v>
      </c>
      <c r="J71" t="str">
        <f>TRIM(Table1[[#This Row],[Remove Question Mark "?"]])</f>
        <v>Georges Place</v>
      </c>
      <c r="K71" t="str">
        <f>PROPER(Table1[[#This Row],[Leading, Multiple &amp; Trailing spaces]])</f>
        <v>Georges Place</v>
      </c>
      <c r="L71" t="str">
        <f t="shared" si="1"/>
        <v>Georges Place</v>
      </c>
      <c r="M71" t="s">
        <v>251</v>
      </c>
    </row>
    <row r="72" spans="1:13" x14ac:dyDescent="0.3">
      <c r="A72">
        <v>69</v>
      </c>
      <c r="B72" t="s">
        <v>253</v>
      </c>
      <c r="C72" t="s">
        <v>112</v>
      </c>
      <c r="D72" t="s">
        <v>7</v>
      </c>
      <c r="E72" t="s">
        <v>254</v>
      </c>
      <c r="F72" t="s">
        <v>255</v>
      </c>
      <c r="G72" t="str">
        <f xml:space="preserve"> PROPER(_xlfn.CONCAT(Table1[[#This Row],[Title]]," ",Table1[[#This Row],[First Name]]," ",Table1[[#This Row],[Last Name]]))</f>
        <v>Mrs Jerica Pryor</v>
      </c>
      <c r="H72" t="str">
        <f>SUBSTITUTE(Table1[[#This Row],[Street]],"Road"," Road")</f>
        <v>Stonard  Road</v>
      </c>
      <c r="I72" t="str">
        <f>SUBSTITUTE(Table1[[#This Row],[Separate combined words ]],"?","")</f>
        <v>Stonard  Road</v>
      </c>
      <c r="J72" t="str">
        <f>TRIM(Table1[[#This Row],[Remove Question Mark "?"]])</f>
        <v>Stonard Road</v>
      </c>
      <c r="K72" t="str">
        <f>PROPER(Table1[[#This Row],[Leading, Multiple &amp; Trailing spaces]])</f>
        <v>Stonard Road</v>
      </c>
      <c r="L72" t="str">
        <f t="shared" si="1"/>
        <v>Stonard Road</v>
      </c>
      <c r="M72" t="s">
        <v>254</v>
      </c>
    </row>
    <row r="73" spans="1:13" x14ac:dyDescent="0.3">
      <c r="A73">
        <v>70</v>
      </c>
      <c r="B73" t="s">
        <v>256</v>
      </c>
      <c r="C73" t="s">
        <v>257</v>
      </c>
      <c r="D73" t="s">
        <v>7</v>
      </c>
      <c r="E73" t="s">
        <v>258</v>
      </c>
      <c r="F73" t="s">
        <v>259</v>
      </c>
      <c r="G73" t="str">
        <f xml:space="preserve"> PROPER(_xlfn.CONCAT(Table1[[#This Row],[Title]]," ",Table1[[#This Row],[First Name]]," ",Table1[[#This Row],[Last Name]]))</f>
        <v>Mrs Lavonna Bonner</v>
      </c>
      <c r="H73" t="str">
        <f>SUBSTITUTE(Table1[[#This Row],[Street]],"Road"," Road")</f>
        <v>Austin Friars</v>
      </c>
      <c r="I73" t="str">
        <f>SUBSTITUTE(Table1[[#This Row],[Separate combined words ]],"?","")</f>
        <v>Austin Friars</v>
      </c>
      <c r="J73" t="str">
        <f>TRIM(Table1[[#This Row],[Remove Question Mark "?"]])</f>
        <v>Austin Friars</v>
      </c>
      <c r="K73" t="str">
        <f>PROPER(Table1[[#This Row],[Leading, Multiple &amp; Trailing spaces]])</f>
        <v>Austin Friars</v>
      </c>
      <c r="L73" t="str">
        <f t="shared" si="1"/>
        <v>Austin Friars</v>
      </c>
      <c r="M73" t="s">
        <v>258</v>
      </c>
    </row>
    <row r="74" spans="1:13" x14ac:dyDescent="0.3">
      <c r="A74">
        <v>71</v>
      </c>
      <c r="B74" t="s">
        <v>260</v>
      </c>
      <c r="C74" t="s">
        <v>261</v>
      </c>
      <c r="D74" t="s">
        <v>7</v>
      </c>
      <c r="E74" t="s">
        <v>262</v>
      </c>
      <c r="F74" t="s">
        <v>263</v>
      </c>
      <c r="G74" t="str">
        <f xml:space="preserve"> PROPER(_xlfn.CONCAT(Table1[[#This Row],[Title]]," ",Table1[[#This Row],[First Name]]," ",Table1[[#This Row],[Last Name]]))</f>
        <v>Mrs Demetra Payton</v>
      </c>
      <c r="H74" t="str">
        <f>SUBSTITUTE(Table1[[#This Row],[Street]],"Road"," Road")</f>
        <v>Bellot Gardens</v>
      </c>
      <c r="I74" t="str">
        <f>SUBSTITUTE(Table1[[#This Row],[Separate combined words ]],"?","")</f>
        <v>Bellot Gardens</v>
      </c>
      <c r="J74" t="str">
        <f>TRIM(Table1[[#This Row],[Remove Question Mark "?"]])</f>
        <v>Bellot Gardens</v>
      </c>
      <c r="K74" t="str">
        <f>PROPER(Table1[[#This Row],[Leading, Multiple &amp; Trailing spaces]])</f>
        <v>Bellot Gardens</v>
      </c>
      <c r="L74" t="str">
        <f t="shared" si="1"/>
        <v>Bellot Gardens</v>
      </c>
      <c r="M74" t="s">
        <v>262</v>
      </c>
    </row>
    <row r="75" spans="1:13" x14ac:dyDescent="0.3">
      <c r="A75">
        <v>72</v>
      </c>
      <c r="B75" t="s">
        <v>264</v>
      </c>
      <c r="C75" t="s">
        <v>265</v>
      </c>
      <c r="D75" t="s">
        <v>18</v>
      </c>
      <c r="E75" t="s">
        <v>3386</v>
      </c>
      <c r="F75" t="s">
        <v>266</v>
      </c>
      <c r="G75" t="str">
        <f xml:space="preserve"> PROPER(_xlfn.CONCAT(Table1[[#This Row],[Title]]," ",Table1[[#This Row],[First Name]]," ",Table1[[#This Row],[Last Name]]))</f>
        <v>Miss Mickey Abel</v>
      </c>
      <c r="H75" t="str">
        <f>SUBSTITUTE(Table1[[#This Row],[Street]],"Road"," Road")</f>
        <v>Vant Rd</v>
      </c>
      <c r="I75" t="str">
        <f>SUBSTITUTE(Table1[[#This Row],[Separate combined words ]],"?","")</f>
        <v>Vant Rd</v>
      </c>
      <c r="J75" t="str">
        <f>TRIM(Table1[[#This Row],[Remove Question Mark "?"]])</f>
        <v>Vant Rd</v>
      </c>
      <c r="K75" t="str">
        <f>PROPER(Table1[[#This Row],[Leading, Multiple &amp; Trailing spaces]])</f>
        <v>Vant Rd</v>
      </c>
      <c r="L75" t="str">
        <f t="shared" si="1"/>
        <v>Vant Rd</v>
      </c>
      <c r="M75" t="s">
        <v>3420</v>
      </c>
    </row>
    <row r="76" spans="1:13" x14ac:dyDescent="0.3">
      <c r="A76">
        <v>73</v>
      </c>
      <c r="B76" t="s">
        <v>267</v>
      </c>
      <c r="C76" t="s">
        <v>268</v>
      </c>
      <c r="D76" t="s">
        <v>18</v>
      </c>
      <c r="E76" t="s">
        <v>3387</v>
      </c>
      <c r="F76" t="s">
        <v>269</v>
      </c>
      <c r="G76" t="str">
        <f xml:space="preserve"> PROPER(_xlfn.CONCAT(Table1[[#This Row],[Title]]," ",Table1[[#This Row],[First Name]]," ",Table1[[#This Row],[Last Name]]))</f>
        <v>Miss Evelynn Woodard</v>
      </c>
      <c r="H76" t="str">
        <f>SUBSTITUTE(Table1[[#This Row],[Street]],"Road"," Road")</f>
        <v>Abbott Av</v>
      </c>
      <c r="I76" t="str">
        <f>SUBSTITUTE(Table1[[#This Row],[Separate combined words ]],"?","")</f>
        <v>Abbott Av</v>
      </c>
      <c r="J76" t="str">
        <f>TRIM(Table1[[#This Row],[Remove Question Mark "?"]])</f>
        <v>Abbott Av</v>
      </c>
      <c r="K76" t="str">
        <f>PROPER(Table1[[#This Row],[Leading, Multiple &amp; Trailing spaces]])</f>
        <v>Abbott Av</v>
      </c>
      <c r="L76" t="str">
        <f t="shared" si="1"/>
        <v>Abbott Av</v>
      </c>
      <c r="M76" t="s">
        <v>3387</v>
      </c>
    </row>
    <row r="77" spans="1:13" x14ac:dyDescent="0.3">
      <c r="A77">
        <v>74</v>
      </c>
      <c r="B77" t="s">
        <v>270</v>
      </c>
      <c r="C77" t="s">
        <v>271</v>
      </c>
      <c r="D77" t="s">
        <v>7</v>
      </c>
      <c r="E77" t="s">
        <v>272</v>
      </c>
      <c r="F77" t="s">
        <v>273</v>
      </c>
      <c r="G77" t="str">
        <f xml:space="preserve"> PROPER(_xlfn.CONCAT(Table1[[#This Row],[Title]]," ",Table1[[#This Row],[First Name]]," ",Table1[[#This Row],[Last Name]]))</f>
        <v>Mrs Latina Roy</v>
      </c>
      <c r="H77" t="str">
        <f>SUBSTITUTE(Table1[[#This Row],[Street]],"Road"," Road")</f>
        <v>Bucharest  Road</v>
      </c>
      <c r="I77" t="str">
        <f>SUBSTITUTE(Table1[[#This Row],[Separate combined words ]],"?","")</f>
        <v>Bucharest  Road</v>
      </c>
      <c r="J77" t="str">
        <f>TRIM(Table1[[#This Row],[Remove Question Mark "?"]])</f>
        <v>Bucharest Road</v>
      </c>
      <c r="K77" t="str">
        <f>PROPER(Table1[[#This Row],[Leading, Multiple &amp; Trailing spaces]])</f>
        <v>Bucharest Road</v>
      </c>
      <c r="L77" t="str">
        <f t="shared" si="1"/>
        <v>Bucharest Road</v>
      </c>
      <c r="M77" t="s">
        <v>272</v>
      </c>
    </row>
    <row r="78" spans="1:13" x14ac:dyDescent="0.3">
      <c r="A78">
        <v>75</v>
      </c>
      <c r="B78" t="s">
        <v>274</v>
      </c>
      <c r="C78" t="s">
        <v>275</v>
      </c>
      <c r="D78" t="s">
        <v>7</v>
      </c>
      <c r="E78" t="s">
        <v>276</v>
      </c>
      <c r="F78" t="s">
        <v>277</v>
      </c>
      <c r="G78" t="str">
        <f xml:space="preserve"> PROPER(_xlfn.CONCAT(Table1[[#This Row],[Title]]," ",Table1[[#This Row],[First Name]]," ",Table1[[#This Row],[Last Name]]))</f>
        <v>Mrs Hermelinda Medeiros</v>
      </c>
      <c r="H78" t="str">
        <f>SUBSTITUTE(Table1[[#This Row],[Street]],"Road"," Road")</f>
        <v>Sawyer Close</v>
      </c>
      <c r="I78" t="str">
        <f>SUBSTITUTE(Table1[[#This Row],[Separate combined words ]],"?","")</f>
        <v>Sawyer Close</v>
      </c>
      <c r="J78" t="str">
        <f>TRIM(Table1[[#This Row],[Remove Question Mark "?"]])</f>
        <v>Sawyer Close</v>
      </c>
      <c r="K78" t="str">
        <f>PROPER(Table1[[#This Row],[Leading, Multiple &amp; Trailing spaces]])</f>
        <v>Sawyer Close</v>
      </c>
      <c r="L78" t="str">
        <f t="shared" si="1"/>
        <v>Sawyer Close</v>
      </c>
      <c r="M78" t="s">
        <v>276</v>
      </c>
    </row>
    <row r="79" spans="1:13" x14ac:dyDescent="0.3">
      <c r="A79">
        <v>76</v>
      </c>
      <c r="B79" t="s">
        <v>278</v>
      </c>
      <c r="C79" t="s">
        <v>279</v>
      </c>
      <c r="D79" t="s">
        <v>7</v>
      </c>
      <c r="E79" t="s">
        <v>280</v>
      </c>
      <c r="F79" t="s">
        <v>281</v>
      </c>
      <c r="G79" t="str">
        <f xml:space="preserve"> PROPER(_xlfn.CONCAT(Table1[[#This Row],[Title]]," ",Table1[[#This Row],[First Name]]," ",Table1[[#This Row],[Last Name]]))</f>
        <v>Mrs Corrin Abrams</v>
      </c>
      <c r="H79" t="str">
        <f>SUBSTITUTE(Table1[[#This Row],[Street]],"Road"," Road")</f>
        <v>Glass Street</v>
      </c>
      <c r="I79" t="str">
        <f>SUBSTITUTE(Table1[[#This Row],[Separate combined words ]],"?","")</f>
        <v>Glass Street</v>
      </c>
      <c r="J79" t="str">
        <f>TRIM(Table1[[#This Row],[Remove Question Mark "?"]])</f>
        <v>Glass Street</v>
      </c>
      <c r="K79" t="str">
        <f>PROPER(Table1[[#This Row],[Leading, Multiple &amp; Trailing spaces]])</f>
        <v>Glass Street</v>
      </c>
      <c r="L79" t="str">
        <f t="shared" si="1"/>
        <v>Glass Street</v>
      </c>
      <c r="M79" t="s">
        <v>280</v>
      </c>
    </row>
    <row r="80" spans="1:13" x14ac:dyDescent="0.3">
      <c r="A80">
        <v>77</v>
      </c>
      <c r="B80" t="s">
        <v>282</v>
      </c>
      <c r="C80" t="s">
        <v>283</v>
      </c>
      <c r="D80" t="s">
        <v>18</v>
      </c>
      <c r="E80" t="s">
        <v>284</v>
      </c>
      <c r="F80" t="s">
        <v>285</v>
      </c>
      <c r="G80" t="str">
        <f xml:space="preserve"> PROPER(_xlfn.CONCAT(Table1[[#This Row],[Title]]," ",Table1[[#This Row],[First Name]]," ",Table1[[#This Row],[Last Name]]))</f>
        <v>Miss Malena Zavala</v>
      </c>
      <c r="H80" t="str">
        <f>SUBSTITUTE(Table1[[#This Row],[Street]],"Road"," Road")</f>
        <v>Walmington Fold</v>
      </c>
      <c r="I80" t="str">
        <f>SUBSTITUTE(Table1[[#This Row],[Separate combined words ]],"?","")</f>
        <v>Walmington Fold</v>
      </c>
      <c r="J80" t="str">
        <f>TRIM(Table1[[#This Row],[Remove Question Mark "?"]])</f>
        <v>Walmington Fold</v>
      </c>
      <c r="K80" t="str">
        <f>PROPER(Table1[[#This Row],[Leading, Multiple &amp; Trailing spaces]])</f>
        <v>Walmington Fold</v>
      </c>
      <c r="L80" t="str">
        <f t="shared" si="1"/>
        <v>Walmington Fold</v>
      </c>
      <c r="M80" t="s">
        <v>284</v>
      </c>
    </row>
    <row r="81" spans="1:13" x14ac:dyDescent="0.3">
      <c r="A81">
        <v>78</v>
      </c>
      <c r="B81" t="s">
        <v>286</v>
      </c>
      <c r="C81" t="s">
        <v>287</v>
      </c>
      <c r="D81" t="s">
        <v>71</v>
      </c>
      <c r="E81" t="s">
        <v>288</v>
      </c>
      <c r="F81" t="s">
        <v>289</v>
      </c>
      <c r="G81" t="str">
        <f xml:space="preserve"> PROPER(_xlfn.CONCAT(Table1[[#This Row],[Title]]," ",Table1[[#This Row],[First Name]]," ",Table1[[#This Row],[Last Name]]))</f>
        <v>Ms Rutha Pope</v>
      </c>
      <c r="H81" t="str">
        <f>SUBSTITUTE(Table1[[#This Row],[Street]],"Road"," Road")</f>
        <v>Plantain Place</v>
      </c>
      <c r="I81" t="str">
        <f>SUBSTITUTE(Table1[[#This Row],[Separate combined words ]],"?","")</f>
        <v>Plantain Place</v>
      </c>
      <c r="J81" t="str">
        <f>TRIM(Table1[[#This Row],[Remove Question Mark "?"]])</f>
        <v>Plantain Place</v>
      </c>
      <c r="K81" t="str">
        <f>PROPER(Table1[[#This Row],[Leading, Multiple &amp; Trailing spaces]])</f>
        <v>Plantain Place</v>
      </c>
      <c r="L81" t="str">
        <f t="shared" si="1"/>
        <v>Plantain Place</v>
      </c>
      <c r="M81" t="s">
        <v>288</v>
      </c>
    </row>
    <row r="82" spans="1:13" x14ac:dyDescent="0.3">
      <c r="A82">
        <v>79</v>
      </c>
      <c r="B82" t="s">
        <v>290</v>
      </c>
      <c r="C82" t="s">
        <v>291</v>
      </c>
      <c r="D82" t="s">
        <v>7</v>
      </c>
      <c r="E82" t="s">
        <v>292</v>
      </c>
      <c r="F82" t="s">
        <v>248</v>
      </c>
      <c r="G82" t="str">
        <f xml:space="preserve"> PROPER(_xlfn.CONCAT(Table1[[#This Row],[Title]]," ",Table1[[#This Row],[First Name]]," ",Table1[[#This Row],[Last Name]]))</f>
        <v>Mrs Artie Freeman</v>
      </c>
      <c r="H82" t="str">
        <f>SUBSTITUTE(Table1[[#This Row],[Street]],"Road"," Road")</f>
        <v>Celtic Street</v>
      </c>
      <c r="I82" t="str">
        <f>SUBSTITUTE(Table1[[#This Row],[Separate combined words ]],"?","")</f>
        <v>Celtic Street</v>
      </c>
      <c r="J82" t="str">
        <f>TRIM(Table1[[#This Row],[Remove Question Mark "?"]])</f>
        <v>Celtic Street</v>
      </c>
      <c r="K82" t="str">
        <f>PROPER(Table1[[#This Row],[Leading, Multiple &amp; Trailing spaces]])</f>
        <v>Celtic Street</v>
      </c>
      <c r="L82" t="str">
        <f t="shared" si="1"/>
        <v>Celtic Street</v>
      </c>
      <c r="M82" t="s">
        <v>292</v>
      </c>
    </row>
    <row r="83" spans="1:13" x14ac:dyDescent="0.3">
      <c r="A83">
        <v>80</v>
      </c>
      <c r="B83" t="s">
        <v>293</v>
      </c>
      <c r="C83" t="s">
        <v>294</v>
      </c>
      <c r="D83" t="s">
        <v>18</v>
      </c>
      <c r="E83" t="s">
        <v>295</v>
      </c>
      <c r="F83" t="s">
        <v>296</v>
      </c>
      <c r="G83" t="str">
        <f xml:space="preserve"> PROPER(_xlfn.CONCAT(Table1[[#This Row],[Title]]," ",Table1[[#This Row],[First Name]]," ",Table1[[#This Row],[Last Name]]))</f>
        <v>Miss Inell Burks</v>
      </c>
      <c r="H83" t="str">
        <f>SUBSTITUTE(Table1[[#This Row],[Street]],"Road"," Road")</f>
        <v>Nelldale  Road</v>
      </c>
      <c r="I83" t="str">
        <f>SUBSTITUTE(Table1[[#This Row],[Separate combined words ]],"?","")</f>
        <v>Nelldale  Road</v>
      </c>
      <c r="J83" t="str">
        <f>TRIM(Table1[[#This Row],[Remove Question Mark "?"]])</f>
        <v>Nelldale Road</v>
      </c>
      <c r="K83" t="str">
        <f>PROPER(Table1[[#This Row],[Leading, Multiple &amp; Trailing spaces]])</f>
        <v>Nelldale Road</v>
      </c>
      <c r="L83" t="str">
        <f t="shared" si="1"/>
        <v>Nelldale Road</v>
      </c>
      <c r="M83" t="s">
        <v>295</v>
      </c>
    </row>
    <row r="84" spans="1:13" x14ac:dyDescent="0.3">
      <c r="A84">
        <v>81</v>
      </c>
      <c r="B84" t="s">
        <v>297</v>
      </c>
      <c r="C84" t="s">
        <v>298</v>
      </c>
      <c r="D84" t="s">
        <v>18</v>
      </c>
      <c r="E84" t="s">
        <v>299</v>
      </c>
      <c r="F84" t="s">
        <v>300</v>
      </c>
      <c r="G84" t="str">
        <f xml:space="preserve"> PROPER(_xlfn.CONCAT(Table1[[#This Row],[Title]]," ",Table1[[#This Row],[First Name]]," ",Table1[[#This Row],[Last Name]]))</f>
        <v>Miss Camellia Santos</v>
      </c>
      <c r="H84" t="str">
        <f>SUBSTITUTE(Table1[[#This Row],[Street]],"Road"," Road")</f>
        <v>Morgana? Villa</v>
      </c>
      <c r="I84" t="str">
        <f>SUBSTITUTE(Table1[[#This Row],[Separate combined words ]],"?","")</f>
        <v>Morgana Villa</v>
      </c>
      <c r="J84" t="str">
        <f>TRIM(Table1[[#This Row],[Remove Question Mark "?"]])</f>
        <v>Morgana Villa</v>
      </c>
      <c r="K84" t="str">
        <f>PROPER(Table1[[#This Row],[Leading, Multiple &amp; Trailing spaces]])</f>
        <v>Morgana Villa</v>
      </c>
      <c r="L84" t="str">
        <f t="shared" si="1"/>
        <v>Morgana Villa</v>
      </c>
      <c r="M84" t="s">
        <v>3421</v>
      </c>
    </row>
    <row r="85" spans="1:13" x14ac:dyDescent="0.3">
      <c r="A85">
        <v>82</v>
      </c>
      <c r="B85" t="s">
        <v>301</v>
      </c>
      <c r="C85" t="s">
        <v>6</v>
      </c>
      <c r="D85" t="s">
        <v>7</v>
      </c>
      <c r="E85" t="s">
        <v>302</v>
      </c>
      <c r="F85" t="s">
        <v>156</v>
      </c>
      <c r="G85" t="str">
        <f xml:space="preserve"> PROPER(_xlfn.CONCAT(Table1[[#This Row],[Title]]," ",Table1[[#This Row],[First Name]]," ",Table1[[#This Row],[Last Name]]))</f>
        <v>Mrs Nettie Camp</v>
      </c>
      <c r="H85" t="str">
        <f>SUBSTITUTE(Table1[[#This Row],[Street]],"Road"," Road")</f>
        <v>Gedling Street</v>
      </c>
      <c r="I85" t="str">
        <f>SUBSTITUTE(Table1[[#This Row],[Separate combined words ]],"?","")</f>
        <v>Gedling Street</v>
      </c>
      <c r="J85" t="str">
        <f>TRIM(Table1[[#This Row],[Remove Question Mark "?"]])</f>
        <v>Gedling Street</v>
      </c>
      <c r="K85" t="str">
        <f>PROPER(Table1[[#This Row],[Leading, Multiple &amp; Trailing spaces]])</f>
        <v>Gedling Street</v>
      </c>
      <c r="L85" t="str">
        <f t="shared" si="1"/>
        <v>Gedling Street</v>
      </c>
      <c r="M85" t="s">
        <v>302</v>
      </c>
    </row>
    <row r="86" spans="1:13" x14ac:dyDescent="0.3">
      <c r="A86">
        <v>83</v>
      </c>
      <c r="B86" t="s">
        <v>303</v>
      </c>
      <c r="C86" t="s">
        <v>304</v>
      </c>
      <c r="D86" t="s">
        <v>7</v>
      </c>
      <c r="E86" t="s">
        <v>305</v>
      </c>
      <c r="F86" t="s">
        <v>49</v>
      </c>
      <c r="G86" t="str">
        <f xml:space="preserve"> PROPER(_xlfn.CONCAT(Table1[[#This Row],[Title]]," ",Table1[[#This Row],[First Name]]," ",Table1[[#This Row],[Last Name]]))</f>
        <v>Mrs Debby Whitfield</v>
      </c>
      <c r="H86" t="str">
        <f>SUBSTITUTE(Table1[[#This Row],[Street]],"Road"," Road")</f>
        <v>Drivers Buildings</v>
      </c>
      <c r="I86" t="str">
        <f>SUBSTITUTE(Table1[[#This Row],[Separate combined words ]],"?","")</f>
        <v>Drivers Buildings</v>
      </c>
      <c r="J86" t="str">
        <f>TRIM(Table1[[#This Row],[Remove Question Mark "?"]])</f>
        <v>Drivers Buildings</v>
      </c>
      <c r="K86" t="str">
        <f>PROPER(Table1[[#This Row],[Leading, Multiple &amp; Trailing spaces]])</f>
        <v>Drivers Buildings</v>
      </c>
      <c r="L86" t="str">
        <f t="shared" si="1"/>
        <v>Drivers Buildings</v>
      </c>
      <c r="M86" t="s">
        <v>305</v>
      </c>
    </row>
    <row r="87" spans="1:13" x14ac:dyDescent="0.3">
      <c r="A87">
        <v>84</v>
      </c>
      <c r="B87" t="s">
        <v>306</v>
      </c>
      <c r="C87" t="s">
        <v>307</v>
      </c>
      <c r="D87" t="s">
        <v>71</v>
      </c>
      <c r="E87" t="s">
        <v>308</v>
      </c>
      <c r="F87" t="s">
        <v>309</v>
      </c>
      <c r="G87" t="str">
        <f xml:space="preserve"> PROPER(_xlfn.CONCAT(Table1[[#This Row],[Title]]," ",Table1[[#This Row],[First Name]]," ",Table1[[#This Row],[Last Name]]))</f>
        <v>Ms Penni Rollins</v>
      </c>
      <c r="H87" t="str">
        <f>SUBSTITUTE(Table1[[#This Row],[Street]],"Road"," Road")</f>
        <v>Fulford Street</v>
      </c>
      <c r="I87" t="str">
        <f>SUBSTITUTE(Table1[[#This Row],[Separate combined words ]],"?","")</f>
        <v>Fulford Street</v>
      </c>
      <c r="J87" t="str">
        <f>TRIM(Table1[[#This Row],[Remove Question Mark "?"]])</f>
        <v>Fulford Street</v>
      </c>
      <c r="K87" t="str">
        <f>PROPER(Table1[[#This Row],[Leading, Multiple &amp; Trailing spaces]])</f>
        <v>Fulford Street</v>
      </c>
      <c r="L87" t="str">
        <f t="shared" si="1"/>
        <v>Fulford Street</v>
      </c>
      <c r="M87" t="s">
        <v>308</v>
      </c>
    </row>
    <row r="88" spans="1:13" x14ac:dyDescent="0.3">
      <c r="A88">
        <v>85</v>
      </c>
      <c r="B88" t="s">
        <v>310</v>
      </c>
      <c r="C88" t="s">
        <v>311</v>
      </c>
      <c r="D88" t="s">
        <v>7</v>
      </c>
      <c r="E88" t="s">
        <v>312</v>
      </c>
      <c r="F88" t="s">
        <v>313</v>
      </c>
      <c r="G88" t="str">
        <f xml:space="preserve"> PROPER(_xlfn.CONCAT(Table1[[#This Row],[Title]]," ",Table1[[#This Row],[First Name]]," ",Table1[[#This Row],[Last Name]]))</f>
        <v>Mrs Patrick Duncan</v>
      </c>
      <c r="H88" t="str">
        <f>SUBSTITUTE(Table1[[#This Row],[Street]],"Road"," Road")</f>
        <v>Meredith Place</v>
      </c>
      <c r="I88" t="str">
        <f>SUBSTITUTE(Table1[[#This Row],[Separate combined words ]],"?","")</f>
        <v>Meredith Place</v>
      </c>
      <c r="J88" t="str">
        <f>TRIM(Table1[[#This Row],[Remove Question Mark "?"]])</f>
        <v>Meredith Place</v>
      </c>
      <c r="K88" t="str">
        <f>PROPER(Table1[[#This Row],[Leading, Multiple &amp; Trailing spaces]])</f>
        <v>Meredith Place</v>
      </c>
      <c r="L88" t="str">
        <f t="shared" si="1"/>
        <v>Meredith Place</v>
      </c>
      <c r="M88" t="s">
        <v>312</v>
      </c>
    </row>
    <row r="89" spans="1:13" x14ac:dyDescent="0.3">
      <c r="A89">
        <v>86</v>
      </c>
      <c r="B89" t="s">
        <v>314</v>
      </c>
      <c r="C89" t="s">
        <v>59</v>
      </c>
      <c r="D89" t="s">
        <v>18</v>
      </c>
      <c r="E89" t="s">
        <v>3388</v>
      </c>
      <c r="F89" t="s">
        <v>315</v>
      </c>
      <c r="G89" t="str">
        <f xml:space="preserve"> PROPER(_xlfn.CONCAT(Table1[[#This Row],[Title]]," ",Table1[[#This Row],[First Name]]," ",Table1[[#This Row],[Last Name]]))</f>
        <v>Miss Nena Wright</v>
      </c>
      <c r="H89" t="str">
        <f>SUBSTITUTE(Table1[[#This Row],[Street]],"Road"," Road")</f>
        <v>Burslem ST</v>
      </c>
      <c r="I89" t="str">
        <f>SUBSTITUTE(Table1[[#This Row],[Separate combined words ]],"?","")</f>
        <v>Burslem ST</v>
      </c>
      <c r="J89" t="str">
        <f>TRIM(Table1[[#This Row],[Remove Question Mark "?"]])</f>
        <v>Burslem ST</v>
      </c>
      <c r="K89" t="str">
        <f>PROPER(Table1[[#This Row],[Leading, Multiple &amp; Trailing spaces]])</f>
        <v>Burslem St</v>
      </c>
      <c r="L89" t="str">
        <f t="shared" si="1"/>
        <v>Burslem St</v>
      </c>
      <c r="M89" t="s">
        <v>3422</v>
      </c>
    </row>
    <row r="90" spans="1:13" x14ac:dyDescent="0.3">
      <c r="A90">
        <v>87</v>
      </c>
      <c r="B90" t="s">
        <v>316</v>
      </c>
      <c r="C90" t="s">
        <v>317</v>
      </c>
      <c r="D90" t="s">
        <v>318</v>
      </c>
      <c r="E90" t="s">
        <v>319</v>
      </c>
      <c r="F90" t="s">
        <v>320</v>
      </c>
      <c r="G90" t="str">
        <f xml:space="preserve"> PROPER(_xlfn.CONCAT(Table1[[#This Row],[Title]]," ",Table1[[#This Row],[First Name]]," ",Table1[[#This Row],[Last Name]]))</f>
        <v>Dr Janell Wiggins</v>
      </c>
      <c r="H90" t="str">
        <f>SUBSTITUTE(Table1[[#This Row],[Street]],"Road"," Road")</f>
        <v>Knivet  Road</v>
      </c>
      <c r="I90" t="str">
        <f>SUBSTITUTE(Table1[[#This Row],[Separate combined words ]],"?","")</f>
        <v>Knivet  Road</v>
      </c>
      <c r="J90" t="str">
        <f>TRIM(Table1[[#This Row],[Remove Question Mark "?"]])</f>
        <v>Knivet Road</v>
      </c>
      <c r="K90" t="str">
        <f>PROPER(Table1[[#This Row],[Leading, Multiple &amp; Trailing spaces]])</f>
        <v>Knivet Road</v>
      </c>
      <c r="L90" t="str">
        <f t="shared" si="1"/>
        <v>Knivet Road</v>
      </c>
      <c r="M90" t="s">
        <v>319</v>
      </c>
    </row>
    <row r="91" spans="1:13" x14ac:dyDescent="0.3">
      <c r="A91">
        <v>88</v>
      </c>
      <c r="B91" t="s">
        <v>321</v>
      </c>
      <c r="C91" t="s">
        <v>322</v>
      </c>
      <c r="D91" t="s">
        <v>18</v>
      </c>
      <c r="E91" t="s">
        <v>323</v>
      </c>
      <c r="F91" t="s">
        <v>324</v>
      </c>
      <c r="G91" t="str">
        <f xml:space="preserve"> PROPER(_xlfn.CONCAT(Table1[[#This Row],[Title]]," ",Table1[[#This Row],[First Name]]," ",Table1[[#This Row],[Last Name]]))</f>
        <v>Miss Rossie Mccain</v>
      </c>
      <c r="H91" t="str">
        <f>SUBSTITUTE(Table1[[#This Row],[Street]],"Road"," Road")</f>
        <v>Frome Street</v>
      </c>
      <c r="I91" t="str">
        <f>SUBSTITUTE(Table1[[#This Row],[Separate combined words ]],"?","")</f>
        <v>Frome Street</v>
      </c>
      <c r="J91" t="str">
        <f>TRIM(Table1[[#This Row],[Remove Question Mark "?"]])</f>
        <v>Frome Street</v>
      </c>
      <c r="K91" t="str">
        <f>PROPER(Table1[[#This Row],[Leading, Multiple &amp; Trailing spaces]])</f>
        <v>Frome Street</v>
      </c>
      <c r="L91" t="str">
        <f t="shared" si="1"/>
        <v>Frome Street</v>
      </c>
      <c r="M91" t="s">
        <v>323</v>
      </c>
    </row>
    <row r="92" spans="1:13" x14ac:dyDescent="0.3">
      <c r="A92">
        <v>89</v>
      </c>
      <c r="B92" t="s">
        <v>325</v>
      </c>
      <c r="C92" t="s">
        <v>326</v>
      </c>
      <c r="D92" t="s">
        <v>18</v>
      </c>
      <c r="E92" t="s">
        <v>327</v>
      </c>
      <c r="F92" t="s">
        <v>324</v>
      </c>
      <c r="G92" t="str">
        <f xml:space="preserve"> PROPER(_xlfn.CONCAT(Table1[[#This Row],[Title]]," ",Table1[[#This Row],[First Name]]," ",Table1[[#This Row],[Last Name]]))</f>
        <v>Miss Ollie Fischer</v>
      </c>
      <c r="H92" t="str">
        <f>SUBSTITUTE(Table1[[#This Row],[Street]],"Road"," Road")</f>
        <v>Kenninghall  Road</v>
      </c>
      <c r="I92" t="str">
        <f>SUBSTITUTE(Table1[[#This Row],[Separate combined words ]],"?","")</f>
        <v>Kenninghall  Road</v>
      </c>
      <c r="J92" t="str">
        <f>TRIM(Table1[[#This Row],[Remove Question Mark "?"]])</f>
        <v>Kenninghall Road</v>
      </c>
      <c r="K92" t="str">
        <f>PROPER(Table1[[#This Row],[Leading, Multiple &amp; Trailing spaces]])</f>
        <v>Kenninghall Road</v>
      </c>
      <c r="L92" t="str">
        <f t="shared" si="1"/>
        <v>Kenninghall Road</v>
      </c>
      <c r="M92" t="s">
        <v>327</v>
      </c>
    </row>
    <row r="93" spans="1:13" x14ac:dyDescent="0.3">
      <c r="A93">
        <v>90</v>
      </c>
      <c r="B93" t="s">
        <v>328</v>
      </c>
      <c r="C93" t="s">
        <v>329</v>
      </c>
      <c r="D93" t="s">
        <v>18</v>
      </c>
      <c r="E93" t="s">
        <v>330</v>
      </c>
      <c r="F93" t="s">
        <v>331</v>
      </c>
      <c r="G93" t="str">
        <f xml:space="preserve"> PROPER(_xlfn.CONCAT(Table1[[#This Row],[Title]]," ",Table1[[#This Row],[First Name]]," ",Table1[[#This Row],[Last Name]]))</f>
        <v>Miss Jodie Paulson</v>
      </c>
      <c r="H93" t="str">
        <f>SUBSTITUTE(Table1[[#This Row],[Street]],"Road"," Road")</f>
        <v>Ashingdon Close</v>
      </c>
      <c r="I93" t="str">
        <f>SUBSTITUTE(Table1[[#This Row],[Separate combined words ]],"?","")</f>
        <v>Ashingdon Close</v>
      </c>
      <c r="J93" t="str">
        <f>TRIM(Table1[[#This Row],[Remove Question Mark "?"]])</f>
        <v>Ashingdon Close</v>
      </c>
      <c r="K93" t="str">
        <f>PROPER(Table1[[#This Row],[Leading, Multiple &amp; Trailing spaces]])</f>
        <v>Ashingdon Close</v>
      </c>
      <c r="L93" t="str">
        <f t="shared" si="1"/>
        <v>Ashingdon Close</v>
      </c>
      <c r="M93" t="s">
        <v>330</v>
      </c>
    </row>
    <row r="94" spans="1:13" x14ac:dyDescent="0.3">
      <c r="A94">
        <v>91</v>
      </c>
      <c r="B94" t="s">
        <v>332</v>
      </c>
      <c r="C94" t="s">
        <v>333</v>
      </c>
      <c r="D94" t="s">
        <v>18</v>
      </c>
      <c r="E94" t="s">
        <v>334</v>
      </c>
      <c r="F94" t="s">
        <v>335</v>
      </c>
      <c r="G94" t="str">
        <f xml:space="preserve"> PROPER(_xlfn.CONCAT(Table1[[#This Row],[Title]]," ",Table1[[#This Row],[First Name]]," ",Table1[[#This Row],[Last Name]]))</f>
        <v>Miss Marquitta Durham</v>
      </c>
      <c r="H94" t="str">
        <f>SUBSTITUTE(Table1[[#This Row],[Street]],"Road"," Road")</f>
        <v>Birchfield Street</v>
      </c>
      <c r="I94" t="str">
        <f>SUBSTITUTE(Table1[[#This Row],[Separate combined words ]],"?","")</f>
        <v>Birchfield Street</v>
      </c>
      <c r="J94" t="str">
        <f>TRIM(Table1[[#This Row],[Remove Question Mark "?"]])</f>
        <v>Birchfield Street</v>
      </c>
      <c r="K94" t="str">
        <f>PROPER(Table1[[#This Row],[Leading, Multiple &amp; Trailing spaces]])</f>
        <v>Birchfield Street</v>
      </c>
      <c r="L94" t="str">
        <f t="shared" si="1"/>
        <v>Birchfield Street</v>
      </c>
      <c r="M94" t="s">
        <v>334</v>
      </c>
    </row>
    <row r="95" spans="1:13" x14ac:dyDescent="0.3">
      <c r="A95">
        <v>92</v>
      </c>
      <c r="B95" t="s">
        <v>336</v>
      </c>
      <c r="C95" t="s">
        <v>337</v>
      </c>
      <c r="D95" t="s">
        <v>18</v>
      </c>
      <c r="E95" t="s">
        <v>338</v>
      </c>
      <c r="F95" t="s">
        <v>339</v>
      </c>
      <c r="G95" t="str">
        <f xml:space="preserve"> PROPER(_xlfn.CONCAT(Table1[[#This Row],[Title]]," ",Table1[[#This Row],[First Name]]," ",Table1[[#This Row],[Last Name]]))</f>
        <v>Miss Consuelo Knight</v>
      </c>
      <c r="H95" t="str">
        <f>SUBSTITUTE(Table1[[#This Row],[Street]],"Road"," Road")</f>
        <v>Chancellors Court</v>
      </c>
      <c r="I95" t="str">
        <f>SUBSTITUTE(Table1[[#This Row],[Separate combined words ]],"?","")</f>
        <v>Chancellors Court</v>
      </c>
      <c r="J95" t="str">
        <f>TRIM(Table1[[#This Row],[Remove Question Mark "?"]])</f>
        <v>Chancellors Court</v>
      </c>
      <c r="K95" t="str">
        <f>PROPER(Table1[[#This Row],[Leading, Multiple &amp; Trailing spaces]])</f>
        <v>Chancellors Court</v>
      </c>
      <c r="L95" t="str">
        <f t="shared" si="1"/>
        <v>Chancellors Court</v>
      </c>
      <c r="M95" t="s">
        <v>338</v>
      </c>
    </row>
    <row r="96" spans="1:13" x14ac:dyDescent="0.3">
      <c r="A96">
        <v>93</v>
      </c>
      <c r="B96" t="s">
        <v>340</v>
      </c>
      <c r="C96" t="s">
        <v>136</v>
      </c>
      <c r="D96" t="s">
        <v>7</v>
      </c>
      <c r="E96" t="s">
        <v>341</v>
      </c>
      <c r="F96" t="s">
        <v>342</v>
      </c>
      <c r="G96" t="str">
        <f xml:space="preserve"> PROPER(_xlfn.CONCAT(Table1[[#This Row],[Title]]," ",Table1[[#This Row],[First Name]]," ",Table1[[#This Row],[Last Name]]))</f>
        <v>Mrs Verlie Akers</v>
      </c>
      <c r="H96" t="str">
        <f>SUBSTITUTE(Table1[[#This Row],[Street]],"Road"," Road")</f>
        <v>Keetons  Road</v>
      </c>
      <c r="I96" t="str">
        <f>SUBSTITUTE(Table1[[#This Row],[Separate combined words ]],"?","")</f>
        <v>Keetons  Road</v>
      </c>
      <c r="J96" t="str">
        <f>TRIM(Table1[[#This Row],[Remove Question Mark "?"]])</f>
        <v>Keetons Road</v>
      </c>
      <c r="K96" t="str">
        <f>PROPER(Table1[[#This Row],[Leading, Multiple &amp; Trailing spaces]])</f>
        <v>Keetons Road</v>
      </c>
      <c r="L96" t="str">
        <f t="shared" si="1"/>
        <v>Keetons Road</v>
      </c>
      <c r="M96" t="s">
        <v>341</v>
      </c>
    </row>
    <row r="97" spans="1:13" x14ac:dyDescent="0.3">
      <c r="A97">
        <v>94</v>
      </c>
      <c r="B97" t="s">
        <v>343</v>
      </c>
      <c r="C97" t="s">
        <v>344</v>
      </c>
      <c r="D97" t="s">
        <v>18</v>
      </c>
      <c r="E97" t="s">
        <v>345</v>
      </c>
      <c r="F97" t="s">
        <v>346</v>
      </c>
      <c r="G97" t="str">
        <f xml:space="preserve"> PROPER(_xlfn.CONCAT(Table1[[#This Row],[Title]]," ",Table1[[#This Row],[First Name]]," ",Table1[[#This Row],[Last Name]]))</f>
        <v>Miss Waneta Klein</v>
      </c>
      <c r="H97" t="str">
        <f>SUBSTITUTE(Table1[[#This Row],[Street]],"Road"," Road")</f>
        <v>Kidd Place</v>
      </c>
      <c r="I97" t="str">
        <f>SUBSTITUTE(Table1[[#This Row],[Separate combined words ]],"?","")</f>
        <v>Kidd Place</v>
      </c>
      <c r="J97" t="str">
        <f>TRIM(Table1[[#This Row],[Remove Question Mark "?"]])</f>
        <v>Kidd Place</v>
      </c>
      <c r="K97" t="str">
        <f>PROPER(Table1[[#This Row],[Leading, Multiple &amp; Trailing spaces]])</f>
        <v>Kidd Place</v>
      </c>
      <c r="L97" t="str">
        <f t="shared" si="1"/>
        <v>Kidd Place</v>
      </c>
      <c r="M97" t="s">
        <v>345</v>
      </c>
    </row>
    <row r="98" spans="1:13" x14ac:dyDescent="0.3">
      <c r="A98">
        <v>95</v>
      </c>
      <c r="B98" t="s">
        <v>347</v>
      </c>
      <c r="C98" t="s">
        <v>348</v>
      </c>
      <c r="D98" t="s">
        <v>71</v>
      </c>
      <c r="E98" t="s">
        <v>349</v>
      </c>
      <c r="F98" t="s">
        <v>350</v>
      </c>
      <c r="G98" t="str">
        <f xml:space="preserve"> PROPER(_xlfn.CONCAT(Table1[[#This Row],[Title]]," ",Table1[[#This Row],[First Name]]," ",Table1[[#This Row],[Last Name]]))</f>
        <v>Ms Jadwiga Contreras</v>
      </c>
      <c r="H98" t="str">
        <f>SUBSTITUTE(Table1[[#This Row],[Street]],"Road"," Road")</f>
        <v>Little Lemon</v>
      </c>
      <c r="I98" t="str">
        <f>SUBSTITUTE(Table1[[#This Row],[Separate combined words ]],"?","")</f>
        <v>Little Lemon</v>
      </c>
      <c r="J98" t="str">
        <f>TRIM(Table1[[#This Row],[Remove Question Mark "?"]])</f>
        <v>Little Lemon</v>
      </c>
      <c r="K98" t="str">
        <f>PROPER(Table1[[#This Row],[Leading, Multiple &amp; Trailing spaces]])</f>
        <v>Little Lemon</v>
      </c>
      <c r="L98" t="str">
        <f t="shared" si="1"/>
        <v>Little Lemon</v>
      </c>
      <c r="M98" t="s">
        <v>349</v>
      </c>
    </row>
    <row r="99" spans="1:13" x14ac:dyDescent="0.3">
      <c r="A99">
        <v>96</v>
      </c>
      <c r="B99" t="s">
        <v>351</v>
      </c>
      <c r="C99" t="s">
        <v>352</v>
      </c>
      <c r="D99" t="s">
        <v>71</v>
      </c>
      <c r="E99" t="s">
        <v>353</v>
      </c>
      <c r="F99" t="s">
        <v>354</v>
      </c>
      <c r="G99" t="str">
        <f xml:space="preserve"> PROPER(_xlfn.CONCAT(Table1[[#This Row],[Title]]," ",Table1[[#This Row],[First Name]]," ",Table1[[#This Row],[Last Name]]))</f>
        <v>Ms Catherina Galvan</v>
      </c>
      <c r="H99" t="str">
        <f>SUBSTITUTE(Table1[[#This Row],[Street]],"Road"," Road")</f>
        <v>Little New</v>
      </c>
      <c r="I99" t="str">
        <f>SUBSTITUTE(Table1[[#This Row],[Separate combined words ]],"?","")</f>
        <v>Little New</v>
      </c>
      <c r="J99" t="str">
        <f>TRIM(Table1[[#This Row],[Remove Question Mark "?"]])</f>
        <v>Little New</v>
      </c>
      <c r="K99" t="str">
        <f>PROPER(Table1[[#This Row],[Leading, Multiple &amp; Trailing spaces]])</f>
        <v>Little New</v>
      </c>
      <c r="L99" t="str">
        <f t="shared" si="1"/>
        <v>Little New</v>
      </c>
      <c r="M99" t="s">
        <v>353</v>
      </c>
    </row>
    <row r="100" spans="1:13" x14ac:dyDescent="0.3">
      <c r="A100">
        <v>97</v>
      </c>
      <c r="B100" t="s">
        <v>355</v>
      </c>
      <c r="C100" t="s">
        <v>356</v>
      </c>
      <c r="D100" t="s">
        <v>7</v>
      </c>
      <c r="E100" t="s">
        <v>357</v>
      </c>
      <c r="F100" t="s">
        <v>358</v>
      </c>
      <c r="G100" t="str">
        <f xml:space="preserve"> PROPER(_xlfn.CONCAT(Table1[[#This Row],[Title]]," ",Table1[[#This Row],[First Name]]," ",Table1[[#This Row],[Last Name]]))</f>
        <v>Mrs Leslie Hobson</v>
      </c>
      <c r="H100" t="str">
        <f>SUBSTITUTE(Table1[[#This Row],[Street]],"Road"," Road")</f>
        <v>Templecombe  Road</v>
      </c>
      <c r="I100" t="str">
        <f>SUBSTITUTE(Table1[[#This Row],[Separate combined words ]],"?","")</f>
        <v>Templecombe  Road</v>
      </c>
      <c r="J100" t="str">
        <f>TRIM(Table1[[#This Row],[Remove Question Mark "?"]])</f>
        <v>Templecombe Road</v>
      </c>
      <c r="K100" t="str">
        <f>PROPER(Table1[[#This Row],[Leading, Multiple &amp; Trailing spaces]])</f>
        <v>Templecombe Road</v>
      </c>
      <c r="L100" t="str">
        <f t="shared" si="1"/>
        <v>Templecombe Road</v>
      </c>
      <c r="M100" t="s">
        <v>357</v>
      </c>
    </row>
    <row r="101" spans="1:13" x14ac:dyDescent="0.3">
      <c r="A101">
        <v>98</v>
      </c>
      <c r="B101" t="s">
        <v>359</v>
      </c>
      <c r="C101" t="s">
        <v>360</v>
      </c>
      <c r="D101" t="s">
        <v>18</v>
      </c>
      <c r="E101" t="s">
        <v>3389</v>
      </c>
      <c r="F101" t="s">
        <v>361</v>
      </c>
      <c r="G101" t="str">
        <f xml:space="preserve"> PROPER(_xlfn.CONCAT(Table1[[#This Row],[Title]]," ",Table1[[#This Row],[First Name]]," ",Table1[[#This Row],[Last Name]]))</f>
        <v>Miss Jona Mcneill</v>
      </c>
      <c r="H101" t="str">
        <f>SUBSTITUTE(Table1[[#This Row],[Street]],"Road"," Road")</f>
        <v>WARNER RD</v>
      </c>
      <c r="I101" t="str">
        <f>SUBSTITUTE(Table1[[#This Row],[Separate combined words ]],"?","")</f>
        <v>WARNER RD</v>
      </c>
      <c r="J101" t="str">
        <f>TRIM(Table1[[#This Row],[Remove Question Mark "?"]])</f>
        <v>WARNER RD</v>
      </c>
      <c r="K101" t="str">
        <f>PROPER(Table1[[#This Row],[Leading, Multiple &amp; Trailing spaces]])</f>
        <v>Warner Rd</v>
      </c>
      <c r="L101" t="str">
        <f t="shared" si="1"/>
        <v>Warner Rd</v>
      </c>
      <c r="M101" t="s">
        <v>3423</v>
      </c>
    </row>
    <row r="102" spans="1:13" x14ac:dyDescent="0.3">
      <c r="A102">
        <v>99</v>
      </c>
      <c r="B102" t="s">
        <v>362</v>
      </c>
      <c r="C102" t="s">
        <v>363</v>
      </c>
      <c r="D102" t="s">
        <v>7</v>
      </c>
      <c r="E102" t="s">
        <v>364</v>
      </c>
      <c r="F102" t="s">
        <v>365</v>
      </c>
      <c r="G102" t="str">
        <f xml:space="preserve"> PROPER(_xlfn.CONCAT(Table1[[#This Row],[Title]]," ",Table1[[#This Row],[First Name]]," ",Table1[[#This Row],[Last Name]]))</f>
        <v>Mrs Phylis Starks</v>
      </c>
      <c r="H102" t="str">
        <f>SUBSTITUTE(Table1[[#This Row],[Street]],"Road"," Road")</f>
        <v>Du Burstow</v>
      </c>
      <c r="I102" t="str">
        <f>SUBSTITUTE(Table1[[#This Row],[Separate combined words ]],"?","")</f>
        <v>Du Burstow</v>
      </c>
      <c r="J102" t="str">
        <f>TRIM(Table1[[#This Row],[Remove Question Mark "?"]])</f>
        <v>Du Burstow</v>
      </c>
      <c r="K102" t="str">
        <f>PROPER(Table1[[#This Row],[Leading, Multiple &amp; Trailing spaces]])</f>
        <v>Du Burstow</v>
      </c>
      <c r="L102" t="str">
        <f t="shared" si="1"/>
        <v>Du Burstow</v>
      </c>
      <c r="M102" t="s">
        <v>364</v>
      </c>
    </row>
    <row r="103" spans="1:13" x14ac:dyDescent="0.3">
      <c r="A103">
        <v>100</v>
      </c>
      <c r="B103" t="s">
        <v>366</v>
      </c>
      <c r="C103" t="s">
        <v>367</v>
      </c>
      <c r="D103" t="s">
        <v>18</v>
      </c>
      <c r="E103" t="s">
        <v>368</v>
      </c>
      <c r="F103" t="s">
        <v>369</v>
      </c>
      <c r="G103" t="str">
        <f xml:space="preserve"> PROPER(_xlfn.CONCAT(Table1[[#This Row],[Title]]," ",Table1[[#This Row],[First Name]]," ",Table1[[#This Row],[Last Name]]))</f>
        <v>Miss Chasidy Pittman</v>
      </c>
      <c r="H103" t="str">
        <f>SUBSTITUTE(Table1[[#This Row],[Street]],"Road"," Road")</f>
        <v>Vine Cottages</v>
      </c>
      <c r="I103" t="str">
        <f>SUBSTITUTE(Table1[[#This Row],[Separate combined words ]],"?","")</f>
        <v>Vine Cottages</v>
      </c>
      <c r="J103" t="str">
        <f>TRIM(Table1[[#This Row],[Remove Question Mark "?"]])</f>
        <v>Vine Cottages</v>
      </c>
      <c r="K103" t="str">
        <f>PROPER(Table1[[#This Row],[Leading, Multiple &amp; Trailing spaces]])</f>
        <v>Vine Cottages</v>
      </c>
      <c r="L103" t="str">
        <f t="shared" si="1"/>
        <v>Vine Cottages</v>
      </c>
      <c r="M103" t="s">
        <v>368</v>
      </c>
    </row>
    <row r="104" spans="1:13" x14ac:dyDescent="0.3">
      <c r="A104">
        <v>101</v>
      </c>
      <c r="B104" t="s">
        <v>704</v>
      </c>
      <c r="C104" t="s">
        <v>705</v>
      </c>
      <c r="D104" t="s">
        <v>318</v>
      </c>
      <c r="E104" t="s">
        <v>706</v>
      </c>
      <c r="F104" t="s">
        <v>707</v>
      </c>
      <c r="G104" t="str">
        <f xml:space="preserve"> PROPER(_xlfn.CONCAT(Table1[[#This Row],[Title]]," ",Table1[[#This Row],[First Name]]," ",Table1[[#This Row],[Last Name]]))</f>
        <v>Dr Tisa Tyson</v>
      </c>
      <c r="H104" t="str">
        <f>SUBSTITUTE(Table1[[#This Row],[Street]],"Road"," Road")</f>
        <v>Roger Harriss</v>
      </c>
      <c r="I104" t="str">
        <f>SUBSTITUTE(Table1[[#This Row],[Separate combined words ]],"?","")</f>
        <v>Roger Harriss</v>
      </c>
      <c r="J104" t="str">
        <f>TRIM(Table1[[#This Row],[Remove Question Mark "?"]])</f>
        <v>Roger Harriss</v>
      </c>
      <c r="K104" t="str">
        <f>PROPER(Table1[[#This Row],[Leading, Multiple &amp; Trailing spaces]])</f>
        <v>Roger Harriss</v>
      </c>
      <c r="L104" t="str">
        <f t="shared" si="1"/>
        <v>Roger Harriss</v>
      </c>
      <c r="M104" t="s">
        <v>706</v>
      </c>
    </row>
    <row r="105" spans="1:13" x14ac:dyDescent="0.3">
      <c r="A105">
        <v>102</v>
      </c>
      <c r="B105" t="s">
        <v>708</v>
      </c>
      <c r="C105" t="s">
        <v>564</v>
      </c>
      <c r="D105" t="s">
        <v>7</v>
      </c>
      <c r="E105" t="s">
        <v>709</v>
      </c>
      <c r="F105" t="s">
        <v>645</v>
      </c>
      <c r="G105" t="str">
        <f xml:space="preserve"> PROPER(_xlfn.CONCAT(Table1[[#This Row],[Title]]," ",Table1[[#This Row],[First Name]]," ",Table1[[#This Row],[Last Name]]))</f>
        <v>Mrs Joanie Feldman</v>
      </c>
      <c r="H105" t="str">
        <f>SUBSTITUTE(Table1[[#This Row],[Street]],"Road"," Road")</f>
        <v>Sunderland Rents</v>
      </c>
      <c r="I105" t="str">
        <f>SUBSTITUTE(Table1[[#This Row],[Separate combined words ]],"?","")</f>
        <v>Sunderland Rents</v>
      </c>
      <c r="J105" t="str">
        <f>TRIM(Table1[[#This Row],[Remove Question Mark "?"]])</f>
        <v>Sunderland Rents</v>
      </c>
      <c r="K105" t="str">
        <f>PROPER(Table1[[#This Row],[Leading, Multiple &amp; Trailing spaces]])</f>
        <v>Sunderland Rents</v>
      </c>
      <c r="L105" t="str">
        <f t="shared" si="1"/>
        <v>Sunderland Rents</v>
      </c>
      <c r="M105" t="s">
        <v>709</v>
      </c>
    </row>
    <row r="106" spans="1:13" x14ac:dyDescent="0.3">
      <c r="A106">
        <v>103</v>
      </c>
      <c r="B106" t="s">
        <v>710</v>
      </c>
      <c r="C106" t="s">
        <v>711</v>
      </c>
      <c r="D106" t="s">
        <v>7</v>
      </c>
      <c r="E106" t="s">
        <v>712</v>
      </c>
      <c r="F106" t="s">
        <v>713</v>
      </c>
      <c r="G106" t="str">
        <f xml:space="preserve"> PROPER(_xlfn.CONCAT(Table1[[#This Row],[Title]]," ",Table1[[#This Row],[First Name]]," ",Table1[[#This Row],[Last Name]]))</f>
        <v>Mrs Danna Benson</v>
      </c>
      <c r="H106" t="str">
        <f>SUBSTITUTE(Table1[[#This Row],[Street]],"Road"," Road")</f>
        <v>Hartswood Gdns</v>
      </c>
      <c r="I106" t="str">
        <f>SUBSTITUTE(Table1[[#This Row],[Separate combined words ]],"?","")</f>
        <v>Hartswood Gdns</v>
      </c>
      <c r="J106" t="str">
        <f>TRIM(Table1[[#This Row],[Remove Question Mark "?"]])</f>
        <v>Hartswood Gdns</v>
      </c>
      <c r="K106" t="str">
        <f>PROPER(Table1[[#This Row],[Leading, Multiple &amp; Trailing spaces]])</f>
        <v>Hartswood Gdns</v>
      </c>
      <c r="L106" t="str">
        <f t="shared" si="1"/>
        <v>Hartswood Gdns</v>
      </c>
      <c r="M106" t="s">
        <v>3424</v>
      </c>
    </row>
    <row r="107" spans="1:13" x14ac:dyDescent="0.3">
      <c r="A107">
        <v>104</v>
      </c>
      <c r="B107" t="s">
        <v>591</v>
      </c>
      <c r="C107" t="s">
        <v>714</v>
      </c>
      <c r="D107" t="s">
        <v>7</v>
      </c>
      <c r="E107" t="s">
        <v>715</v>
      </c>
      <c r="F107" t="s">
        <v>606</v>
      </c>
      <c r="G107" t="str">
        <f xml:space="preserve"> PROPER(_xlfn.CONCAT(Table1[[#This Row],[Title]]," ",Table1[[#This Row],[First Name]]," ",Table1[[#This Row],[Last Name]]))</f>
        <v>Mrs Yan Stiles</v>
      </c>
      <c r="H107" t="str">
        <f>SUBSTITUTE(Table1[[#This Row],[Street]],"Road"," Road")</f>
        <v>Durweston Mews</v>
      </c>
      <c r="I107" t="str">
        <f>SUBSTITUTE(Table1[[#This Row],[Separate combined words ]],"?","")</f>
        <v>Durweston Mews</v>
      </c>
      <c r="J107" t="str">
        <f>TRIM(Table1[[#This Row],[Remove Question Mark "?"]])</f>
        <v>Durweston Mews</v>
      </c>
      <c r="K107" t="str">
        <f>PROPER(Table1[[#This Row],[Leading, Multiple &amp; Trailing spaces]])</f>
        <v>Durweston Mews</v>
      </c>
      <c r="L107" t="str">
        <f t="shared" si="1"/>
        <v>Durweston Mews</v>
      </c>
      <c r="M107" t="s">
        <v>715</v>
      </c>
    </row>
    <row r="108" spans="1:13" x14ac:dyDescent="0.3">
      <c r="A108">
        <v>105</v>
      </c>
      <c r="B108" t="s">
        <v>716</v>
      </c>
      <c r="C108" t="s">
        <v>326</v>
      </c>
      <c r="D108" t="s">
        <v>7</v>
      </c>
      <c r="E108" t="s">
        <v>717</v>
      </c>
      <c r="F108" t="s">
        <v>718</v>
      </c>
      <c r="G108" t="str">
        <f xml:space="preserve"> PROPER(_xlfn.CONCAT(Table1[[#This Row],[Title]]," ",Table1[[#This Row],[First Name]]," ",Table1[[#This Row],[Last Name]]))</f>
        <v>Mrs Iris Fischer</v>
      </c>
      <c r="H108" t="str">
        <f>SUBSTITUTE(Table1[[#This Row],[Street]],"Road"," Road")</f>
        <v>Sutherland Avenue</v>
      </c>
      <c r="I108" t="str">
        <f>SUBSTITUTE(Table1[[#This Row],[Separate combined words ]],"?","")</f>
        <v>Sutherland Avenue</v>
      </c>
      <c r="J108" t="str">
        <f>TRIM(Table1[[#This Row],[Remove Question Mark "?"]])</f>
        <v>Sutherland Avenue</v>
      </c>
      <c r="K108" t="str">
        <f>PROPER(Table1[[#This Row],[Leading, Multiple &amp; Trailing spaces]])</f>
        <v>Sutherland Avenue</v>
      </c>
      <c r="L108" t="str">
        <f t="shared" si="1"/>
        <v>Sutherland Avenue</v>
      </c>
      <c r="M108" t="s">
        <v>717</v>
      </c>
    </row>
    <row r="109" spans="1:13" x14ac:dyDescent="0.3">
      <c r="A109">
        <v>106</v>
      </c>
      <c r="B109" t="s">
        <v>719</v>
      </c>
      <c r="C109" t="s">
        <v>720</v>
      </c>
      <c r="D109" t="s">
        <v>7</v>
      </c>
      <c r="E109" t="s">
        <v>721</v>
      </c>
      <c r="F109" t="s">
        <v>658</v>
      </c>
      <c r="G109" t="str">
        <f xml:space="preserve"> PROPER(_xlfn.CONCAT(Table1[[#This Row],[Title]]," ",Table1[[#This Row],[First Name]]," ",Table1[[#This Row],[Last Name]]))</f>
        <v>Mrs Dimple Dukes</v>
      </c>
      <c r="H109" t="str">
        <f>SUBSTITUTE(Table1[[#This Row],[Street]],"Road"," Road")</f>
        <v>Phillpots Almshouses</v>
      </c>
      <c r="I109" t="str">
        <f>SUBSTITUTE(Table1[[#This Row],[Separate combined words ]],"?","")</f>
        <v>Phillpots Almshouses</v>
      </c>
      <c r="J109" t="str">
        <f>TRIM(Table1[[#This Row],[Remove Question Mark "?"]])</f>
        <v>Phillpots Almshouses</v>
      </c>
      <c r="K109" t="str">
        <f>PROPER(Table1[[#This Row],[Leading, Multiple &amp; Trailing spaces]])</f>
        <v>Phillpots Almshouses</v>
      </c>
      <c r="L109" t="str">
        <f t="shared" si="1"/>
        <v>Phillpots Almshouses</v>
      </c>
      <c r="M109" t="s">
        <v>721</v>
      </c>
    </row>
    <row r="110" spans="1:13" x14ac:dyDescent="0.3">
      <c r="A110">
        <v>107</v>
      </c>
      <c r="B110" t="s">
        <v>722</v>
      </c>
      <c r="C110" t="s">
        <v>723</v>
      </c>
      <c r="D110" t="s">
        <v>7</v>
      </c>
      <c r="E110" t="s">
        <v>724</v>
      </c>
      <c r="F110" t="s">
        <v>725</v>
      </c>
      <c r="G110" t="str">
        <f xml:space="preserve"> PROPER(_xlfn.CONCAT(Table1[[#This Row],[Title]]," ",Table1[[#This Row],[First Name]]," ",Table1[[#This Row],[Last Name]]))</f>
        <v>Mrs Cordia Whitman</v>
      </c>
      <c r="H110" t="str">
        <f>SUBSTITUTE(Table1[[#This Row],[Street]],"Road"," Road")</f>
        <v>Gwendolen Avenue</v>
      </c>
      <c r="I110" t="str">
        <f>SUBSTITUTE(Table1[[#This Row],[Separate combined words ]],"?","")</f>
        <v>Gwendolen Avenue</v>
      </c>
      <c r="J110" t="str">
        <f>TRIM(Table1[[#This Row],[Remove Question Mark "?"]])</f>
        <v>Gwendolen Avenue</v>
      </c>
      <c r="K110" t="str">
        <f>PROPER(Table1[[#This Row],[Leading, Multiple &amp; Trailing spaces]])</f>
        <v>Gwendolen Avenue</v>
      </c>
      <c r="L110" t="str">
        <f t="shared" si="1"/>
        <v>Gwendolen Avenue</v>
      </c>
      <c r="M110" t="s">
        <v>724</v>
      </c>
    </row>
    <row r="111" spans="1:13" x14ac:dyDescent="0.3">
      <c r="A111">
        <v>108</v>
      </c>
      <c r="B111" t="s">
        <v>726</v>
      </c>
      <c r="C111" t="s">
        <v>727</v>
      </c>
      <c r="D111" t="s">
        <v>7</v>
      </c>
      <c r="E111" t="s">
        <v>728</v>
      </c>
      <c r="F111" t="s">
        <v>729</v>
      </c>
      <c r="G111" t="str">
        <f xml:space="preserve"> PROPER(_xlfn.CONCAT(Table1[[#This Row],[Title]]," ",Table1[[#This Row],[First Name]]," ",Table1[[#This Row],[Last Name]]))</f>
        <v>Mrs Maybell Morales</v>
      </c>
      <c r="H111" t="str">
        <f>SUBSTITUTE(Table1[[#This Row],[Street]],"Road"," Road")</f>
        <v>Palace View</v>
      </c>
      <c r="I111" t="str">
        <f>SUBSTITUTE(Table1[[#This Row],[Separate combined words ]],"?","")</f>
        <v>Palace View</v>
      </c>
      <c r="J111" t="str">
        <f>TRIM(Table1[[#This Row],[Remove Question Mark "?"]])</f>
        <v>Palace View</v>
      </c>
      <c r="K111" t="str">
        <f>PROPER(Table1[[#This Row],[Leading, Multiple &amp; Trailing spaces]])</f>
        <v>Palace View</v>
      </c>
      <c r="L111" t="str">
        <f t="shared" si="1"/>
        <v>Palace View</v>
      </c>
      <c r="M111" t="s">
        <v>728</v>
      </c>
    </row>
    <row r="112" spans="1:13" x14ac:dyDescent="0.3">
      <c r="A112">
        <v>109</v>
      </c>
      <c r="B112" t="s">
        <v>730</v>
      </c>
      <c r="C112" t="s">
        <v>731</v>
      </c>
      <c r="D112" t="s">
        <v>7</v>
      </c>
      <c r="E112" t="s">
        <v>732</v>
      </c>
      <c r="F112" t="s">
        <v>733</v>
      </c>
      <c r="G112" t="str">
        <f xml:space="preserve"> PROPER(_xlfn.CONCAT(Table1[[#This Row],[Title]]," ",Table1[[#This Row],[First Name]]," ",Table1[[#This Row],[Last Name]]))</f>
        <v>Mrs Blythe Peoples</v>
      </c>
      <c r="H112" t="str">
        <f>SUBSTITUTE(Table1[[#This Row],[Street]],"Road"," Road")</f>
        <v>Albany Close</v>
      </c>
      <c r="I112" t="str">
        <f>SUBSTITUTE(Table1[[#This Row],[Separate combined words ]],"?","")</f>
        <v>Albany Close</v>
      </c>
      <c r="J112" t="str">
        <f>TRIM(Table1[[#This Row],[Remove Question Mark "?"]])</f>
        <v>Albany Close</v>
      </c>
      <c r="K112" t="str">
        <f>PROPER(Table1[[#This Row],[Leading, Multiple &amp; Trailing spaces]])</f>
        <v>Albany Close</v>
      </c>
      <c r="L112" t="str">
        <f t="shared" si="1"/>
        <v>Albany Close</v>
      </c>
      <c r="M112" t="s">
        <v>732</v>
      </c>
    </row>
    <row r="113" spans="1:13" x14ac:dyDescent="0.3">
      <c r="A113">
        <v>110</v>
      </c>
      <c r="B113" t="s">
        <v>734</v>
      </c>
      <c r="C113" t="s">
        <v>735</v>
      </c>
      <c r="D113" t="s">
        <v>7</v>
      </c>
      <c r="E113" t="s">
        <v>736</v>
      </c>
      <c r="F113" t="s">
        <v>737</v>
      </c>
      <c r="G113" t="str">
        <f xml:space="preserve"> PROPER(_xlfn.CONCAT(Table1[[#This Row],[Title]]," ",Table1[[#This Row],[First Name]]," ",Table1[[#This Row],[Last Name]]))</f>
        <v>Mrs Justine Thompson</v>
      </c>
      <c r="H113" t="str">
        <f>SUBSTITUTE(Table1[[#This Row],[Street]],"Road"," Road")</f>
        <v>Church Alley</v>
      </c>
      <c r="I113" t="str">
        <f>SUBSTITUTE(Table1[[#This Row],[Separate combined words ]],"?","")</f>
        <v>Church Alley</v>
      </c>
      <c r="J113" t="str">
        <f>TRIM(Table1[[#This Row],[Remove Question Mark "?"]])</f>
        <v>Church Alley</v>
      </c>
      <c r="K113" t="str">
        <f>PROPER(Table1[[#This Row],[Leading, Multiple &amp; Trailing spaces]])</f>
        <v>Church Alley</v>
      </c>
      <c r="L113" t="str">
        <f t="shared" si="1"/>
        <v>Church Alley</v>
      </c>
      <c r="M113" t="s">
        <v>736</v>
      </c>
    </row>
    <row r="114" spans="1:13" x14ac:dyDescent="0.3">
      <c r="A114">
        <v>111</v>
      </c>
      <c r="B114" t="s">
        <v>738</v>
      </c>
      <c r="C114" t="s">
        <v>739</v>
      </c>
      <c r="D114" t="s">
        <v>18</v>
      </c>
      <c r="E114" t="s">
        <v>740</v>
      </c>
      <c r="F114" t="s">
        <v>741</v>
      </c>
      <c r="G114" t="str">
        <f xml:space="preserve"> PROPER(_xlfn.CONCAT(Table1[[#This Row],[Title]]," ",Table1[[#This Row],[First Name]]," ",Table1[[#This Row],[Last Name]]))</f>
        <v>Miss Maida Khan</v>
      </c>
      <c r="H114" t="str">
        <f>SUBSTITUTE(Table1[[#This Row],[Street]],"Road"," Road")</f>
        <v>Moncorvo Close</v>
      </c>
      <c r="I114" t="str">
        <f>SUBSTITUTE(Table1[[#This Row],[Separate combined words ]],"?","")</f>
        <v>Moncorvo Close</v>
      </c>
      <c r="J114" t="str">
        <f>TRIM(Table1[[#This Row],[Remove Question Mark "?"]])</f>
        <v>Moncorvo Close</v>
      </c>
      <c r="K114" t="str">
        <f>PROPER(Table1[[#This Row],[Leading, Multiple &amp; Trailing spaces]])</f>
        <v>Moncorvo Close</v>
      </c>
      <c r="L114" t="str">
        <f t="shared" si="1"/>
        <v>Moncorvo Close</v>
      </c>
      <c r="M114" t="s">
        <v>740</v>
      </c>
    </row>
    <row r="115" spans="1:13" x14ac:dyDescent="0.3">
      <c r="A115">
        <v>112</v>
      </c>
      <c r="B115" t="s">
        <v>742</v>
      </c>
      <c r="C115" t="s">
        <v>743</v>
      </c>
      <c r="D115" t="s">
        <v>18</v>
      </c>
      <c r="E115" t="s">
        <v>744</v>
      </c>
      <c r="F115" t="s">
        <v>553</v>
      </c>
      <c r="G115" t="str">
        <f xml:space="preserve"> PROPER(_xlfn.CONCAT(Table1[[#This Row],[Title]]," ",Table1[[#This Row],[First Name]]," ",Table1[[#This Row],[Last Name]]))</f>
        <v>Miss Elvie Arthur</v>
      </c>
      <c r="H115" t="str">
        <f>SUBSTITUTE(Table1[[#This Row],[Street]],"Road"," Road")</f>
        <v>Carlton Cottages</v>
      </c>
      <c r="I115" t="str">
        <f>SUBSTITUTE(Table1[[#This Row],[Separate combined words ]],"?","")</f>
        <v>Carlton Cottages</v>
      </c>
      <c r="J115" t="str">
        <f>TRIM(Table1[[#This Row],[Remove Question Mark "?"]])</f>
        <v>Carlton Cottages</v>
      </c>
      <c r="K115" t="str">
        <f>PROPER(Table1[[#This Row],[Leading, Multiple &amp; Trailing spaces]])</f>
        <v>Carlton Cottages</v>
      </c>
      <c r="L115" t="str">
        <f t="shared" si="1"/>
        <v>Carlton Cottages</v>
      </c>
      <c r="M115" t="s">
        <v>744</v>
      </c>
    </row>
    <row r="116" spans="1:13" x14ac:dyDescent="0.3">
      <c r="A116">
        <v>113</v>
      </c>
      <c r="B116" t="s">
        <v>745</v>
      </c>
      <c r="C116" t="s">
        <v>746</v>
      </c>
      <c r="D116" t="s">
        <v>7</v>
      </c>
      <c r="E116" t="s">
        <v>747</v>
      </c>
      <c r="F116" t="s">
        <v>748</v>
      </c>
      <c r="G116" t="str">
        <f xml:space="preserve"> PROPER(_xlfn.CONCAT(Table1[[#This Row],[Title]]," ",Table1[[#This Row],[First Name]]," ",Table1[[#This Row],[Last Name]]))</f>
        <v>Mrs Leanora Gunn</v>
      </c>
      <c r="H116" t="str">
        <f>SUBSTITUTE(Table1[[#This Row],[Street]],"Road"," Road")</f>
        <v>Tremaine  Road</v>
      </c>
      <c r="I116" t="str">
        <f>SUBSTITUTE(Table1[[#This Row],[Separate combined words ]],"?","")</f>
        <v>Tremaine  Road</v>
      </c>
      <c r="J116" t="str">
        <f>TRIM(Table1[[#This Row],[Remove Question Mark "?"]])</f>
        <v>Tremaine Road</v>
      </c>
      <c r="K116" t="str">
        <f>PROPER(Table1[[#This Row],[Leading, Multiple &amp; Trailing spaces]])</f>
        <v>Tremaine Road</v>
      </c>
      <c r="L116" t="str">
        <f t="shared" si="1"/>
        <v>Tremaine Road</v>
      </c>
      <c r="M116" t="s">
        <v>747</v>
      </c>
    </row>
    <row r="117" spans="1:13" x14ac:dyDescent="0.3">
      <c r="A117">
        <v>114</v>
      </c>
      <c r="B117" t="s">
        <v>749</v>
      </c>
      <c r="C117" t="s">
        <v>624</v>
      </c>
      <c r="D117" t="s">
        <v>71</v>
      </c>
      <c r="E117" t="s">
        <v>750</v>
      </c>
      <c r="F117" t="s">
        <v>461</v>
      </c>
      <c r="G117" t="str">
        <f xml:space="preserve"> PROPER(_xlfn.CONCAT(Table1[[#This Row],[Title]]," ",Table1[[#This Row],[First Name]]," ",Table1[[#This Row],[Last Name]]))</f>
        <v>Ms Charlena Conklin</v>
      </c>
      <c r="H117" t="str">
        <f>SUBSTITUTE(Table1[[#This Row],[Street]],"Road"," Road")</f>
        <v>Dehar Crescent</v>
      </c>
      <c r="I117" t="str">
        <f>SUBSTITUTE(Table1[[#This Row],[Separate combined words ]],"?","")</f>
        <v>Dehar Crescent</v>
      </c>
      <c r="J117" t="str">
        <f>TRIM(Table1[[#This Row],[Remove Question Mark "?"]])</f>
        <v>Dehar Crescent</v>
      </c>
      <c r="K117" t="str">
        <f>PROPER(Table1[[#This Row],[Leading, Multiple &amp; Trailing spaces]])</f>
        <v>Dehar Crescent</v>
      </c>
      <c r="L117" t="str">
        <f t="shared" si="1"/>
        <v>Dehar Crescent</v>
      </c>
      <c r="M117" t="s">
        <v>750</v>
      </c>
    </row>
    <row r="118" spans="1:13" x14ac:dyDescent="0.3">
      <c r="A118">
        <v>115</v>
      </c>
      <c r="B118" t="s">
        <v>751</v>
      </c>
      <c r="C118" t="s">
        <v>752</v>
      </c>
      <c r="D118" t="s">
        <v>18</v>
      </c>
      <c r="E118" t="s">
        <v>753</v>
      </c>
      <c r="F118" t="s">
        <v>754</v>
      </c>
      <c r="G118" t="str">
        <f xml:space="preserve"> PROPER(_xlfn.CONCAT(Table1[[#This Row],[Title]]," ",Table1[[#This Row],[First Name]]," ",Table1[[#This Row],[Last Name]]))</f>
        <v>Miss Reba Allred</v>
      </c>
      <c r="H118" t="str">
        <f>SUBSTITUTE(Table1[[#This Row],[Street]],"Road"," Road")</f>
        <v>Brewery Square</v>
      </c>
      <c r="I118" t="str">
        <f>SUBSTITUTE(Table1[[#This Row],[Separate combined words ]],"?","")</f>
        <v>Brewery Square</v>
      </c>
      <c r="J118" t="str">
        <f>TRIM(Table1[[#This Row],[Remove Question Mark "?"]])</f>
        <v>Brewery Square</v>
      </c>
      <c r="K118" t="str">
        <f>PROPER(Table1[[#This Row],[Leading, Multiple &amp; Trailing spaces]])</f>
        <v>Brewery Square</v>
      </c>
      <c r="L118" t="str">
        <f t="shared" si="1"/>
        <v>Brewery Square</v>
      </c>
      <c r="M118" t="s">
        <v>753</v>
      </c>
    </row>
    <row r="119" spans="1:13" x14ac:dyDescent="0.3">
      <c r="A119">
        <v>116</v>
      </c>
      <c r="B119" t="s">
        <v>755</v>
      </c>
      <c r="C119" t="s">
        <v>756</v>
      </c>
      <c r="D119" t="s">
        <v>18</v>
      </c>
      <c r="E119" t="s">
        <v>757</v>
      </c>
      <c r="F119" t="s">
        <v>252</v>
      </c>
      <c r="G119" t="str">
        <f xml:space="preserve"> PROPER(_xlfn.CONCAT(Table1[[#This Row],[Title]]," ",Table1[[#This Row],[First Name]]," ",Table1[[#This Row],[Last Name]]))</f>
        <v>Miss Eve Hathaway</v>
      </c>
      <c r="H119" t="str">
        <f>SUBSTITUTE(Table1[[#This Row],[Street]],"Road"," Road")</f>
        <v>White Acre</v>
      </c>
      <c r="I119" t="str">
        <f>SUBSTITUTE(Table1[[#This Row],[Separate combined words ]],"?","")</f>
        <v>White Acre</v>
      </c>
      <c r="J119" t="str">
        <f>TRIM(Table1[[#This Row],[Remove Question Mark "?"]])</f>
        <v>White Acre</v>
      </c>
      <c r="K119" t="str">
        <f>PROPER(Table1[[#This Row],[Leading, Multiple &amp; Trailing spaces]])</f>
        <v>White Acre</v>
      </c>
      <c r="L119" t="str">
        <f t="shared" si="1"/>
        <v>White Acre</v>
      </c>
      <c r="M119" t="s">
        <v>757</v>
      </c>
    </row>
    <row r="120" spans="1:13" x14ac:dyDescent="0.3">
      <c r="A120">
        <v>117</v>
      </c>
      <c r="B120" t="s">
        <v>758</v>
      </c>
      <c r="C120" t="s">
        <v>759</v>
      </c>
      <c r="D120" t="s">
        <v>7</v>
      </c>
      <c r="E120" t="s">
        <v>760</v>
      </c>
      <c r="F120" t="s">
        <v>761</v>
      </c>
      <c r="G120" t="str">
        <f xml:space="preserve"> PROPER(_xlfn.CONCAT(Table1[[#This Row],[Title]]," ",Table1[[#This Row],[First Name]]," ",Table1[[#This Row],[Last Name]]))</f>
        <v>Mrs Vania Vernon</v>
      </c>
      <c r="H120" t="str">
        <f>SUBSTITUTE(Table1[[#This Row],[Street]],"Road"," Road")</f>
        <v>Ethel Terrace</v>
      </c>
      <c r="I120" t="str">
        <f>SUBSTITUTE(Table1[[#This Row],[Separate combined words ]],"?","")</f>
        <v>Ethel Terrace</v>
      </c>
      <c r="J120" t="str">
        <f>TRIM(Table1[[#This Row],[Remove Question Mark "?"]])</f>
        <v>Ethel Terrace</v>
      </c>
      <c r="K120" t="str">
        <f>PROPER(Table1[[#This Row],[Leading, Multiple &amp; Trailing spaces]])</f>
        <v>Ethel Terrace</v>
      </c>
      <c r="L120" t="str">
        <f t="shared" si="1"/>
        <v>Ethel Terrace</v>
      </c>
      <c r="M120" t="s">
        <v>760</v>
      </c>
    </row>
    <row r="121" spans="1:13" x14ac:dyDescent="0.3">
      <c r="A121">
        <v>118</v>
      </c>
      <c r="B121" t="s">
        <v>762</v>
      </c>
      <c r="C121" t="s">
        <v>763</v>
      </c>
      <c r="D121" t="s">
        <v>71</v>
      </c>
      <c r="E121" t="s">
        <v>764</v>
      </c>
      <c r="F121" t="s">
        <v>376</v>
      </c>
      <c r="G121" t="str">
        <f xml:space="preserve"> PROPER(_xlfn.CONCAT(Table1[[#This Row],[Title]]," ",Table1[[#This Row],[First Name]]," ",Table1[[#This Row],[Last Name]]))</f>
        <v>Ms Taryn Walton</v>
      </c>
      <c r="H121" t="str">
        <f>SUBSTITUTE(Table1[[#This Row],[Street]],"Road"," Road")</f>
        <v>South Row</v>
      </c>
      <c r="I121" t="str">
        <f>SUBSTITUTE(Table1[[#This Row],[Separate combined words ]],"?","")</f>
        <v>South Row</v>
      </c>
      <c r="J121" t="str">
        <f>TRIM(Table1[[#This Row],[Remove Question Mark "?"]])</f>
        <v>South Row</v>
      </c>
      <c r="K121" t="str">
        <f>PROPER(Table1[[#This Row],[Leading, Multiple &amp; Trailing spaces]])</f>
        <v>South Row</v>
      </c>
      <c r="L121" t="str">
        <f t="shared" si="1"/>
        <v>South Row</v>
      </c>
      <c r="M121" t="s">
        <v>764</v>
      </c>
    </row>
    <row r="122" spans="1:13" x14ac:dyDescent="0.3">
      <c r="A122">
        <v>119</v>
      </c>
      <c r="B122" t="s">
        <v>765</v>
      </c>
      <c r="C122" t="s">
        <v>766</v>
      </c>
      <c r="D122" t="s">
        <v>7</v>
      </c>
      <c r="E122" t="s">
        <v>767</v>
      </c>
      <c r="F122" t="s">
        <v>768</v>
      </c>
      <c r="G122" t="str">
        <f xml:space="preserve"> PROPER(_xlfn.CONCAT(Table1[[#This Row],[Title]]," ",Table1[[#This Row],[First Name]]," ",Table1[[#This Row],[Last Name]]))</f>
        <v>Mrs Bunny Fitch</v>
      </c>
      <c r="H122" t="str">
        <f>SUBSTITUTE(Table1[[#This Row],[Street]],"Road"," Road")</f>
        <v>Rosethorn Close</v>
      </c>
      <c r="I122" t="str">
        <f>SUBSTITUTE(Table1[[#This Row],[Separate combined words ]],"?","")</f>
        <v>Rosethorn Close</v>
      </c>
      <c r="J122" t="str">
        <f>TRIM(Table1[[#This Row],[Remove Question Mark "?"]])</f>
        <v>Rosethorn Close</v>
      </c>
      <c r="K122" t="str">
        <f>PROPER(Table1[[#This Row],[Leading, Multiple &amp; Trailing spaces]])</f>
        <v>Rosethorn Close</v>
      </c>
      <c r="L122" t="str">
        <f t="shared" si="1"/>
        <v>Rosethorn Close</v>
      </c>
      <c r="M122" t="s">
        <v>767</v>
      </c>
    </row>
    <row r="123" spans="1:13" x14ac:dyDescent="0.3">
      <c r="A123">
        <v>120</v>
      </c>
      <c r="B123" t="s">
        <v>677</v>
      </c>
      <c r="C123" t="s">
        <v>769</v>
      </c>
      <c r="D123" t="s">
        <v>71</v>
      </c>
      <c r="E123" t="s">
        <v>770</v>
      </c>
      <c r="F123" t="s">
        <v>636</v>
      </c>
      <c r="G123" t="str">
        <f xml:space="preserve"> PROPER(_xlfn.CONCAT(Table1[[#This Row],[Title]]," ",Table1[[#This Row],[First Name]]," ",Table1[[#This Row],[Last Name]]))</f>
        <v>Ms Torie Holden</v>
      </c>
      <c r="H123" t="str">
        <f>SUBSTITUTE(Table1[[#This Row],[Street]],"Road"," Road")</f>
        <v>Arran Walk</v>
      </c>
      <c r="I123" t="str">
        <f>SUBSTITUTE(Table1[[#This Row],[Separate combined words ]],"?","")</f>
        <v>Arran Walk</v>
      </c>
      <c r="J123" t="str">
        <f>TRIM(Table1[[#This Row],[Remove Question Mark "?"]])</f>
        <v>Arran Walk</v>
      </c>
      <c r="K123" t="str">
        <f>PROPER(Table1[[#This Row],[Leading, Multiple &amp; Trailing spaces]])</f>
        <v>Arran Walk</v>
      </c>
      <c r="L123" t="str">
        <f t="shared" si="1"/>
        <v>Arran Walk</v>
      </c>
      <c r="M123" t="s">
        <v>770</v>
      </c>
    </row>
    <row r="124" spans="1:13" x14ac:dyDescent="0.3">
      <c r="A124">
        <v>121</v>
      </c>
      <c r="B124" t="s">
        <v>771</v>
      </c>
      <c r="C124" t="s">
        <v>772</v>
      </c>
      <c r="D124" t="s">
        <v>18</v>
      </c>
      <c r="E124" t="s">
        <v>773</v>
      </c>
      <c r="F124" t="s">
        <v>774</v>
      </c>
      <c r="G124" t="str">
        <f xml:space="preserve"> PROPER(_xlfn.CONCAT(Table1[[#This Row],[Title]]," ",Table1[[#This Row],[First Name]]," ",Table1[[#This Row],[Last Name]]))</f>
        <v>Miss Chun Puckett</v>
      </c>
      <c r="H124" t="str">
        <f>SUBSTITUTE(Table1[[#This Row],[Street]],"Road"," Road")</f>
        <v>Merryfield</v>
      </c>
      <c r="I124" t="str">
        <f>SUBSTITUTE(Table1[[#This Row],[Separate combined words ]],"?","")</f>
        <v>Merryfield</v>
      </c>
      <c r="J124" t="str">
        <f>TRIM(Table1[[#This Row],[Remove Question Mark "?"]])</f>
        <v>Merryfield</v>
      </c>
      <c r="K124" t="str">
        <f>PROPER(Table1[[#This Row],[Leading, Multiple &amp; Trailing spaces]])</f>
        <v>Merryfield</v>
      </c>
      <c r="L124" t="str">
        <f t="shared" si="1"/>
        <v>Merryfield</v>
      </c>
      <c r="M124" t="s">
        <v>773</v>
      </c>
    </row>
    <row r="125" spans="1:13" x14ac:dyDescent="0.3">
      <c r="A125">
        <v>122</v>
      </c>
      <c r="B125" t="s">
        <v>775</v>
      </c>
      <c r="C125" t="s">
        <v>776</v>
      </c>
      <c r="D125" t="s">
        <v>18</v>
      </c>
      <c r="E125" t="s">
        <v>777</v>
      </c>
      <c r="F125" t="s">
        <v>778</v>
      </c>
      <c r="G125" t="str">
        <f xml:space="preserve"> PROPER(_xlfn.CONCAT(Table1[[#This Row],[Title]]," ",Table1[[#This Row],[First Name]]," ",Table1[[#This Row],[Last Name]]))</f>
        <v>Miss Lurlene James</v>
      </c>
      <c r="H125" t="str">
        <f>SUBSTITUTE(Table1[[#This Row],[Street]],"Road"," Road")</f>
        <v>Costa Street</v>
      </c>
      <c r="I125" t="str">
        <f>SUBSTITUTE(Table1[[#This Row],[Separate combined words ]],"?","")</f>
        <v>Costa Street</v>
      </c>
      <c r="J125" t="str">
        <f>TRIM(Table1[[#This Row],[Remove Question Mark "?"]])</f>
        <v>Costa Street</v>
      </c>
      <c r="K125" t="str">
        <f>PROPER(Table1[[#This Row],[Leading, Multiple &amp; Trailing spaces]])</f>
        <v>Costa Street</v>
      </c>
      <c r="L125" t="str">
        <f t="shared" si="1"/>
        <v>Costa Street</v>
      </c>
      <c r="M125" t="s">
        <v>777</v>
      </c>
    </row>
    <row r="126" spans="1:13" x14ac:dyDescent="0.3">
      <c r="A126">
        <v>123</v>
      </c>
      <c r="B126" t="s">
        <v>779</v>
      </c>
      <c r="C126" t="s">
        <v>337</v>
      </c>
      <c r="D126" t="s">
        <v>18</v>
      </c>
      <c r="E126" t="s">
        <v>780</v>
      </c>
      <c r="F126" t="s">
        <v>781</v>
      </c>
      <c r="G126" t="str">
        <f xml:space="preserve"> PROPER(_xlfn.CONCAT(Table1[[#This Row],[Title]]," ",Table1[[#This Row],[First Name]]," ",Table1[[#This Row],[Last Name]]))</f>
        <v>Miss Nova Knight</v>
      </c>
      <c r="H126" t="str">
        <f>SUBSTITUTE(Table1[[#This Row],[Street]],"Road"," Road")</f>
        <v>Salisbury Pavement</v>
      </c>
      <c r="I126" t="str">
        <f>SUBSTITUTE(Table1[[#This Row],[Separate combined words ]],"?","")</f>
        <v>Salisbury Pavement</v>
      </c>
      <c r="J126" t="str">
        <f>TRIM(Table1[[#This Row],[Remove Question Mark "?"]])</f>
        <v>Salisbury Pavement</v>
      </c>
      <c r="K126" t="str">
        <f>PROPER(Table1[[#This Row],[Leading, Multiple &amp; Trailing spaces]])</f>
        <v>Salisbury Pavement</v>
      </c>
      <c r="L126" t="str">
        <f t="shared" si="1"/>
        <v>Salisbury Pavement</v>
      </c>
      <c r="M126" t="s">
        <v>780</v>
      </c>
    </row>
    <row r="127" spans="1:13" x14ac:dyDescent="0.3">
      <c r="A127">
        <v>124</v>
      </c>
      <c r="B127" t="s">
        <v>782</v>
      </c>
      <c r="C127" t="s">
        <v>644</v>
      </c>
      <c r="D127" t="s">
        <v>18</v>
      </c>
      <c r="E127" t="s">
        <v>783</v>
      </c>
      <c r="F127" t="s">
        <v>784</v>
      </c>
      <c r="G127" t="str">
        <f xml:space="preserve"> PROPER(_xlfn.CONCAT(Table1[[#This Row],[Title]]," ",Table1[[#This Row],[First Name]]," ",Table1[[#This Row],[Last Name]]))</f>
        <v>Miss Ashlea Aldrich</v>
      </c>
      <c r="H127" t="str">
        <f>SUBSTITUTE(Table1[[#This Row],[Street]],"Road"," Road")</f>
        <v>Lamb Alley</v>
      </c>
      <c r="I127" t="str">
        <f>SUBSTITUTE(Table1[[#This Row],[Separate combined words ]],"?","")</f>
        <v>Lamb Alley</v>
      </c>
      <c r="J127" t="str">
        <f>TRIM(Table1[[#This Row],[Remove Question Mark "?"]])</f>
        <v>Lamb Alley</v>
      </c>
      <c r="K127" t="str">
        <f>PROPER(Table1[[#This Row],[Leading, Multiple &amp; Trailing spaces]])</f>
        <v>Lamb Alley</v>
      </c>
      <c r="L127" t="str">
        <f t="shared" si="1"/>
        <v>Lamb Alley</v>
      </c>
      <c r="M127" t="s">
        <v>783</v>
      </c>
    </row>
    <row r="128" spans="1:13" x14ac:dyDescent="0.3">
      <c r="A128">
        <v>125</v>
      </c>
      <c r="B128" t="s">
        <v>785</v>
      </c>
      <c r="C128" t="s">
        <v>786</v>
      </c>
      <c r="D128" t="s">
        <v>7</v>
      </c>
      <c r="E128" t="s">
        <v>787</v>
      </c>
      <c r="F128" t="s">
        <v>788</v>
      </c>
      <c r="G128" t="str">
        <f xml:space="preserve"> PROPER(_xlfn.CONCAT(Table1[[#This Row],[Title]]," ",Table1[[#This Row],[First Name]]," ",Table1[[#This Row],[Last Name]]))</f>
        <v>Mrs Regena Schaffer</v>
      </c>
      <c r="H128" t="str">
        <f>SUBSTITUTE(Table1[[#This Row],[Street]],"Road"," Road")</f>
        <v>Coalecroft  Road</v>
      </c>
      <c r="I128" t="str">
        <f>SUBSTITUTE(Table1[[#This Row],[Separate combined words ]],"?","")</f>
        <v>Coalecroft  Road</v>
      </c>
      <c r="J128" t="str">
        <f>TRIM(Table1[[#This Row],[Remove Question Mark "?"]])</f>
        <v>Coalecroft Road</v>
      </c>
      <c r="K128" t="str">
        <f>PROPER(Table1[[#This Row],[Leading, Multiple &amp; Trailing spaces]])</f>
        <v>Coalecroft Road</v>
      </c>
      <c r="L128" t="str">
        <f t="shared" si="1"/>
        <v>Coalecroft Road</v>
      </c>
      <c r="M128" t="s">
        <v>787</v>
      </c>
    </row>
    <row r="129" spans="1:13" x14ac:dyDescent="0.3">
      <c r="A129">
        <v>126</v>
      </c>
      <c r="B129" t="s">
        <v>789</v>
      </c>
      <c r="C129" t="s">
        <v>790</v>
      </c>
      <c r="D129" t="s">
        <v>18</v>
      </c>
      <c r="E129" t="s">
        <v>791</v>
      </c>
      <c r="F129" t="s">
        <v>792</v>
      </c>
      <c r="G129" t="str">
        <f xml:space="preserve"> PROPER(_xlfn.CONCAT(Table1[[#This Row],[Title]]," ",Table1[[#This Row],[First Name]]," ",Table1[[#This Row],[Last Name]]))</f>
        <v>Miss Katina Draper</v>
      </c>
      <c r="H129" t="str">
        <f>SUBSTITUTE(Table1[[#This Row],[Street]],"Road"," Road")</f>
        <v>Scawfell Street</v>
      </c>
      <c r="I129" t="str">
        <f>SUBSTITUTE(Table1[[#This Row],[Separate combined words ]],"?","")</f>
        <v>Scawfell Street</v>
      </c>
      <c r="J129" t="str">
        <f>TRIM(Table1[[#This Row],[Remove Question Mark "?"]])</f>
        <v>Scawfell Street</v>
      </c>
      <c r="K129" t="str">
        <f>PROPER(Table1[[#This Row],[Leading, Multiple &amp; Trailing spaces]])</f>
        <v>Scawfell Street</v>
      </c>
      <c r="L129" t="str">
        <f t="shared" si="1"/>
        <v>Scawfell Street</v>
      </c>
      <c r="M129" t="s">
        <v>791</v>
      </c>
    </row>
    <row r="130" spans="1:13" x14ac:dyDescent="0.3">
      <c r="A130">
        <v>127</v>
      </c>
      <c r="B130" t="s">
        <v>793</v>
      </c>
      <c r="C130" t="s">
        <v>794</v>
      </c>
      <c r="D130" t="s">
        <v>18</v>
      </c>
      <c r="E130" t="s">
        <v>795</v>
      </c>
      <c r="F130" t="s">
        <v>630</v>
      </c>
      <c r="G130" t="str">
        <f xml:space="preserve"> PROPER(_xlfn.CONCAT(Table1[[#This Row],[Title]]," ",Table1[[#This Row],[First Name]]," ",Table1[[#This Row],[Last Name]]))</f>
        <v>Miss Barbra Shannon</v>
      </c>
      <c r="H130" t="str">
        <f>SUBSTITUTE(Table1[[#This Row],[Street]],"Road"," Road")</f>
        <v>Church Crescent</v>
      </c>
      <c r="I130" t="str">
        <f>SUBSTITUTE(Table1[[#This Row],[Separate combined words ]],"?","")</f>
        <v>Church Crescent</v>
      </c>
      <c r="J130" t="str">
        <f>TRIM(Table1[[#This Row],[Remove Question Mark "?"]])</f>
        <v>Church Crescent</v>
      </c>
      <c r="K130" t="str">
        <f>PROPER(Table1[[#This Row],[Leading, Multiple &amp; Trailing spaces]])</f>
        <v>Church Crescent</v>
      </c>
      <c r="L130" t="str">
        <f t="shared" si="1"/>
        <v>Church Crescent</v>
      </c>
      <c r="M130" t="s">
        <v>795</v>
      </c>
    </row>
    <row r="131" spans="1:13" x14ac:dyDescent="0.3">
      <c r="A131">
        <v>128</v>
      </c>
      <c r="B131" t="s">
        <v>796</v>
      </c>
      <c r="C131" t="s">
        <v>383</v>
      </c>
      <c r="D131" t="s">
        <v>7</v>
      </c>
      <c r="E131" t="s">
        <v>797</v>
      </c>
      <c r="F131" t="s">
        <v>658</v>
      </c>
      <c r="G131" t="str">
        <f xml:space="preserve"> PROPER(_xlfn.CONCAT(Table1[[#This Row],[Title]]," ",Table1[[#This Row],[First Name]]," ",Table1[[#This Row],[Last Name]]))</f>
        <v>Mrs Johnnie Nixon</v>
      </c>
      <c r="H131" t="str">
        <f>SUBSTITUTE(Table1[[#This Row],[Street]],"Road"," Road")</f>
        <v>Denison  Road</v>
      </c>
      <c r="I131" t="str">
        <f>SUBSTITUTE(Table1[[#This Row],[Separate combined words ]],"?","")</f>
        <v>Denison  Road</v>
      </c>
      <c r="J131" t="str">
        <f>TRIM(Table1[[#This Row],[Remove Question Mark "?"]])</f>
        <v>Denison Road</v>
      </c>
      <c r="K131" t="str">
        <f>PROPER(Table1[[#This Row],[Leading, Multiple &amp; Trailing spaces]])</f>
        <v>Denison Road</v>
      </c>
      <c r="L131" t="str">
        <f t="shared" si="1"/>
        <v>Denison Road</v>
      </c>
      <c r="M131" t="s">
        <v>797</v>
      </c>
    </row>
    <row r="132" spans="1:13" x14ac:dyDescent="0.3">
      <c r="A132">
        <v>129</v>
      </c>
      <c r="B132" t="s">
        <v>798</v>
      </c>
      <c r="C132" t="s">
        <v>799</v>
      </c>
      <c r="D132" t="s">
        <v>7</v>
      </c>
      <c r="E132" t="s">
        <v>574</v>
      </c>
      <c r="F132" t="s">
        <v>636</v>
      </c>
      <c r="G132" t="str">
        <f xml:space="preserve"> PROPER(_xlfn.CONCAT(Table1[[#This Row],[Title]]," ",Table1[[#This Row],[First Name]]," ",Table1[[#This Row],[Last Name]]))</f>
        <v>Mrs Jimmy Bateman</v>
      </c>
      <c r="H132" t="str">
        <f>SUBSTITUTE(Table1[[#This Row],[Street]],"Road"," Road")</f>
        <v>Bridgefield Cottages</v>
      </c>
      <c r="I132" t="str">
        <f>SUBSTITUTE(Table1[[#This Row],[Separate combined words ]],"?","")</f>
        <v>Bridgefield Cottages</v>
      </c>
      <c r="J132" t="str">
        <f>TRIM(Table1[[#This Row],[Remove Question Mark "?"]])</f>
        <v>Bridgefield Cottages</v>
      </c>
      <c r="K132" t="str">
        <f>PROPER(Table1[[#This Row],[Leading, Multiple &amp; Trailing spaces]])</f>
        <v>Bridgefield Cottages</v>
      </c>
      <c r="L132" t="str">
        <f t="shared" si="1"/>
        <v>Bridgefield Cottages</v>
      </c>
      <c r="M132" t="s">
        <v>574</v>
      </c>
    </row>
    <row r="133" spans="1:13" x14ac:dyDescent="0.3">
      <c r="A133">
        <v>130</v>
      </c>
      <c r="B133" t="s">
        <v>800</v>
      </c>
      <c r="C133" t="s">
        <v>801</v>
      </c>
      <c r="D133" t="s">
        <v>7</v>
      </c>
      <c r="E133" t="s">
        <v>802</v>
      </c>
      <c r="F133" t="s">
        <v>803</v>
      </c>
      <c r="G133" t="str">
        <f xml:space="preserve"> PROPER(_xlfn.CONCAT(Table1[[#This Row],[Title]]," ",Table1[[#This Row],[First Name]]," ",Table1[[#This Row],[Last Name]]))</f>
        <v>Mrs Juana Dickey</v>
      </c>
      <c r="H133" t="str">
        <f>SUBSTITUTE(Table1[[#This Row],[Street]],"Road"," Road")</f>
        <v>Dome Hill</v>
      </c>
      <c r="I133" t="str">
        <f>SUBSTITUTE(Table1[[#This Row],[Separate combined words ]],"?","")</f>
        <v>Dome Hill</v>
      </c>
      <c r="J133" t="str">
        <f>TRIM(Table1[[#This Row],[Remove Question Mark "?"]])</f>
        <v>Dome Hill</v>
      </c>
      <c r="K133" t="str">
        <f>PROPER(Table1[[#This Row],[Leading, Multiple &amp; Trailing spaces]])</f>
        <v>Dome Hill</v>
      </c>
      <c r="L133" t="str">
        <f t="shared" ref="L133:L196" si="2">TRIM(PROPER(SUBSTITUTE(SUBSTITUTE((E133),"?",""),"Road"," Road")))</f>
        <v>Dome Hill</v>
      </c>
      <c r="M133" t="s">
        <v>802</v>
      </c>
    </row>
    <row r="134" spans="1:13" x14ac:dyDescent="0.3">
      <c r="A134">
        <v>131</v>
      </c>
      <c r="B134" t="s">
        <v>804</v>
      </c>
      <c r="C134" t="s">
        <v>805</v>
      </c>
      <c r="D134" t="s">
        <v>7</v>
      </c>
      <c r="E134" t="s">
        <v>806</v>
      </c>
      <c r="F134" t="s">
        <v>145</v>
      </c>
      <c r="G134" t="str">
        <f xml:space="preserve"> PROPER(_xlfn.CONCAT(Table1[[#This Row],[Title]]," ",Table1[[#This Row],[First Name]]," ",Table1[[#This Row],[Last Name]]))</f>
        <v>Mrs Zofia Sanders</v>
      </c>
      <c r="H134" t="str">
        <f>SUBSTITUTE(Table1[[#This Row],[Street]],"Road"," Road")</f>
        <v>Frognal Parade</v>
      </c>
      <c r="I134" t="str">
        <f>SUBSTITUTE(Table1[[#This Row],[Separate combined words ]],"?","")</f>
        <v>Frognal Parade</v>
      </c>
      <c r="J134" t="str">
        <f>TRIM(Table1[[#This Row],[Remove Question Mark "?"]])</f>
        <v>Frognal Parade</v>
      </c>
      <c r="K134" t="str">
        <f>PROPER(Table1[[#This Row],[Leading, Multiple &amp; Trailing spaces]])</f>
        <v>Frognal Parade</v>
      </c>
      <c r="L134" t="str">
        <f t="shared" si="2"/>
        <v>Frognal Parade</v>
      </c>
      <c r="M134" t="s">
        <v>806</v>
      </c>
    </row>
    <row r="135" spans="1:13" x14ac:dyDescent="0.3">
      <c r="A135">
        <v>132</v>
      </c>
      <c r="B135" t="s">
        <v>807</v>
      </c>
      <c r="C135" t="s">
        <v>808</v>
      </c>
      <c r="D135" t="s">
        <v>18</v>
      </c>
      <c r="E135" t="s">
        <v>809</v>
      </c>
      <c r="F135" t="s">
        <v>612</v>
      </c>
      <c r="G135" t="str">
        <f xml:space="preserve"> PROPER(_xlfn.CONCAT(Table1[[#This Row],[Title]]," ",Table1[[#This Row],[First Name]]," ",Table1[[#This Row],[Last Name]]))</f>
        <v>Miss Antonette Thurman</v>
      </c>
      <c r="H135" t="str">
        <f>SUBSTITUTE(Table1[[#This Row],[Street]],"Road"," Road")</f>
        <v>Fairholt Street</v>
      </c>
      <c r="I135" t="str">
        <f>SUBSTITUTE(Table1[[#This Row],[Separate combined words ]],"?","")</f>
        <v>Fairholt Street</v>
      </c>
      <c r="J135" t="str">
        <f>TRIM(Table1[[#This Row],[Remove Question Mark "?"]])</f>
        <v>Fairholt Street</v>
      </c>
      <c r="K135" t="str">
        <f>PROPER(Table1[[#This Row],[Leading, Multiple &amp; Trailing spaces]])</f>
        <v>Fairholt Street</v>
      </c>
      <c r="L135" t="str">
        <f t="shared" si="2"/>
        <v>Fairholt Street</v>
      </c>
      <c r="M135" t="s">
        <v>809</v>
      </c>
    </row>
    <row r="136" spans="1:13" x14ac:dyDescent="0.3">
      <c r="A136">
        <v>133</v>
      </c>
      <c r="B136" t="s">
        <v>810</v>
      </c>
      <c r="C136" t="s">
        <v>811</v>
      </c>
      <c r="D136" t="s">
        <v>318</v>
      </c>
      <c r="E136" t="s">
        <v>812</v>
      </c>
      <c r="F136" t="s">
        <v>148</v>
      </c>
      <c r="G136" t="str">
        <f xml:space="preserve"> PROPER(_xlfn.CONCAT(Table1[[#This Row],[Title]]," ",Table1[[#This Row],[First Name]]," ",Table1[[#This Row],[Last Name]]))</f>
        <v>Dr Kevin Acevedo</v>
      </c>
      <c r="H136" t="str">
        <f>SUBSTITUTE(Table1[[#This Row],[Street]],"Road"," Road")</f>
        <v>Haymarket Arcade</v>
      </c>
      <c r="I136" t="str">
        <f>SUBSTITUTE(Table1[[#This Row],[Separate combined words ]],"?","")</f>
        <v>Haymarket Arcade</v>
      </c>
      <c r="J136" t="str">
        <f>TRIM(Table1[[#This Row],[Remove Question Mark "?"]])</f>
        <v>Haymarket Arcade</v>
      </c>
      <c r="K136" t="str">
        <f>PROPER(Table1[[#This Row],[Leading, Multiple &amp; Trailing spaces]])</f>
        <v>Haymarket Arcade</v>
      </c>
      <c r="L136" t="str">
        <f t="shared" si="2"/>
        <v>Haymarket Arcade</v>
      </c>
      <c r="M136" t="s">
        <v>812</v>
      </c>
    </row>
    <row r="137" spans="1:13" x14ac:dyDescent="0.3">
      <c r="A137">
        <v>134</v>
      </c>
      <c r="B137" t="s">
        <v>813</v>
      </c>
      <c r="C137" t="s">
        <v>814</v>
      </c>
      <c r="D137" t="s">
        <v>18</v>
      </c>
      <c r="E137" t="s">
        <v>815</v>
      </c>
      <c r="F137" t="s">
        <v>289</v>
      </c>
      <c r="G137" t="str">
        <f xml:space="preserve"> PROPER(_xlfn.CONCAT(Table1[[#This Row],[Title]]," ",Table1[[#This Row],[First Name]]," ",Table1[[#This Row],[Last Name]]))</f>
        <v>Miss Lyn Platt</v>
      </c>
      <c r="H137" t="str">
        <f>SUBSTITUTE(Table1[[#This Row],[Street]],"Road"," Road")</f>
        <v>Great Arthur</v>
      </c>
      <c r="I137" t="str">
        <f>SUBSTITUTE(Table1[[#This Row],[Separate combined words ]],"?","")</f>
        <v>Great Arthur</v>
      </c>
      <c r="J137" t="str">
        <f>TRIM(Table1[[#This Row],[Remove Question Mark "?"]])</f>
        <v>Great Arthur</v>
      </c>
      <c r="K137" t="str">
        <f>PROPER(Table1[[#This Row],[Leading, Multiple &amp; Trailing spaces]])</f>
        <v>Great Arthur</v>
      </c>
      <c r="L137" t="str">
        <f t="shared" si="2"/>
        <v>Great Arthur</v>
      </c>
      <c r="M137" t="s">
        <v>815</v>
      </c>
    </row>
    <row r="138" spans="1:13" x14ac:dyDescent="0.3">
      <c r="A138">
        <v>135</v>
      </c>
      <c r="B138" t="s">
        <v>816</v>
      </c>
      <c r="C138" t="s">
        <v>817</v>
      </c>
      <c r="D138" t="s">
        <v>18</v>
      </c>
      <c r="E138" t="s">
        <v>818</v>
      </c>
      <c r="F138" t="s">
        <v>819</v>
      </c>
      <c r="G138" t="str">
        <f xml:space="preserve"> PROPER(_xlfn.CONCAT(Table1[[#This Row],[Title]]," ",Table1[[#This Row],[First Name]]," ",Table1[[#This Row],[Last Name]]))</f>
        <v>Miss Tandy Lanier</v>
      </c>
      <c r="H138" t="str">
        <f>SUBSTITUTE(Table1[[#This Row],[Street]],"Road"," Road")</f>
        <v>Hope Town</v>
      </c>
      <c r="I138" t="str">
        <f>SUBSTITUTE(Table1[[#This Row],[Separate combined words ]],"?","")</f>
        <v>Hope Town</v>
      </c>
      <c r="J138" t="str">
        <f>TRIM(Table1[[#This Row],[Remove Question Mark "?"]])</f>
        <v>Hope Town</v>
      </c>
      <c r="K138" t="str">
        <f>PROPER(Table1[[#This Row],[Leading, Multiple &amp; Trailing spaces]])</f>
        <v>Hope Town</v>
      </c>
      <c r="L138" t="str">
        <f t="shared" si="2"/>
        <v>Hope Town</v>
      </c>
      <c r="M138" t="s">
        <v>818</v>
      </c>
    </row>
    <row r="139" spans="1:13" x14ac:dyDescent="0.3">
      <c r="A139">
        <v>136</v>
      </c>
      <c r="B139" t="s">
        <v>820</v>
      </c>
      <c r="C139" t="s">
        <v>821</v>
      </c>
      <c r="D139" t="s">
        <v>18</v>
      </c>
      <c r="E139" t="s">
        <v>822</v>
      </c>
      <c r="F139" t="s">
        <v>476</v>
      </c>
      <c r="G139" t="str">
        <f xml:space="preserve"> PROPER(_xlfn.CONCAT(Table1[[#This Row],[Title]]," ",Table1[[#This Row],[First Name]]," ",Table1[[#This Row],[Last Name]]))</f>
        <v>Miss Silvana Crowe</v>
      </c>
      <c r="H139" t="str">
        <f>SUBSTITUTE(Table1[[#This Row],[Street]],"Road"," Road")</f>
        <v>Holden Avenue</v>
      </c>
      <c r="I139" t="str">
        <f>SUBSTITUTE(Table1[[#This Row],[Separate combined words ]],"?","")</f>
        <v>Holden Avenue</v>
      </c>
      <c r="J139" t="str">
        <f>TRIM(Table1[[#This Row],[Remove Question Mark "?"]])</f>
        <v>Holden Avenue</v>
      </c>
      <c r="K139" t="str">
        <f>PROPER(Table1[[#This Row],[Leading, Multiple &amp; Trailing spaces]])</f>
        <v>Holden Avenue</v>
      </c>
      <c r="L139" t="str">
        <f t="shared" si="2"/>
        <v>Holden Avenue</v>
      </c>
      <c r="M139" t="s">
        <v>822</v>
      </c>
    </row>
    <row r="140" spans="1:13" x14ac:dyDescent="0.3">
      <c r="A140">
        <v>137</v>
      </c>
      <c r="B140" t="s">
        <v>497</v>
      </c>
      <c r="C140" t="s">
        <v>823</v>
      </c>
      <c r="D140" t="s">
        <v>318</v>
      </c>
      <c r="E140" t="s">
        <v>824</v>
      </c>
      <c r="F140" t="s">
        <v>825</v>
      </c>
      <c r="G140" t="str">
        <f xml:space="preserve"> PROPER(_xlfn.CONCAT(Table1[[#This Row],[Title]]," ",Table1[[#This Row],[First Name]]," ",Table1[[#This Row],[Last Name]]))</f>
        <v>Dr Susie Lindsay</v>
      </c>
      <c r="H140" t="str">
        <f>SUBSTITUTE(Table1[[#This Row],[Street]],"Road"," Road")</f>
        <v>Smithfield see</v>
      </c>
      <c r="I140" t="str">
        <f>SUBSTITUTE(Table1[[#This Row],[Separate combined words ]],"?","")</f>
        <v>Smithfield see</v>
      </c>
      <c r="J140" t="str">
        <f>TRIM(Table1[[#This Row],[Remove Question Mark "?"]])</f>
        <v>Smithfield see</v>
      </c>
      <c r="K140" t="str">
        <f>PROPER(Table1[[#This Row],[Leading, Multiple &amp; Trailing spaces]])</f>
        <v>Smithfield See</v>
      </c>
      <c r="L140" t="str">
        <f t="shared" si="2"/>
        <v>Smithfield See</v>
      </c>
      <c r="M140" t="s">
        <v>3425</v>
      </c>
    </row>
    <row r="141" spans="1:13" x14ac:dyDescent="0.3">
      <c r="A141">
        <v>138</v>
      </c>
      <c r="B141" t="s">
        <v>826</v>
      </c>
      <c r="C141" t="s">
        <v>827</v>
      </c>
      <c r="D141" t="s">
        <v>7</v>
      </c>
      <c r="E141" t="s">
        <v>828</v>
      </c>
      <c r="F141" t="s">
        <v>829</v>
      </c>
      <c r="G141" t="str">
        <f xml:space="preserve"> PROPER(_xlfn.CONCAT(Table1[[#This Row],[Title]]," ",Table1[[#This Row],[First Name]]," ",Table1[[#This Row],[Last Name]]))</f>
        <v>Mrs Alta Boston</v>
      </c>
      <c r="H141" t="str">
        <f>SUBSTITUTE(Table1[[#This Row],[Street]],"Road"," Road")</f>
        <v>Epworth Street</v>
      </c>
      <c r="I141" t="str">
        <f>SUBSTITUTE(Table1[[#This Row],[Separate combined words ]],"?","")</f>
        <v>Epworth Street</v>
      </c>
      <c r="J141" t="str">
        <f>TRIM(Table1[[#This Row],[Remove Question Mark "?"]])</f>
        <v>Epworth Street</v>
      </c>
      <c r="K141" t="str">
        <f>PROPER(Table1[[#This Row],[Leading, Multiple &amp; Trailing spaces]])</f>
        <v>Epworth Street</v>
      </c>
      <c r="L141" t="str">
        <f t="shared" si="2"/>
        <v>Epworth Street</v>
      </c>
      <c r="M141" t="s">
        <v>828</v>
      </c>
    </row>
    <row r="142" spans="1:13" x14ac:dyDescent="0.3">
      <c r="A142">
        <v>139</v>
      </c>
      <c r="B142" t="s">
        <v>830</v>
      </c>
      <c r="C142" t="s">
        <v>831</v>
      </c>
      <c r="D142" t="s">
        <v>18</v>
      </c>
      <c r="E142" t="s">
        <v>832</v>
      </c>
      <c r="F142" t="s">
        <v>152</v>
      </c>
      <c r="G142" t="str">
        <f xml:space="preserve"> PROPER(_xlfn.CONCAT(Table1[[#This Row],[Title]]," ",Table1[[#This Row],[First Name]]," ",Table1[[#This Row],[Last Name]]))</f>
        <v>Miss Eneida Lindsey</v>
      </c>
      <c r="H142" t="str">
        <f>SUBSTITUTE(Table1[[#This Row],[Street]],"Road"," Road")</f>
        <v>Arundel Gardens</v>
      </c>
      <c r="I142" t="str">
        <f>SUBSTITUTE(Table1[[#This Row],[Separate combined words ]],"?","")</f>
        <v>Arundel Gardens</v>
      </c>
      <c r="J142" t="str">
        <f>TRIM(Table1[[#This Row],[Remove Question Mark "?"]])</f>
        <v>Arundel Gardens</v>
      </c>
      <c r="K142" t="str">
        <f>PROPER(Table1[[#This Row],[Leading, Multiple &amp; Trailing spaces]])</f>
        <v>Arundel Gardens</v>
      </c>
      <c r="L142" t="str">
        <f t="shared" si="2"/>
        <v>Arundel Gardens</v>
      </c>
      <c r="M142" t="s">
        <v>832</v>
      </c>
    </row>
    <row r="143" spans="1:13" x14ac:dyDescent="0.3">
      <c r="A143">
        <v>140</v>
      </c>
      <c r="B143" t="s">
        <v>833</v>
      </c>
      <c r="C143" t="s">
        <v>834</v>
      </c>
      <c r="D143" t="s">
        <v>71</v>
      </c>
      <c r="E143" t="s">
        <v>835</v>
      </c>
      <c r="F143" t="s">
        <v>238</v>
      </c>
      <c r="G143" t="str">
        <f xml:space="preserve"> PROPER(_xlfn.CONCAT(Table1[[#This Row],[Title]]," ",Table1[[#This Row],[First Name]]," ",Table1[[#This Row],[Last Name]]))</f>
        <v>Ms Millicent Grimes</v>
      </c>
      <c r="H143" t="str">
        <f>SUBSTITUTE(Table1[[#This Row],[Street]],"Road"," Road")</f>
        <v>Milton Park</v>
      </c>
      <c r="I143" t="str">
        <f>SUBSTITUTE(Table1[[#This Row],[Separate combined words ]],"?","")</f>
        <v>Milton Park</v>
      </c>
      <c r="J143" t="str">
        <f>TRIM(Table1[[#This Row],[Remove Question Mark "?"]])</f>
        <v>Milton Park</v>
      </c>
      <c r="K143" t="str">
        <f>PROPER(Table1[[#This Row],[Leading, Multiple &amp; Trailing spaces]])</f>
        <v>Milton Park</v>
      </c>
      <c r="L143" t="str">
        <f t="shared" si="2"/>
        <v>Milton Park</v>
      </c>
      <c r="M143" t="s">
        <v>835</v>
      </c>
    </row>
    <row r="144" spans="1:13" x14ac:dyDescent="0.3">
      <c r="A144">
        <v>141</v>
      </c>
      <c r="B144" t="s">
        <v>836</v>
      </c>
      <c r="C144" t="s">
        <v>140</v>
      </c>
      <c r="D144" t="s">
        <v>18</v>
      </c>
      <c r="E144" t="s">
        <v>837</v>
      </c>
      <c r="F144" t="s">
        <v>838</v>
      </c>
      <c r="G144" t="str">
        <f xml:space="preserve"> PROPER(_xlfn.CONCAT(Table1[[#This Row],[Title]]," ",Table1[[#This Row],[First Name]]," ",Table1[[#This Row],[Last Name]]))</f>
        <v>Miss Concepcion Meza</v>
      </c>
      <c r="H144" t="str">
        <f>SUBSTITUTE(Table1[[#This Row],[Street]],"Road"," Road")</f>
        <v>Alderville  Road</v>
      </c>
      <c r="I144" t="str">
        <f>SUBSTITUTE(Table1[[#This Row],[Separate combined words ]],"?","")</f>
        <v>Alderville  Road</v>
      </c>
      <c r="J144" t="str">
        <f>TRIM(Table1[[#This Row],[Remove Question Mark "?"]])</f>
        <v>Alderville Road</v>
      </c>
      <c r="K144" t="str">
        <f>PROPER(Table1[[#This Row],[Leading, Multiple &amp; Trailing spaces]])</f>
        <v>Alderville Road</v>
      </c>
      <c r="L144" t="str">
        <f t="shared" si="2"/>
        <v>Alderville Road</v>
      </c>
      <c r="M144" t="s">
        <v>837</v>
      </c>
    </row>
    <row r="145" spans="1:13" x14ac:dyDescent="0.3">
      <c r="A145">
        <v>142</v>
      </c>
      <c r="B145" t="s">
        <v>839</v>
      </c>
      <c r="C145" t="s">
        <v>528</v>
      </c>
      <c r="D145" t="s">
        <v>7</v>
      </c>
      <c r="E145" t="s">
        <v>840</v>
      </c>
      <c r="F145" t="s">
        <v>841</v>
      </c>
      <c r="G145" t="str">
        <f xml:space="preserve"> PROPER(_xlfn.CONCAT(Table1[[#This Row],[Title]]," ",Table1[[#This Row],[First Name]]," ",Table1[[#This Row],[Last Name]]))</f>
        <v>Mrs Starla West</v>
      </c>
      <c r="H145" t="str">
        <f>SUBSTITUTE(Table1[[#This Row],[Street]],"Road"," Road")</f>
        <v>Cathcart  Road</v>
      </c>
      <c r="I145" t="str">
        <f>SUBSTITUTE(Table1[[#This Row],[Separate combined words ]],"?","")</f>
        <v>Cathcart  Road</v>
      </c>
      <c r="J145" t="str">
        <f>TRIM(Table1[[#This Row],[Remove Question Mark "?"]])</f>
        <v>Cathcart Road</v>
      </c>
      <c r="K145" t="str">
        <f>PROPER(Table1[[#This Row],[Leading, Multiple &amp; Trailing spaces]])</f>
        <v>Cathcart Road</v>
      </c>
      <c r="L145" t="str">
        <f t="shared" si="2"/>
        <v>Cathcart Road</v>
      </c>
      <c r="M145" t="s">
        <v>840</v>
      </c>
    </row>
    <row r="146" spans="1:13" x14ac:dyDescent="0.3">
      <c r="A146">
        <v>143</v>
      </c>
      <c r="B146" t="s">
        <v>842</v>
      </c>
      <c r="C146" t="s">
        <v>549</v>
      </c>
      <c r="D146" t="s">
        <v>18</v>
      </c>
      <c r="E146" t="s">
        <v>843</v>
      </c>
      <c r="F146" t="s">
        <v>844</v>
      </c>
      <c r="G146" t="str">
        <f xml:space="preserve"> PROPER(_xlfn.CONCAT(Table1[[#This Row],[Title]]," ",Table1[[#This Row],[First Name]]," ",Table1[[#This Row],[Last Name]]))</f>
        <v>Miss Kasie Howell</v>
      </c>
      <c r="H146" t="str">
        <f>SUBSTITUTE(Table1[[#This Row],[Street]],"Road"," Road")</f>
        <v>Hallam Mews</v>
      </c>
      <c r="I146" t="str">
        <f>SUBSTITUTE(Table1[[#This Row],[Separate combined words ]],"?","")</f>
        <v>Hallam Mews</v>
      </c>
      <c r="J146" t="str">
        <f>TRIM(Table1[[#This Row],[Remove Question Mark "?"]])</f>
        <v>Hallam Mews</v>
      </c>
      <c r="K146" t="str">
        <f>PROPER(Table1[[#This Row],[Leading, Multiple &amp; Trailing spaces]])</f>
        <v>Hallam Mews</v>
      </c>
      <c r="L146" t="str">
        <f t="shared" si="2"/>
        <v>Hallam Mews</v>
      </c>
      <c r="M146" t="s">
        <v>843</v>
      </c>
    </row>
    <row r="147" spans="1:13" x14ac:dyDescent="0.3">
      <c r="A147">
        <v>144</v>
      </c>
      <c r="B147" t="s">
        <v>417</v>
      </c>
      <c r="C147" t="s">
        <v>845</v>
      </c>
      <c r="D147" t="s">
        <v>71</v>
      </c>
      <c r="E147" t="s">
        <v>846</v>
      </c>
      <c r="F147" t="s">
        <v>550</v>
      </c>
      <c r="G147" t="str">
        <f xml:space="preserve"> PROPER(_xlfn.CONCAT(Table1[[#This Row],[Title]]," ",Table1[[#This Row],[First Name]]," ",Table1[[#This Row],[Last Name]]))</f>
        <v>Ms Herta Cole</v>
      </c>
      <c r="H147" t="str">
        <f>SUBSTITUTE(Table1[[#This Row],[Street]],"Road"," Road")</f>
        <v>Hoskins Close</v>
      </c>
      <c r="I147" t="str">
        <f>SUBSTITUTE(Table1[[#This Row],[Separate combined words ]],"?","")</f>
        <v>Hoskins Close</v>
      </c>
      <c r="J147" t="str">
        <f>TRIM(Table1[[#This Row],[Remove Question Mark "?"]])</f>
        <v>Hoskins Close</v>
      </c>
      <c r="K147" t="str">
        <f>PROPER(Table1[[#This Row],[Leading, Multiple &amp; Trailing spaces]])</f>
        <v>Hoskins Close</v>
      </c>
      <c r="L147" t="str">
        <f t="shared" si="2"/>
        <v>Hoskins Close</v>
      </c>
      <c r="M147" t="s">
        <v>846</v>
      </c>
    </row>
    <row r="148" spans="1:13" x14ac:dyDescent="0.3">
      <c r="A148">
        <v>145</v>
      </c>
      <c r="B148" t="s">
        <v>847</v>
      </c>
      <c r="C148" t="s">
        <v>848</v>
      </c>
      <c r="D148" t="s">
        <v>18</v>
      </c>
      <c r="E148" t="s">
        <v>849</v>
      </c>
      <c r="F148" t="s">
        <v>850</v>
      </c>
      <c r="G148" t="str">
        <f xml:space="preserve"> PROPER(_xlfn.CONCAT(Table1[[#This Row],[Title]]," ",Table1[[#This Row],[First Name]]," ",Table1[[#This Row],[Last Name]]))</f>
        <v>Miss Yun Braun</v>
      </c>
      <c r="H148" t="str">
        <f>SUBSTITUTE(Table1[[#This Row],[Street]],"Road"," Road")</f>
        <v>Fitzroy Court</v>
      </c>
      <c r="I148" t="str">
        <f>SUBSTITUTE(Table1[[#This Row],[Separate combined words ]],"?","")</f>
        <v>Fitzroy Court</v>
      </c>
      <c r="J148" t="str">
        <f>TRIM(Table1[[#This Row],[Remove Question Mark "?"]])</f>
        <v>Fitzroy Court</v>
      </c>
      <c r="K148" t="str">
        <f>PROPER(Table1[[#This Row],[Leading, Multiple &amp; Trailing spaces]])</f>
        <v>Fitzroy Court</v>
      </c>
      <c r="L148" t="str">
        <f t="shared" si="2"/>
        <v>Fitzroy Court</v>
      </c>
      <c r="M148" t="s">
        <v>849</v>
      </c>
    </row>
    <row r="149" spans="1:13" x14ac:dyDescent="0.3">
      <c r="A149">
        <v>146</v>
      </c>
      <c r="B149" t="s">
        <v>851</v>
      </c>
      <c r="C149" t="s">
        <v>852</v>
      </c>
      <c r="D149" t="s">
        <v>18</v>
      </c>
      <c r="E149" t="s">
        <v>853</v>
      </c>
      <c r="F149" t="s">
        <v>568</v>
      </c>
      <c r="G149" t="str">
        <f xml:space="preserve"> PROPER(_xlfn.CONCAT(Table1[[#This Row],[Title]]," ",Table1[[#This Row],[First Name]]," ",Table1[[#This Row],[Last Name]]))</f>
        <v>Miss Manuela Caudill</v>
      </c>
      <c r="H149" t="str">
        <f>SUBSTITUTE(Table1[[#This Row],[Street]],"Road"," Road")</f>
        <v>Langdale Villas</v>
      </c>
      <c r="I149" t="str">
        <f>SUBSTITUTE(Table1[[#This Row],[Separate combined words ]],"?","")</f>
        <v>Langdale Villas</v>
      </c>
      <c r="J149" t="str">
        <f>TRIM(Table1[[#This Row],[Remove Question Mark "?"]])</f>
        <v>Langdale Villas</v>
      </c>
      <c r="K149" t="str">
        <f>PROPER(Table1[[#This Row],[Leading, Multiple &amp; Trailing spaces]])</f>
        <v>Langdale Villas</v>
      </c>
      <c r="L149" t="str">
        <f t="shared" si="2"/>
        <v>Langdale Villas</v>
      </c>
      <c r="M149" t="s">
        <v>853</v>
      </c>
    </row>
    <row r="150" spans="1:13" x14ac:dyDescent="0.3">
      <c r="A150">
        <v>147</v>
      </c>
      <c r="B150" t="s">
        <v>854</v>
      </c>
      <c r="C150" t="s">
        <v>702</v>
      </c>
      <c r="D150" t="s">
        <v>7</v>
      </c>
      <c r="E150" t="s">
        <v>855</v>
      </c>
      <c r="F150" t="s">
        <v>856</v>
      </c>
      <c r="G150" t="str">
        <f xml:space="preserve"> PROPER(_xlfn.CONCAT(Table1[[#This Row],[Title]]," ",Table1[[#This Row],[First Name]]," ",Table1[[#This Row],[Last Name]]))</f>
        <v>Mrs Lina Lyons</v>
      </c>
      <c r="H150" t="str">
        <f>SUBSTITUTE(Table1[[#This Row],[Street]],"Road"," Road")</f>
        <v>Devonshire Hill</v>
      </c>
      <c r="I150" t="str">
        <f>SUBSTITUTE(Table1[[#This Row],[Separate combined words ]],"?","")</f>
        <v>Devonshire Hill</v>
      </c>
      <c r="J150" t="str">
        <f>TRIM(Table1[[#This Row],[Remove Question Mark "?"]])</f>
        <v>Devonshire Hill</v>
      </c>
      <c r="K150" t="str">
        <f>PROPER(Table1[[#This Row],[Leading, Multiple &amp; Trailing spaces]])</f>
        <v>Devonshire Hill</v>
      </c>
      <c r="L150" t="str">
        <f t="shared" si="2"/>
        <v>Devonshire Hill</v>
      </c>
      <c r="M150" t="s">
        <v>855</v>
      </c>
    </row>
    <row r="151" spans="1:13" x14ac:dyDescent="0.3">
      <c r="A151">
        <v>148</v>
      </c>
      <c r="B151" t="s">
        <v>857</v>
      </c>
      <c r="C151" t="s">
        <v>858</v>
      </c>
      <c r="D151" t="s">
        <v>7</v>
      </c>
      <c r="E151" t="s">
        <v>859</v>
      </c>
      <c r="F151" t="s">
        <v>860</v>
      </c>
      <c r="G151" t="str">
        <f xml:space="preserve"> PROPER(_xlfn.CONCAT(Table1[[#This Row],[Title]]," ",Table1[[#This Row],[First Name]]," ",Table1[[#This Row],[Last Name]]))</f>
        <v>Mrs Davida Bingham</v>
      </c>
      <c r="H151" t="str">
        <f>SUBSTITUTE(Table1[[#This Row],[Street]],"Road"," Road")</f>
        <v>Terrace  Road</v>
      </c>
      <c r="I151" t="str">
        <f>SUBSTITUTE(Table1[[#This Row],[Separate combined words ]],"?","")</f>
        <v>Terrace  Road</v>
      </c>
      <c r="J151" t="str">
        <f>TRIM(Table1[[#This Row],[Remove Question Mark "?"]])</f>
        <v>Terrace Road</v>
      </c>
      <c r="K151" t="str">
        <f>PROPER(Table1[[#This Row],[Leading, Multiple &amp; Trailing spaces]])</f>
        <v>Terrace Road</v>
      </c>
      <c r="L151" t="str">
        <f t="shared" si="2"/>
        <v>Terrace Road</v>
      </c>
      <c r="M151" t="s">
        <v>859</v>
      </c>
    </row>
    <row r="152" spans="1:13" x14ac:dyDescent="0.3">
      <c r="A152">
        <v>149</v>
      </c>
      <c r="B152" t="s">
        <v>861</v>
      </c>
      <c r="C152" t="s">
        <v>862</v>
      </c>
      <c r="D152" t="s">
        <v>18</v>
      </c>
      <c r="E152" t="s">
        <v>863</v>
      </c>
      <c r="F152" t="s">
        <v>864</v>
      </c>
      <c r="G152" t="str">
        <f xml:space="preserve"> PROPER(_xlfn.CONCAT(Table1[[#This Row],[Title]]," ",Table1[[#This Row],[First Name]]," ",Table1[[#This Row],[Last Name]]))</f>
        <v>Miss Lenita Alfaro</v>
      </c>
      <c r="H152" t="str">
        <f>SUBSTITUTE(Table1[[#This Row],[Street]],"Road"," Road")</f>
        <v>Clewer Court</v>
      </c>
      <c r="I152" t="str">
        <f>SUBSTITUTE(Table1[[#This Row],[Separate combined words ]],"?","")</f>
        <v>Clewer Court</v>
      </c>
      <c r="J152" t="str">
        <f>TRIM(Table1[[#This Row],[Remove Question Mark "?"]])</f>
        <v>Clewer Court</v>
      </c>
      <c r="K152" t="str">
        <f>PROPER(Table1[[#This Row],[Leading, Multiple &amp; Trailing spaces]])</f>
        <v>Clewer Court</v>
      </c>
      <c r="L152" t="str">
        <f t="shared" si="2"/>
        <v>Clewer Court</v>
      </c>
      <c r="M152" t="s">
        <v>863</v>
      </c>
    </row>
    <row r="153" spans="1:13" x14ac:dyDescent="0.3">
      <c r="A153">
        <v>150</v>
      </c>
      <c r="B153" t="s">
        <v>865</v>
      </c>
      <c r="C153" t="s">
        <v>866</v>
      </c>
      <c r="D153" t="s">
        <v>7</v>
      </c>
      <c r="E153" t="s">
        <v>867</v>
      </c>
      <c r="F153" t="s">
        <v>868</v>
      </c>
      <c r="G153" t="str">
        <f xml:space="preserve"> PROPER(_xlfn.CONCAT(Table1[[#This Row],[Title]]," ",Table1[[#This Row],[First Name]]," ",Table1[[#This Row],[Last Name]]))</f>
        <v>Mrs Margarite Jennings</v>
      </c>
      <c r="H153" t="str">
        <f>SUBSTITUTE(Table1[[#This Row],[Street]],"Road"," Road")</f>
        <v>Turrett Grove</v>
      </c>
      <c r="I153" t="str">
        <f>SUBSTITUTE(Table1[[#This Row],[Separate combined words ]],"?","")</f>
        <v>Turrett Grove</v>
      </c>
      <c r="J153" t="str">
        <f>TRIM(Table1[[#This Row],[Remove Question Mark "?"]])</f>
        <v>Turrett Grove</v>
      </c>
      <c r="K153" t="str">
        <f>PROPER(Table1[[#This Row],[Leading, Multiple &amp; Trailing spaces]])</f>
        <v>Turrett Grove</v>
      </c>
      <c r="L153" t="str">
        <f t="shared" si="2"/>
        <v>Turrett Grove</v>
      </c>
      <c r="M153" t="s">
        <v>867</v>
      </c>
    </row>
    <row r="154" spans="1:13" x14ac:dyDescent="0.3">
      <c r="A154">
        <v>151</v>
      </c>
      <c r="B154" t="s">
        <v>869</v>
      </c>
      <c r="C154" t="s">
        <v>870</v>
      </c>
      <c r="D154" t="s">
        <v>7</v>
      </c>
      <c r="E154" t="s">
        <v>529</v>
      </c>
      <c r="F154" t="s">
        <v>871</v>
      </c>
      <c r="G154" t="str">
        <f xml:space="preserve"> PROPER(_xlfn.CONCAT(Table1[[#This Row],[Title]]," ",Table1[[#This Row],[First Name]]," ",Table1[[#This Row],[Last Name]]))</f>
        <v>Mrs Ngan Neff</v>
      </c>
      <c r="H154" t="str">
        <f>SUBSTITUTE(Table1[[#This Row],[Street]],"Road"," Road")</f>
        <v>Bowmans Place</v>
      </c>
      <c r="I154" t="str">
        <f>SUBSTITUTE(Table1[[#This Row],[Separate combined words ]],"?","")</f>
        <v>Bowmans Place</v>
      </c>
      <c r="J154" t="str">
        <f>TRIM(Table1[[#This Row],[Remove Question Mark "?"]])</f>
        <v>Bowmans Place</v>
      </c>
      <c r="K154" t="str">
        <f>PROPER(Table1[[#This Row],[Leading, Multiple &amp; Trailing spaces]])</f>
        <v>Bowmans Place</v>
      </c>
      <c r="L154" t="str">
        <f t="shared" si="2"/>
        <v>Bowmans Place</v>
      </c>
      <c r="M154" t="s">
        <v>529</v>
      </c>
    </row>
    <row r="155" spans="1:13" x14ac:dyDescent="0.3">
      <c r="A155">
        <v>152</v>
      </c>
      <c r="B155" t="s">
        <v>872</v>
      </c>
      <c r="C155" t="s">
        <v>873</v>
      </c>
      <c r="D155" t="s">
        <v>18</v>
      </c>
      <c r="E155" t="s">
        <v>874</v>
      </c>
      <c r="F155" t="s">
        <v>666</v>
      </c>
      <c r="G155" t="str">
        <f xml:space="preserve"> PROPER(_xlfn.CONCAT(Table1[[#This Row],[Title]]," ",Table1[[#This Row],[First Name]]," ",Table1[[#This Row],[Last Name]]))</f>
        <v>Miss Mei Kramer</v>
      </c>
      <c r="H155" t="str">
        <f>SUBSTITUTE(Table1[[#This Row],[Street]],"Road"," Road")</f>
        <v>Ground Street</v>
      </c>
      <c r="I155" t="str">
        <f>SUBSTITUTE(Table1[[#This Row],[Separate combined words ]],"?","")</f>
        <v>Ground Street</v>
      </c>
      <c r="J155" t="str">
        <f>TRIM(Table1[[#This Row],[Remove Question Mark "?"]])</f>
        <v>Ground Street</v>
      </c>
      <c r="K155" t="str">
        <f>PROPER(Table1[[#This Row],[Leading, Multiple &amp; Trailing spaces]])</f>
        <v>Ground Street</v>
      </c>
      <c r="L155" t="str">
        <f t="shared" si="2"/>
        <v>Ground Street</v>
      </c>
      <c r="M155" t="s">
        <v>874</v>
      </c>
    </row>
    <row r="156" spans="1:13" x14ac:dyDescent="0.3">
      <c r="A156">
        <v>153</v>
      </c>
      <c r="B156" t="s">
        <v>875</v>
      </c>
      <c r="C156" t="s">
        <v>876</v>
      </c>
      <c r="D156" t="s">
        <v>18</v>
      </c>
      <c r="E156" t="s">
        <v>877</v>
      </c>
      <c r="F156" t="s">
        <v>878</v>
      </c>
      <c r="G156" t="str">
        <f xml:space="preserve"> PROPER(_xlfn.CONCAT(Table1[[#This Row],[Title]]," ",Table1[[#This Row],[First Name]]," ",Table1[[#This Row],[Last Name]]))</f>
        <v>Miss Luba Robertson</v>
      </c>
      <c r="H156" t="str">
        <f>SUBSTITUTE(Table1[[#This Row],[Street]],"Road"," Road")</f>
        <v>Madinah  Road</v>
      </c>
      <c r="I156" t="str">
        <f>SUBSTITUTE(Table1[[#This Row],[Separate combined words ]],"?","")</f>
        <v>Madinah  Road</v>
      </c>
      <c r="J156" t="str">
        <f>TRIM(Table1[[#This Row],[Remove Question Mark "?"]])</f>
        <v>Madinah Road</v>
      </c>
      <c r="K156" t="str">
        <f>PROPER(Table1[[#This Row],[Leading, Multiple &amp; Trailing spaces]])</f>
        <v>Madinah Road</v>
      </c>
      <c r="L156" t="str">
        <f t="shared" si="2"/>
        <v>Madinah Road</v>
      </c>
      <c r="M156" t="s">
        <v>877</v>
      </c>
    </row>
    <row r="157" spans="1:13" x14ac:dyDescent="0.3">
      <c r="A157">
        <v>154</v>
      </c>
      <c r="B157" t="s">
        <v>879</v>
      </c>
      <c r="C157" t="s">
        <v>880</v>
      </c>
      <c r="D157" t="s">
        <v>7</v>
      </c>
      <c r="E157" t="s">
        <v>881</v>
      </c>
      <c r="F157" t="s">
        <v>882</v>
      </c>
      <c r="G157" t="str">
        <f xml:space="preserve"> PROPER(_xlfn.CONCAT(Table1[[#This Row],[Title]]," ",Table1[[#This Row],[First Name]]," ",Table1[[#This Row],[Last Name]]))</f>
        <v>Mrs Valentine Cochran</v>
      </c>
      <c r="H157" t="str">
        <f>SUBSTITUTE(Table1[[#This Row],[Street]],"Road"," Road")</f>
        <v>Emerson Place</v>
      </c>
      <c r="I157" t="str">
        <f>SUBSTITUTE(Table1[[#This Row],[Separate combined words ]],"?","")</f>
        <v>Emerson Place</v>
      </c>
      <c r="J157" t="str">
        <f>TRIM(Table1[[#This Row],[Remove Question Mark "?"]])</f>
        <v>Emerson Place</v>
      </c>
      <c r="K157" t="str">
        <f>PROPER(Table1[[#This Row],[Leading, Multiple &amp; Trailing spaces]])</f>
        <v>Emerson Place</v>
      </c>
      <c r="L157" t="str">
        <f t="shared" si="2"/>
        <v>Emerson Place</v>
      </c>
      <c r="M157" t="s">
        <v>881</v>
      </c>
    </row>
    <row r="158" spans="1:13" x14ac:dyDescent="0.3">
      <c r="A158">
        <v>155</v>
      </c>
      <c r="B158" t="s">
        <v>883</v>
      </c>
      <c r="C158" t="s">
        <v>884</v>
      </c>
      <c r="D158" t="s">
        <v>7</v>
      </c>
      <c r="E158" t="s">
        <v>885</v>
      </c>
      <c r="F158" t="s">
        <v>886</v>
      </c>
      <c r="G158" t="str">
        <f xml:space="preserve"> PROPER(_xlfn.CONCAT(Table1[[#This Row],[Title]]," ",Table1[[#This Row],[First Name]]," ",Table1[[#This Row],[Last Name]]))</f>
        <v>Mrs Lonnie Malone</v>
      </c>
      <c r="H158" t="str">
        <f>SUBSTITUTE(Table1[[#This Row],[Street]],"Road"," Road")</f>
        <v>Ring  Road</v>
      </c>
      <c r="I158" t="str">
        <f>SUBSTITUTE(Table1[[#This Row],[Separate combined words ]],"?","")</f>
        <v>Ring  Road</v>
      </c>
      <c r="J158" t="str">
        <f>TRIM(Table1[[#This Row],[Remove Question Mark "?"]])</f>
        <v>Ring Road</v>
      </c>
      <c r="K158" t="str">
        <f>PROPER(Table1[[#This Row],[Leading, Multiple &amp; Trailing spaces]])</f>
        <v>Ring Road</v>
      </c>
      <c r="L158" t="str">
        <f t="shared" si="2"/>
        <v>Ring Road</v>
      </c>
      <c r="M158" t="s">
        <v>885</v>
      </c>
    </row>
    <row r="159" spans="1:13" x14ac:dyDescent="0.3">
      <c r="A159">
        <v>156</v>
      </c>
      <c r="B159" t="s">
        <v>887</v>
      </c>
      <c r="C159" t="s">
        <v>888</v>
      </c>
      <c r="D159" t="s">
        <v>18</v>
      </c>
      <c r="E159" t="s">
        <v>889</v>
      </c>
      <c r="F159" t="s">
        <v>890</v>
      </c>
      <c r="G159" t="str">
        <f xml:space="preserve"> PROPER(_xlfn.CONCAT(Table1[[#This Row],[Title]]," ",Table1[[#This Row],[First Name]]," ",Table1[[#This Row],[Last Name]]))</f>
        <v>Miss Deadra Trevino</v>
      </c>
      <c r="H159" t="str">
        <f>SUBSTITUTE(Table1[[#This Row],[Street]],"Road"," Road")</f>
        <v>Sparkes Cottages</v>
      </c>
      <c r="I159" t="str">
        <f>SUBSTITUTE(Table1[[#This Row],[Separate combined words ]],"?","")</f>
        <v>Sparkes Cottages</v>
      </c>
      <c r="J159" t="str">
        <f>TRIM(Table1[[#This Row],[Remove Question Mark "?"]])</f>
        <v>Sparkes Cottages</v>
      </c>
      <c r="K159" t="str">
        <f>PROPER(Table1[[#This Row],[Leading, Multiple &amp; Trailing spaces]])</f>
        <v>Sparkes Cottages</v>
      </c>
      <c r="L159" t="str">
        <f t="shared" si="2"/>
        <v>Sparkes Cottages</v>
      </c>
      <c r="M159" t="s">
        <v>889</v>
      </c>
    </row>
    <row r="160" spans="1:13" x14ac:dyDescent="0.3">
      <c r="A160">
        <v>157</v>
      </c>
      <c r="B160" t="s">
        <v>891</v>
      </c>
      <c r="C160" t="s">
        <v>892</v>
      </c>
      <c r="D160" t="s">
        <v>7</v>
      </c>
      <c r="E160" t="s">
        <v>893</v>
      </c>
      <c r="F160" t="s">
        <v>49</v>
      </c>
      <c r="G160" t="str">
        <f xml:space="preserve"> PROPER(_xlfn.CONCAT(Table1[[#This Row],[Title]]," ",Table1[[#This Row],[First Name]]," ",Table1[[#This Row],[Last Name]]))</f>
        <v>Mrs Joycelyn Hurst</v>
      </c>
      <c r="H160" t="str">
        <f>SUBSTITUTE(Table1[[#This Row],[Street]],"Road"," Road")</f>
        <v>Lakis Close</v>
      </c>
      <c r="I160" t="str">
        <f>SUBSTITUTE(Table1[[#This Row],[Separate combined words ]],"?","")</f>
        <v>Lakis Close</v>
      </c>
      <c r="J160" t="str">
        <f>TRIM(Table1[[#This Row],[Remove Question Mark "?"]])</f>
        <v>Lakis Close</v>
      </c>
      <c r="K160" t="str">
        <f>PROPER(Table1[[#This Row],[Leading, Multiple &amp; Trailing spaces]])</f>
        <v>Lakis Close</v>
      </c>
      <c r="L160" t="str">
        <f t="shared" si="2"/>
        <v>Lakis Close</v>
      </c>
      <c r="M160" t="s">
        <v>893</v>
      </c>
    </row>
    <row r="161" spans="1:13" x14ac:dyDescent="0.3">
      <c r="A161">
        <v>158</v>
      </c>
      <c r="B161" t="s">
        <v>894</v>
      </c>
      <c r="C161" t="s">
        <v>895</v>
      </c>
      <c r="D161" t="s">
        <v>7</v>
      </c>
      <c r="E161" t="s">
        <v>896</v>
      </c>
      <c r="F161" t="s">
        <v>897</v>
      </c>
      <c r="G161" t="str">
        <f xml:space="preserve"> PROPER(_xlfn.CONCAT(Table1[[#This Row],[Title]]," ",Table1[[#This Row],[First Name]]," ",Table1[[#This Row],[Last Name]]))</f>
        <v>Mrs Hui Marion</v>
      </c>
      <c r="H161" t="str">
        <f>SUBSTITUTE(Table1[[#This Row],[Street]],"Road"," Road")</f>
        <v>Oaklands</v>
      </c>
      <c r="I161" t="str">
        <f>SUBSTITUTE(Table1[[#This Row],[Separate combined words ]],"?","")</f>
        <v>Oaklands</v>
      </c>
      <c r="J161" t="str">
        <f>TRIM(Table1[[#This Row],[Remove Question Mark "?"]])</f>
        <v>Oaklands</v>
      </c>
      <c r="K161" t="str">
        <f>PROPER(Table1[[#This Row],[Leading, Multiple &amp; Trailing spaces]])</f>
        <v>Oaklands</v>
      </c>
      <c r="L161" t="str">
        <f t="shared" si="2"/>
        <v>Oaklands</v>
      </c>
      <c r="M161" t="s">
        <v>896</v>
      </c>
    </row>
    <row r="162" spans="1:13" x14ac:dyDescent="0.3">
      <c r="A162">
        <v>159</v>
      </c>
      <c r="B162" t="s">
        <v>898</v>
      </c>
      <c r="C162" t="s">
        <v>899</v>
      </c>
      <c r="D162" t="s">
        <v>18</v>
      </c>
      <c r="E162" t="s">
        <v>900</v>
      </c>
      <c r="F162" t="s">
        <v>148</v>
      </c>
      <c r="G162" t="str">
        <f xml:space="preserve"> PROPER(_xlfn.CONCAT(Table1[[#This Row],[Title]]," ",Table1[[#This Row],[First Name]]," ",Table1[[#This Row],[Last Name]]))</f>
        <v>Miss Armanda Hull</v>
      </c>
      <c r="H162" t="str">
        <f>SUBSTITUTE(Table1[[#This Row],[Street]],"Road"," Road")</f>
        <v>Tessa Sanderson</v>
      </c>
      <c r="I162" t="str">
        <f>SUBSTITUTE(Table1[[#This Row],[Separate combined words ]],"?","")</f>
        <v>Tessa Sanderson</v>
      </c>
      <c r="J162" t="str">
        <f>TRIM(Table1[[#This Row],[Remove Question Mark "?"]])</f>
        <v>Tessa Sanderson</v>
      </c>
      <c r="K162" t="str">
        <f>PROPER(Table1[[#This Row],[Leading, Multiple &amp; Trailing spaces]])</f>
        <v>Tessa Sanderson</v>
      </c>
      <c r="L162" t="str">
        <f t="shared" si="2"/>
        <v>Tessa Sanderson</v>
      </c>
      <c r="M162" t="s">
        <v>900</v>
      </c>
    </row>
    <row r="163" spans="1:13" x14ac:dyDescent="0.3">
      <c r="A163">
        <v>160</v>
      </c>
      <c r="B163" t="s">
        <v>901</v>
      </c>
      <c r="C163" t="s">
        <v>462</v>
      </c>
      <c r="D163" t="s">
        <v>71</v>
      </c>
      <c r="E163" t="s">
        <v>902</v>
      </c>
      <c r="F163" t="s">
        <v>903</v>
      </c>
      <c r="G163" t="str">
        <f xml:space="preserve"> PROPER(_xlfn.CONCAT(Table1[[#This Row],[Title]]," ",Table1[[#This Row],[First Name]]," ",Table1[[#This Row],[Last Name]]))</f>
        <v>Ms Lisette Bridges</v>
      </c>
      <c r="H163" t="str">
        <f>SUBSTITUTE(Table1[[#This Row],[Street]],"Road"," Road")</f>
        <v>Milstead Terrace</v>
      </c>
      <c r="I163" t="str">
        <f>SUBSTITUTE(Table1[[#This Row],[Separate combined words ]],"?","")</f>
        <v>Milstead Terrace</v>
      </c>
      <c r="J163" t="str">
        <f>TRIM(Table1[[#This Row],[Remove Question Mark "?"]])</f>
        <v>Milstead Terrace</v>
      </c>
      <c r="K163" t="str">
        <f>PROPER(Table1[[#This Row],[Leading, Multiple &amp; Trailing spaces]])</f>
        <v>Milstead Terrace</v>
      </c>
      <c r="L163" t="str">
        <f t="shared" si="2"/>
        <v>Milstead Terrace</v>
      </c>
      <c r="M163" t="s">
        <v>902</v>
      </c>
    </row>
    <row r="164" spans="1:13" x14ac:dyDescent="0.3">
      <c r="A164">
        <v>161</v>
      </c>
      <c r="B164" t="s">
        <v>904</v>
      </c>
      <c r="C164" t="s">
        <v>905</v>
      </c>
      <c r="D164" t="s">
        <v>71</v>
      </c>
      <c r="E164" t="s">
        <v>906</v>
      </c>
      <c r="F164" t="s">
        <v>907</v>
      </c>
      <c r="G164" t="str">
        <f xml:space="preserve"> PROPER(_xlfn.CONCAT(Table1[[#This Row],[Title]]," ",Table1[[#This Row],[First Name]]," ",Table1[[#This Row],[Last Name]]))</f>
        <v>Ms Jenae Mosley</v>
      </c>
      <c r="H164" t="str">
        <f>SUBSTITUTE(Table1[[#This Row],[Street]],"Road"," Road")</f>
        <v>Nursery Street</v>
      </c>
      <c r="I164" t="str">
        <f>SUBSTITUTE(Table1[[#This Row],[Separate combined words ]],"?","")</f>
        <v>Nursery Street</v>
      </c>
      <c r="J164" t="str">
        <f>TRIM(Table1[[#This Row],[Remove Question Mark "?"]])</f>
        <v>Nursery Street</v>
      </c>
      <c r="K164" t="str">
        <f>PROPER(Table1[[#This Row],[Leading, Multiple &amp; Trailing spaces]])</f>
        <v>Nursery Street</v>
      </c>
      <c r="L164" t="str">
        <f t="shared" si="2"/>
        <v>Nursery Street</v>
      </c>
      <c r="M164" t="s">
        <v>906</v>
      </c>
    </row>
    <row r="165" spans="1:13" x14ac:dyDescent="0.3">
      <c r="A165">
        <v>162</v>
      </c>
      <c r="B165" t="s">
        <v>5</v>
      </c>
      <c r="C165" t="s">
        <v>908</v>
      </c>
      <c r="D165" t="s">
        <v>7</v>
      </c>
      <c r="E165" t="s">
        <v>909</v>
      </c>
      <c r="F165" t="s">
        <v>910</v>
      </c>
      <c r="G165" t="str">
        <f xml:space="preserve"> PROPER(_xlfn.CONCAT(Table1[[#This Row],[Title]]," ",Table1[[#This Row],[First Name]]," ",Table1[[#This Row],[Last Name]]))</f>
        <v>Mrs Nanci Arredondo</v>
      </c>
      <c r="H165" t="str">
        <f>SUBSTITUTE(Table1[[#This Row],[Street]],"Road"," Road")</f>
        <v>Freedom  Road</v>
      </c>
      <c r="I165" t="str">
        <f>SUBSTITUTE(Table1[[#This Row],[Separate combined words ]],"?","")</f>
        <v>Freedom  Road</v>
      </c>
      <c r="J165" t="str">
        <f>TRIM(Table1[[#This Row],[Remove Question Mark "?"]])</f>
        <v>Freedom Road</v>
      </c>
      <c r="K165" t="str">
        <f>PROPER(Table1[[#This Row],[Leading, Multiple &amp; Trailing spaces]])</f>
        <v>Freedom Road</v>
      </c>
      <c r="L165" t="str">
        <f t="shared" si="2"/>
        <v>Freedom Road</v>
      </c>
      <c r="M165" t="s">
        <v>909</v>
      </c>
    </row>
    <row r="166" spans="1:13" x14ac:dyDescent="0.3">
      <c r="A166">
        <v>163</v>
      </c>
      <c r="B166" t="s">
        <v>911</v>
      </c>
      <c r="C166" t="s">
        <v>370</v>
      </c>
      <c r="D166" t="s">
        <v>18</v>
      </c>
      <c r="E166" t="s">
        <v>912</v>
      </c>
      <c r="F166" t="s">
        <v>913</v>
      </c>
      <c r="G166" t="str">
        <f xml:space="preserve"> PROPER(_xlfn.CONCAT(Table1[[#This Row],[Title]]," ",Table1[[#This Row],[First Name]]," ",Table1[[#This Row],[Last Name]]))</f>
        <v>Miss Fransisca Mcmullen</v>
      </c>
      <c r="H166" t="str">
        <f>SUBSTITUTE(Table1[[#This Row],[Street]],"Road"," Road")</f>
        <v>Hickly  Road</v>
      </c>
      <c r="I166" t="str">
        <f>SUBSTITUTE(Table1[[#This Row],[Separate combined words ]],"?","")</f>
        <v>Hickly  Road</v>
      </c>
      <c r="J166" t="str">
        <f>TRIM(Table1[[#This Row],[Remove Question Mark "?"]])</f>
        <v>Hickly Road</v>
      </c>
      <c r="K166" t="str">
        <f>PROPER(Table1[[#This Row],[Leading, Multiple &amp; Trailing spaces]])</f>
        <v>Hickly Road</v>
      </c>
      <c r="L166" t="str">
        <f t="shared" si="2"/>
        <v>Hickly Road</v>
      </c>
      <c r="M166" t="s">
        <v>912</v>
      </c>
    </row>
    <row r="167" spans="1:13" x14ac:dyDescent="0.3">
      <c r="A167">
        <v>164</v>
      </c>
      <c r="B167" t="s">
        <v>914</v>
      </c>
      <c r="C167" t="s">
        <v>915</v>
      </c>
      <c r="D167" t="s">
        <v>18</v>
      </c>
      <c r="E167" t="s">
        <v>916</v>
      </c>
      <c r="F167" t="s">
        <v>917</v>
      </c>
      <c r="G167" t="str">
        <f xml:space="preserve"> PROPER(_xlfn.CONCAT(Table1[[#This Row],[Title]]," ",Table1[[#This Row],[First Name]]," ",Table1[[#This Row],[Last Name]]))</f>
        <v>Miss Blanch Hairston</v>
      </c>
      <c r="H167" t="str">
        <f>SUBSTITUTE(Table1[[#This Row],[Street]],"Road"," Road")</f>
        <v>Hillyfield</v>
      </c>
      <c r="I167" t="str">
        <f>SUBSTITUTE(Table1[[#This Row],[Separate combined words ]],"?","")</f>
        <v>Hillyfield</v>
      </c>
      <c r="J167" t="str">
        <f>TRIM(Table1[[#This Row],[Remove Question Mark "?"]])</f>
        <v>Hillyfield</v>
      </c>
      <c r="K167" t="str">
        <f>PROPER(Table1[[#This Row],[Leading, Multiple &amp; Trailing spaces]])</f>
        <v>Hillyfield</v>
      </c>
      <c r="L167" t="str">
        <f t="shared" si="2"/>
        <v>Hillyfield</v>
      </c>
      <c r="M167" t="s">
        <v>916</v>
      </c>
    </row>
    <row r="168" spans="1:13" x14ac:dyDescent="0.3">
      <c r="A168">
        <v>165</v>
      </c>
      <c r="B168" t="s">
        <v>918</v>
      </c>
      <c r="C168" t="s">
        <v>536</v>
      </c>
      <c r="D168" t="s">
        <v>18</v>
      </c>
      <c r="E168" t="s">
        <v>919</v>
      </c>
      <c r="F168" t="s">
        <v>778</v>
      </c>
      <c r="G168" t="str">
        <f xml:space="preserve"> PROPER(_xlfn.CONCAT(Table1[[#This Row],[Title]]," ",Table1[[#This Row],[First Name]]," ",Table1[[#This Row],[Last Name]]))</f>
        <v>Miss Hilaria Richey</v>
      </c>
      <c r="H168" t="str">
        <f>SUBSTITUTE(Table1[[#This Row],[Street]],"Road"," Road")</f>
        <v>Portgate Close</v>
      </c>
      <c r="I168" t="str">
        <f>SUBSTITUTE(Table1[[#This Row],[Separate combined words ]],"?","")</f>
        <v>Portgate Close</v>
      </c>
      <c r="J168" t="str">
        <f>TRIM(Table1[[#This Row],[Remove Question Mark "?"]])</f>
        <v>Portgate Close</v>
      </c>
      <c r="K168" t="str">
        <f>PROPER(Table1[[#This Row],[Leading, Multiple &amp; Trailing spaces]])</f>
        <v>Portgate Close</v>
      </c>
      <c r="L168" t="str">
        <f t="shared" si="2"/>
        <v>Portgate Close</v>
      </c>
      <c r="M168" t="s">
        <v>919</v>
      </c>
    </row>
    <row r="169" spans="1:13" x14ac:dyDescent="0.3">
      <c r="A169">
        <v>166</v>
      </c>
      <c r="B169" t="s">
        <v>920</v>
      </c>
      <c r="C169" t="s">
        <v>387</v>
      </c>
      <c r="D169" t="s">
        <v>7</v>
      </c>
      <c r="E169" t="s">
        <v>921</v>
      </c>
      <c r="F169" t="s">
        <v>922</v>
      </c>
      <c r="G169" t="str">
        <f xml:space="preserve"> PROPER(_xlfn.CONCAT(Table1[[#This Row],[Title]]," ",Table1[[#This Row],[First Name]]," ",Table1[[#This Row],[Last Name]]))</f>
        <v>Mrs Gerry Melton</v>
      </c>
      <c r="H169" t="str">
        <f>SUBSTITUTE(Table1[[#This Row],[Street]],"Road"," Road")</f>
        <v>Poultney St</v>
      </c>
      <c r="I169" t="str">
        <f>SUBSTITUTE(Table1[[#This Row],[Separate combined words ]],"?","")</f>
        <v>Poultney St</v>
      </c>
      <c r="J169" t="str">
        <f>TRIM(Table1[[#This Row],[Remove Question Mark "?"]])</f>
        <v>Poultney St</v>
      </c>
      <c r="K169" t="str">
        <f>PROPER(Table1[[#This Row],[Leading, Multiple &amp; Trailing spaces]])</f>
        <v>Poultney St</v>
      </c>
      <c r="L169" t="str">
        <f t="shared" si="2"/>
        <v>Poultney St</v>
      </c>
      <c r="M169" t="s">
        <v>3426</v>
      </c>
    </row>
    <row r="170" spans="1:13" x14ac:dyDescent="0.3">
      <c r="A170">
        <v>167</v>
      </c>
      <c r="B170" t="s">
        <v>456</v>
      </c>
      <c r="C170" t="s">
        <v>923</v>
      </c>
      <c r="D170" t="s">
        <v>7</v>
      </c>
      <c r="E170" t="s">
        <v>924</v>
      </c>
      <c r="F170" t="s">
        <v>925</v>
      </c>
      <c r="G170" t="str">
        <f xml:space="preserve"> PROPER(_xlfn.CONCAT(Table1[[#This Row],[Title]]," ",Table1[[#This Row],[First Name]]," ",Table1[[#This Row],[Last Name]]))</f>
        <v>Mrs Victor Coker</v>
      </c>
      <c r="H170" t="str">
        <f>SUBSTITUTE(Table1[[#This Row],[Street]],"Road"," Road")</f>
        <v>Dussore's Court</v>
      </c>
      <c r="I170" t="str">
        <f>SUBSTITUTE(Table1[[#This Row],[Separate combined words ]],"?","")</f>
        <v>Dussore's Court</v>
      </c>
      <c r="J170" t="str">
        <f>TRIM(Table1[[#This Row],[Remove Question Mark "?"]])</f>
        <v>Dussore's Court</v>
      </c>
      <c r="K170" t="str">
        <f>PROPER(Table1[[#This Row],[Leading, Multiple &amp; Trailing spaces]])</f>
        <v>Dussore'S Court</v>
      </c>
      <c r="L170" t="str">
        <f t="shared" si="2"/>
        <v>Dussore'S Court</v>
      </c>
      <c r="M170" t="s">
        <v>3427</v>
      </c>
    </row>
    <row r="171" spans="1:13" x14ac:dyDescent="0.3">
      <c r="A171">
        <v>168</v>
      </c>
      <c r="B171" t="s">
        <v>926</v>
      </c>
      <c r="C171" t="s">
        <v>927</v>
      </c>
      <c r="D171" t="s">
        <v>7</v>
      </c>
      <c r="E171" t="s">
        <v>588</v>
      </c>
      <c r="F171" t="s">
        <v>164</v>
      </c>
      <c r="G171" t="str">
        <f xml:space="preserve"> PROPER(_xlfn.CONCAT(Table1[[#This Row],[Title]]," ",Table1[[#This Row],[First Name]]," ",Table1[[#This Row],[Last Name]]))</f>
        <v>Mrs Karren Farrell</v>
      </c>
      <c r="H171" t="str">
        <f>SUBSTITUTE(Table1[[#This Row],[Street]],"Road"," Road")</f>
        <v>Ponsonby Street</v>
      </c>
      <c r="I171" t="str">
        <f>SUBSTITUTE(Table1[[#This Row],[Separate combined words ]],"?","")</f>
        <v>Ponsonby Street</v>
      </c>
      <c r="J171" t="str">
        <f>TRIM(Table1[[#This Row],[Remove Question Mark "?"]])</f>
        <v>Ponsonby Street</v>
      </c>
      <c r="K171" t="str">
        <f>PROPER(Table1[[#This Row],[Leading, Multiple &amp; Trailing spaces]])</f>
        <v>Ponsonby Street</v>
      </c>
      <c r="L171" t="str">
        <f t="shared" si="2"/>
        <v>Ponsonby Street</v>
      </c>
      <c r="M171" t="s">
        <v>588</v>
      </c>
    </row>
    <row r="172" spans="1:13" x14ac:dyDescent="0.3">
      <c r="A172">
        <v>169</v>
      </c>
      <c r="B172" t="s">
        <v>928</v>
      </c>
      <c r="C172" t="s">
        <v>929</v>
      </c>
      <c r="D172" t="s">
        <v>7</v>
      </c>
      <c r="E172" t="s">
        <v>930</v>
      </c>
      <c r="F172" t="s">
        <v>931</v>
      </c>
      <c r="G172" t="str">
        <f xml:space="preserve"> PROPER(_xlfn.CONCAT(Table1[[#This Row],[Title]]," ",Table1[[#This Row],[First Name]]," ",Table1[[#This Row],[Last Name]]))</f>
        <v>Mrs Lucina Weiss</v>
      </c>
      <c r="H172" t="str">
        <f>SUBSTITUTE(Table1[[#This Row],[Street]],"Road"," Road")</f>
        <v>Wolsey Court</v>
      </c>
      <c r="I172" t="str">
        <f>SUBSTITUTE(Table1[[#This Row],[Separate combined words ]],"?","")</f>
        <v>Wolsey Court</v>
      </c>
      <c r="J172" t="str">
        <f>TRIM(Table1[[#This Row],[Remove Question Mark "?"]])</f>
        <v>Wolsey Court</v>
      </c>
      <c r="K172" t="str">
        <f>PROPER(Table1[[#This Row],[Leading, Multiple &amp; Trailing spaces]])</f>
        <v>Wolsey Court</v>
      </c>
      <c r="L172" t="str">
        <f t="shared" si="2"/>
        <v>Wolsey Court</v>
      </c>
      <c r="M172" t="s">
        <v>930</v>
      </c>
    </row>
    <row r="173" spans="1:13" x14ac:dyDescent="0.3">
      <c r="A173">
        <v>170</v>
      </c>
      <c r="B173" t="s">
        <v>932</v>
      </c>
      <c r="C173" t="s">
        <v>933</v>
      </c>
      <c r="D173" t="s">
        <v>18</v>
      </c>
      <c r="E173" t="s">
        <v>934</v>
      </c>
      <c r="F173" t="s">
        <v>468</v>
      </c>
      <c r="G173" t="str">
        <f xml:space="preserve"> PROPER(_xlfn.CONCAT(Table1[[#This Row],[Title]]," ",Table1[[#This Row],[First Name]]," ",Table1[[#This Row],[Last Name]]))</f>
        <v>Miss Allena Crenshaw</v>
      </c>
      <c r="H173" t="str">
        <f>SUBSTITUTE(Table1[[#This Row],[Street]],"Road"," Road")</f>
        <v>Lord Roberts</v>
      </c>
      <c r="I173" t="str">
        <f>SUBSTITUTE(Table1[[#This Row],[Separate combined words ]],"?","")</f>
        <v>Lord Roberts</v>
      </c>
      <c r="J173" t="str">
        <f>TRIM(Table1[[#This Row],[Remove Question Mark "?"]])</f>
        <v>Lord Roberts</v>
      </c>
      <c r="K173" t="str">
        <f>PROPER(Table1[[#This Row],[Leading, Multiple &amp; Trailing spaces]])</f>
        <v>Lord Roberts</v>
      </c>
      <c r="L173" t="str">
        <f t="shared" si="2"/>
        <v>Lord Roberts</v>
      </c>
      <c r="M173" t="s">
        <v>934</v>
      </c>
    </row>
    <row r="174" spans="1:13" x14ac:dyDescent="0.3">
      <c r="A174">
        <v>171</v>
      </c>
      <c r="B174" t="s">
        <v>935</v>
      </c>
      <c r="C174" t="s">
        <v>936</v>
      </c>
      <c r="D174" t="s">
        <v>18</v>
      </c>
      <c r="E174" t="s">
        <v>937</v>
      </c>
      <c r="F174" t="s">
        <v>938</v>
      </c>
      <c r="G174" t="str">
        <f xml:space="preserve"> PROPER(_xlfn.CONCAT(Table1[[#This Row],[Title]]," ",Table1[[#This Row],[First Name]]," ",Table1[[#This Row],[Last Name]]))</f>
        <v>Miss Lilliana Weber</v>
      </c>
      <c r="H174" t="str">
        <f>SUBSTITUTE(Table1[[#This Row],[Street]],"Road"," Road")</f>
        <v>Lidfield  Road</v>
      </c>
      <c r="I174" t="str">
        <f>SUBSTITUTE(Table1[[#This Row],[Separate combined words ]],"?","")</f>
        <v>Lidfield  Road</v>
      </c>
      <c r="J174" t="str">
        <f>TRIM(Table1[[#This Row],[Remove Question Mark "?"]])</f>
        <v>Lidfield Road</v>
      </c>
      <c r="K174" t="str">
        <f>PROPER(Table1[[#This Row],[Leading, Multiple &amp; Trailing spaces]])</f>
        <v>Lidfield Road</v>
      </c>
      <c r="L174" t="str">
        <f t="shared" si="2"/>
        <v>Lidfield Road</v>
      </c>
      <c r="M174" t="s">
        <v>937</v>
      </c>
    </row>
    <row r="175" spans="1:13" x14ac:dyDescent="0.3">
      <c r="A175">
        <v>172</v>
      </c>
      <c r="B175" t="s">
        <v>939</v>
      </c>
      <c r="C175" t="s">
        <v>940</v>
      </c>
      <c r="D175" t="s">
        <v>55</v>
      </c>
      <c r="E175" t="s">
        <v>941</v>
      </c>
      <c r="F175" t="s">
        <v>384</v>
      </c>
      <c r="G175" t="str">
        <f xml:space="preserve"> PROPER(_xlfn.CONCAT(Table1[[#This Row],[Title]]," ",Table1[[#This Row],[First Name]]," ",Table1[[#This Row],[Last Name]]))</f>
        <v>Prof Lynn Kennedy</v>
      </c>
      <c r="H175" t="str">
        <f>SUBSTITUTE(Table1[[#This Row],[Street]],"Road"," Road")</f>
        <v>Woodstock Street</v>
      </c>
      <c r="I175" t="str">
        <f>SUBSTITUTE(Table1[[#This Row],[Separate combined words ]],"?","")</f>
        <v>Woodstock Street</v>
      </c>
      <c r="J175" t="str">
        <f>TRIM(Table1[[#This Row],[Remove Question Mark "?"]])</f>
        <v>Woodstock Street</v>
      </c>
      <c r="K175" t="str">
        <f>PROPER(Table1[[#This Row],[Leading, Multiple &amp; Trailing spaces]])</f>
        <v>Woodstock Street</v>
      </c>
      <c r="L175" t="str">
        <f t="shared" si="2"/>
        <v>Woodstock Street</v>
      </c>
      <c r="M175" t="s">
        <v>941</v>
      </c>
    </row>
    <row r="176" spans="1:13" x14ac:dyDescent="0.3">
      <c r="A176">
        <v>173</v>
      </c>
      <c r="B176" t="s">
        <v>942</v>
      </c>
      <c r="C176" t="s">
        <v>943</v>
      </c>
      <c r="D176" t="s">
        <v>7</v>
      </c>
      <c r="E176" t="s">
        <v>944</v>
      </c>
      <c r="F176" t="s">
        <v>527</v>
      </c>
      <c r="G176" t="str">
        <f xml:space="preserve"> PROPER(_xlfn.CONCAT(Table1[[#This Row],[Title]]," ",Table1[[#This Row],[First Name]]," ",Table1[[#This Row],[Last Name]]))</f>
        <v>Mrs Treasa Sierra</v>
      </c>
      <c r="H176" t="str">
        <f>SUBSTITUTE(Table1[[#This Row],[Street]],"Road"," Road")</f>
        <v>Smyrren Green</v>
      </c>
      <c r="I176" t="str">
        <f>SUBSTITUTE(Table1[[#This Row],[Separate combined words ]],"?","")</f>
        <v>Smyrren Green</v>
      </c>
      <c r="J176" t="str">
        <f>TRIM(Table1[[#This Row],[Remove Question Mark "?"]])</f>
        <v>Smyrren Green</v>
      </c>
      <c r="K176" t="str">
        <f>PROPER(Table1[[#This Row],[Leading, Multiple &amp; Trailing spaces]])</f>
        <v>Smyrren Green</v>
      </c>
      <c r="L176" t="str">
        <f t="shared" si="2"/>
        <v>Smyrren Green</v>
      </c>
      <c r="M176" t="s">
        <v>944</v>
      </c>
    </row>
    <row r="177" spans="1:13" x14ac:dyDescent="0.3">
      <c r="A177">
        <v>174</v>
      </c>
      <c r="B177" t="s">
        <v>945</v>
      </c>
      <c r="C177" t="s">
        <v>946</v>
      </c>
      <c r="D177" t="s">
        <v>7</v>
      </c>
      <c r="E177" t="s">
        <v>947</v>
      </c>
      <c r="F177" t="s">
        <v>948</v>
      </c>
      <c r="G177" t="str">
        <f xml:space="preserve"> PROPER(_xlfn.CONCAT(Table1[[#This Row],[Title]]," ",Table1[[#This Row],[First Name]]," ",Table1[[#This Row],[Last Name]]))</f>
        <v>Mrs Valery Oneill</v>
      </c>
      <c r="H177" t="str">
        <f>SUBSTITUTE(Table1[[#This Row],[Street]],"Road"," Road")</f>
        <v>Monterio Villas</v>
      </c>
      <c r="I177" t="str">
        <f>SUBSTITUTE(Table1[[#This Row],[Separate combined words ]],"?","")</f>
        <v>Monterio Villas</v>
      </c>
      <c r="J177" t="str">
        <f>TRIM(Table1[[#This Row],[Remove Question Mark "?"]])</f>
        <v>Monterio Villas</v>
      </c>
      <c r="K177" t="str">
        <f>PROPER(Table1[[#This Row],[Leading, Multiple &amp; Trailing spaces]])</f>
        <v>Monterio Villas</v>
      </c>
      <c r="L177" t="str">
        <f t="shared" si="2"/>
        <v>Monterio Villas</v>
      </c>
      <c r="M177" t="s">
        <v>947</v>
      </c>
    </row>
    <row r="178" spans="1:13" x14ac:dyDescent="0.3">
      <c r="A178">
        <v>175</v>
      </c>
      <c r="B178" t="s">
        <v>949</v>
      </c>
      <c r="C178" t="s">
        <v>950</v>
      </c>
      <c r="D178" t="s">
        <v>7</v>
      </c>
      <c r="E178" t="s">
        <v>951</v>
      </c>
      <c r="F178" t="s">
        <v>952</v>
      </c>
      <c r="G178" t="str">
        <f xml:space="preserve"> PROPER(_xlfn.CONCAT(Table1[[#This Row],[Title]]," ",Table1[[#This Row],[First Name]]," ",Table1[[#This Row],[Last Name]]))</f>
        <v>Mrs Irina Mcgowan</v>
      </c>
      <c r="H178" t="str">
        <f>SUBSTITUTE(Table1[[#This Row],[Street]],"Road"," Road")</f>
        <v>Chandler's Rents</v>
      </c>
      <c r="I178" t="str">
        <f>SUBSTITUTE(Table1[[#This Row],[Separate combined words ]],"?","")</f>
        <v>Chandler's Rents</v>
      </c>
      <c r="J178" t="str">
        <f>TRIM(Table1[[#This Row],[Remove Question Mark "?"]])</f>
        <v>Chandler's Rents</v>
      </c>
      <c r="K178" t="str">
        <f>PROPER(Table1[[#This Row],[Leading, Multiple &amp; Trailing spaces]])</f>
        <v>Chandler'S Rents</v>
      </c>
      <c r="L178" t="str">
        <f t="shared" si="2"/>
        <v>Chandler'S Rents</v>
      </c>
      <c r="M178" t="s">
        <v>3428</v>
      </c>
    </row>
    <row r="179" spans="1:13" x14ac:dyDescent="0.3">
      <c r="A179">
        <v>176</v>
      </c>
      <c r="B179" t="s">
        <v>953</v>
      </c>
      <c r="C179" t="s">
        <v>954</v>
      </c>
      <c r="D179" t="s">
        <v>18</v>
      </c>
      <c r="E179" t="s">
        <v>955</v>
      </c>
      <c r="F179" t="s">
        <v>956</v>
      </c>
      <c r="G179" t="str">
        <f xml:space="preserve"> PROPER(_xlfn.CONCAT(Table1[[#This Row],[Title]]," ",Table1[[#This Row],[First Name]]," ",Table1[[#This Row],[Last Name]]))</f>
        <v>Miss Saundra Latham</v>
      </c>
      <c r="H179" t="str">
        <f>SUBSTITUTE(Table1[[#This Row],[Street]],"Road"," Road")</f>
        <v>Littlecombe</v>
      </c>
      <c r="I179" t="str">
        <f>SUBSTITUTE(Table1[[#This Row],[Separate combined words ]],"?","")</f>
        <v>Littlecombe</v>
      </c>
      <c r="J179" t="str">
        <f>TRIM(Table1[[#This Row],[Remove Question Mark "?"]])</f>
        <v>Littlecombe</v>
      </c>
      <c r="K179" t="str">
        <f>PROPER(Table1[[#This Row],[Leading, Multiple &amp; Trailing spaces]])</f>
        <v>Littlecombe</v>
      </c>
      <c r="L179" t="str">
        <f t="shared" si="2"/>
        <v>Littlecombe</v>
      </c>
      <c r="M179" t="s">
        <v>955</v>
      </c>
    </row>
    <row r="180" spans="1:13" x14ac:dyDescent="0.3">
      <c r="A180">
        <v>177</v>
      </c>
      <c r="B180" t="s">
        <v>957</v>
      </c>
      <c r="C180" t="s">
        <v>958</v>
      </c>
      <c r="D180" t="s">
        <v>18</v>
      </c>
      <c r="E180" t="s">
        <v>959</v>
      </c>
      <c r="F180" t="s">
        <v>226</v>
      </c>
      <c r="G180" t="str">
        <f xml:space="preserve"> PROPER(_xlfn.CONCAT(Table1[[#This Row],[Title]]," ",Table1[[#This Row],[First Name]]," ",Table1[[#This Row],[Last Name]]))</f>
        <v>Miss Cassie Edmonds</v>
      </c>
      <c r="H180" t="str">
        <f>SUBSTITUTE(Table1[[#This Row],[Street]],"Road"," Road")</f>
        <v>Chamberlens Garages</v>
      </c>
      <c r="I180" t="str">
        <f>SUBSTITUTE(Table1[[#This Row],[Separate combined words ]],"?","")</f>
        <v>Chamberlens Garages</v>
      </c>
      <c r="J180" t="str">
        <f>TRIM(Table1[[#This Row],[Remove Question Mark "?"]])</f>
        <v>Chamberlens Garages</v>
      </c>
      <c r="K180" t="str">
        <f>PROPER(Table1[[#This Row],[Leading, Multiple &amp; Trailing spaces]])</f>
        <v>Chamberlens Garages</v>
      </c>
      <c r="L180" t="str">
        <f t="shared" si="2"/>
        <v>Chamberlens Garages</v>
      </c>
      <c r="M180" t="s">
        <v>959</v>
      </c>
    </row>
    <row r="181" spans="1:13" x14ac:dyDescent="0.3">
      <c r="A181">
        <v>178</v>
      </c>
      <c r="B181" t="s">
        <v>960</v>
      </c>
      <c r="C181" t="s">
        <v>961</v>
      </c>
      <c r="D181" t="s">
        <v>7</v>
      </c>
      <c r="E181" t="s">
        <v>962</v>
      </c>
      <c r="F181" t="s">
        <v>963</v>
      </c>
      <c r="G181" t="str">
        <f xml:space="preserve"> PROPER(_xlfn.CONCAT(Table1[[#This Row],[Title]]," ",Table1[[#This Row],[First Name]]," ",Table1[[#This Row],[Last Name]]))</f>
        <v>Mrs Addie Rich</v>
      </c>
      <c r="H181" t="str">
        <f>SUBSTITUTE(Table1[[#This Row],[Street]],"Road"," Road")</f>
        <v>Boyton Arms</v>
      </c>
      <c r="I181" t="str">
        <f>SUBSTITUTE(Table1[[#This Row],[Separate combined words ]],"?","")</f>
        <v>Boyton Arms</v>
      </c>
      <c r="J181" t="str">
        <f>TRIM(Table1[[#This Row],[Remove Question Mark "?"]])</f>
        <v>Boyton Arms</v>
      </c>
      <c r="K181" t="str">
        <f>PROPER(Table1[[#This Row],[Leading, Multiple &amp; Trailing spaces]])</f>
        <v>Boyton Arms</v>
      </c>
      <c r="L181" t="str">
        <f t="shared" si="2"/>
        <v>Boyton Arms</v>
      </c>
      <c r="M181" t="s">
        <v>962</v>
      </c>
    </row>
    <row r="182" spans="1:13" x14ac:dyDescent="0.3">
      <c r="A182">
        <v>179</v>
      </c>
      <c r="B182" t="s">
        <v>964</v>
      </c>
      <c r="C182" t="s">
        <v>965</v>
      </c>
      <c r="D182" t="s">
        <v>7</v>
      </c>
      <c r="E182" t="s">
        <v>966</v>
      </c>
      <c r="F182" t="s">
        <v>967</v>
      </c>
      <c r="G182" t="str">
        <f xml:space="preserve"> PROPER(_xlfn.CONCAT(Table1[[#This Row],[Title]]," ",Table1[[#This Row],[First Name]]," ",Table1[[#This Row],[Last Name]]))</f>
        <v>Mrs Gracia Huggins</v>
      </c>
      <c r="H182" t="str">
        <f>SUBSTITUTE(Table1[[#This Row],[Street]],"Road"," Road")</f>
        <v>Jerdan Place</v>
      </c>
      <c r="I182" t="str">
        <f>SUBSTITUTE(Table1[[#This Row],[Separate combined words ]],"?","")</f>
        <v>Jerdan Place</v>
      </c>
      <c r="J182" t="str">
        <f>TRIM(Table1[[#This Row],[Remove Question Mark "?"]])</f>
        <v>Jerdan Place</v>
      </c>
      <c r="K182" t="str">
        <f>PROPER(Table1[[#This Row],[Leading, Multiple &amp; Trailing spaces]])</f>
        <v>Jerdan Place</v>
      </c>
      <c r="L182" t="str">
        <f t="shared" si="2"/>
        <v>Jerdan Place</v>
      </c>
      <c r="M182" t="s">
        <v>966</v>
      </c>
    </row>
    <row r="183" spans="1:13" x14ac:dyDescent="0.3">
      <c r="A183">
        <v>180</v>
      </c>
      <c r="B183" t="s">
        <v>968</v>
      </c>
      <c r="C183" t="s">
        <v>969</v>
      </c>
      <c r="D183" t="s">
        <v>18</v>
      </c>
      <c r="E183" t="s">
        <v>970</v>
      </c>
      <c r="F183" t="s">
        <v>971</v>
      </c>
      <c r="G183" t="str">
        <f xml:space="preserve"> PROPER(_xlfn.CONCAT(Table1[[#This Row],[Title]]," ",Table1[[#This Row],[First Name]]," ",Table1[[#This Row],[Last Name]]))</f>
        <v>Miss Era Waters</v>
      </c>
      <c r="H183" t="str">
        <f>SUBSTITUTE(Table1[[#This Row],[Street]],"Road"," Road")</f>
        <v>Tulip Grove</v>
      </c>
      <c r="I183" t="str">
        <f>SUBSTITUTE(Table1[[#This Row],[Separate combined words ]],"?","")</f>
        <v>Tulip Grove</v>
      </c>
      <c r="J183" t="str">
        <f>TRIM(Table1[[#This Row],[Remove Question Mark "?"]])</f>
        <v>Tulip Grove</v>
      </c>
      <c r="K183" t="str">
        <f>PROPER(Table1[[#This Row],[Leading, Multiple &amp; Trailing spaces]])</f>
        <v>Tulip Grove</v>
      </c>
      <c r="L183" t="str">
        <f t="shared" si="2"/>
        <v>Tulip Grove</v>
      </c>
      <c r="M183" t="s">
        <v>970</v>
      </c>
    </row>
    <row r="184" spans="1:13" x14ac:dyDescent="0.3">
      <c r="A184">
        <v>181</v>
      </c>
      <c r="B184" t="s">
        <v>603</v>
      </c>
      <c r="C184" t="s">
        <v>620</v>
      </c>
      <c r="D184" t="s">
        <v>318</v>
      </c>
      <c r="E184" t="s">
        <v>972</v>
      </c>
      <c r="F184" t="s">
        <v>973</v>
      </c>
      <c r="G184" t="str">
        <f xml:space="preserve"> PROPER(_xlfn.CONCAT(Table1[[#This Row],[Title]]," ",Table1[[#This Row],[First Name]]," ",Table1[[#This Row],[Last Name]]))</f>
        <v>Dr John Mccullough</v>
      </c>
      <c r="H184" t="str">
        <f>SUBSTITUTE(Table1[[#This Row],[Street]],"Road"," Road")</f>
        <v>Belsize Park</v>
      </c>
      <c r="I184" t="str">
        <f>SUBSTITUTE(Table1[[#This Row],[Separate combined words ]],"?","")</f>
        <v>Belsize Park</v>
      </c>
      <c r="J184" t="str">
        <f>TRIM(Table1[[#This Row],[Remove Question Mark "?"]])</f>
        <v>Belsize Park</v>
      </c>
      <c r="K184" t="str">
        <f>PROPER(Table1[[#This Row],[Leading, Multiple &amp; Trailing spaces]])</f>
        <v>Belsize Park</v>
      </c>
      <c r="L184" t="str">
        <f t="shared" si="2"/>
        <v>Belsize Park</v>
      </c>
      <c r="M184" t="s">
        <v>972</v>
      </c>
    </row>
    <row r="185" spans="1:13" x14ac:dyDescent="0.3">
      <c r="A185">
        <v>182</v>
      </c>
      <c r="B185" t="s">
        <v>974</v>
      </c>
      <c r="C185" t="s">
        <v>975</v>
      </c>
      <c r="D185" t="s">
        <v>318</v>
      </c>
      <c r="E185" t="s">
        <v>840</v>
      </c>
      <c r="F185" t="s">
        <v>683</v>
      </c>
      <c r="G185" t="str">
        <f xml:space="preserve"> PROPER(_xlfn.CONCAT(Table1[[#This Row],[Title]]," ",Table1[[#This Row],[First Name]]," ",Table1[[#This Row],[Last Name]]))</f>
        <v>Dr Gidget Chen</v>
      </c>
      <c r="H185" t="str">
        <f>SUBSTITUTE(Table1[[#This Row],[Street]],"Road"," Road")</f>
        <v>Cathcart  Road</v>
      </c>
      <c r="I185" t="str">
        <f>SUBSTITUTE(Table1[[#This Row],[Separate combined words ]],"?","")</f>
        <v>Cathcart  Road</v>
      </c>
      <c r="J185" t="str">
        <f>TRIM(Table1[[#This Row],[Remove Question Mark "?"]])</f>
        <v>Cathcart Road</v>
      </c>
      <c r="K185" t="str">
        <f>PROPER(Table1[[#This Row],[Leading, Multiple &amp; Trailing spaces]])</f>
        <v>Cathcart Road</v>
      </c>
      <c r="L185" t="str">
        <f t="shared" si="2"/>
        <v>Cathcart Road</v>
      </c>
      <c r="M185" t="s">
        <v>840</v>
      </c>
    </row>
    <row r="186" spans="1:13" x14ac:dyDescent="0.3">
      <c r="A186">
        <v>183</v>
      </c>
      <c r="B186" t="s">
        <v>976</v>
      </c>
      <c r="C186" t="s">
        <v>977</v>
      </c>
      <c r="D186" t="s">
        <v>18</v>
      </c>
      <c r="E186" t="s">
        <v>978</v>
      </c>
      <c r="F186" t="s">
        <v>979</v>
      </c>
      <c r="G186" t="str">
        <f xml:space="preserve"> PROPER(_xlfn.CONCAT(Table1[[#This Row],[Title]]," ",Table1[[#This Row],[First Name]]," ",Table1[[#This Row],[Last Name]]))</f>
        <v>Miss Eura Randall</v>
      </c>
      <c r="H186" t="str">
        <f>SUBSTITUTE(Table1[[#This Row],[Street]],"Road"," Road")</f>
        <v>Meldon Close</v>
      </c>
      <c r="I186" t="str">
        <f>SUBSTITUTE(Table1[[#This Row],[Separate combined words ]],"?","")</f>
        <v>Meldon Close</v>
      </c>
      <c r="J186" t="str">
        <f>TRIM(Table1[[#This Row],[Remove Question Mark "?"]])</f>
        <v>Meldon Close</v>
      </c>
      <c r="K186" t="str">
        <f>PROPER(Table1[[#This Row],[Leading, Multiple &amp; Trailing spaces]])</f>
        <v>Meldon Close</v>
      </c>
      <c r="L186" t="str">
        <f t="shared" si="2"/>
        <v>Meldon Close</v>
      </c>
      <c r="M186" t="s">
        <v>978</v>
      </c>
    </row>
    <row r="187" spans="1:13" x14ac:dyDescent="0.3">
      <c r="A187">
        <v>184</v>
      </c>
      <c r="B187" t="s">
        <v>980</v>
      </c>
      <c r="C187" t="s">
        <v>981</v>
      </c>
      <c r="D187" t="s">
        <v>71</v>
      </c>
      <c r="E187" t="s">
        <v>982</v>
      </c>
      <c r="F187" t="s">
        <v>404</v>
      </c>
      <c r="G187" t="str">
        <f xml:space="preserve"> PROPER(_xlfn.CONCAT(Table1[[#This Row],[Title]]," ",Table1[[#This Row],[First Name]]," ",Table1[[#This Row],[Last Name]]))</f>
        <v>Ms Melia Boyce</v>
      </c>
      <c r="H187" t="str">
        <f>SUBSTITUTE(Table1[[#This Row],[Street]],"Road"," Road")</f>
        <v>Crescent Mews</v>
      </c>
      <c r="I187" t="str">
        <f>SUBSTITUTE(Table1[[#This Row],[Separate combined words ]],"?","")</f>
        <v>Crescent Mews</v>
      </c>
      <c r="J187" t="str">
        <f>TRIM(Table1[[#This Row],[Remove Question Mark "?"]])</f>
        <v>Crescent Mews</v>
      </c>
      <c r="K187" t="str">
        <f>PROPER(Table1[[#This Row],[Leading, Multiple &amp; Trailing spaces]])</f>
        <v>Crescent Mews</v>
      </c>
      <c r="L187" t="str">
        <f t="shared" si="2"/>
        <v>Crescent Mews</v>
      </c>
      <c r="M187" t="s">
        <v>982</v>
      </c>
    </row>
    <row r="188" spans="1:13" x14ac:dyDescent="0.3">
      <c r="A188">
        <v>185</v>
      </c>
      <c r="B188" t="s">
        <v>983</v>
      </c>
      <c r="C188" t="s">
        <v>984</v>
      </c>
      <c r="D188" t="s">
        <v>18</v>
      </c>
      <c r="E188" t="s">
        <v>985</v>
      </c>
      <c r="F188" t="s">
        <v>673</v>
      </c>
      <c r="G188" t="str">
        <f xml:space="preserve"> PROPER(_xlfn.CONCAT(Table1[[#This Row],[Title]]," ",Table1[[#This Row],[First Name]]," ",Table1[[#This Row],[Last Name]]))</f>
        <v>Miss Julianne Field</v>
      </c>
      <c r="H188" t="str">
        <f>SUBSTITUTE(Table1[[#This Row],[Street]],"Road"," Road")</f>
        <v>Brodia  Road</v>
      </c>
      <c r="I188" t="str">
        <f>SUBSTITUTE(Table1[[#This Row],[Separate combined words ]],"?","")</f>
        <v>Brodia  Road</v>
      </c>
      <c r="J188" t="str">
        <f>TRIM(Table1[[#This Row],[Remove Question Mark "?"]])</f>
        <v>Brodia Road</v>
      </c>
      <c r="K188" t="str">
        <f>PROPER(Table1[[#This Row],[Leading, Multiple &amp; Trailing spaces]])</f>
        <v>Brodia Road</v>
      </c>
      <c r="L188" t="str">
        <f t="shared" si="2"/>
        <v>Brodia Road</v>
      </c>
      <c r="M188" t="s">
        <v>985</v>
      </c>
    </row>
    <row r="189" spans="1:13" x14ac:dyDescent="0.3">
      <c r="A189">
        <v>186</v>
      </c>
      <c r="B189" t="s">
        <v>986</v>
      </c>
      <c r="C189" t="s">
        <v>674</v>
      </c>
      <c r="D189" t="s">
        <v>7</v>
      </c>
      <c r="E189" t="s">
        <v>987</v>
      </c>
      <c r="F189" t="s">
        <v>430</v>
      </c>
      <c r="G189" t="str">
        <f xml:space="preserve"> PROPER(_xlfn.CONCAT(Table1[[#This Row],[Title]]," ",Table1[[#This Row],[First Name]]," ",Table1[[#This Row],[Last Name]]))</f>
        <v>Mrs Clemmie Watkins</v>
      </c>
      <c r="H189" t="str">
        <f>SUBSTITUTE(Table1[[#This Row],[Street]],"Road"," Road")</f>
        <v>Hadleigh  Road</v>
      </c>
      <c r="I189" t="str">
        <f>SUBSTITUTE(Table1[[#This Row],[Separate combined words ]],"?","")</f>
        <v>Hadleigh  Road</v>
      </c>
      <c r="J189" t="str">
        <f>TRIM(Table1[[#This Row],[Remove Question Mark "?"]])</f>
        <v>Hadleigh Road</v>
      </c>
      <c r="K189" t="str">
        <f>PROPER(Table1[[#This Row],[Leading, Multiple &amp; Trailing spaces]])</f>
        <v>Hadleigh Road</v>
      </c>
      <c r="L189" t="str">
        <f t="shared" si="2"/>
        <v>Hadleigh Road</v>
      </c>
      <c r="M189" t="s">
        <v>987</v>
      </c>
    </row>
    <row r="190" spans="1:13" x14ac:dyDescent="0.3">
      <c r="A190">
        <v>187</v>
      </c>
      <c r="B190" t="s">
        <v>988</v>
      </c>
      <c r="C190" t="s">
        <v>989</v>
      </c>
      <c r="D190" t="s">
        <v>18</v>
      </c>
      <c r="E190" t="s">
        <v>990</v>
      </c>
      <c r="F190" t="s">
        <v>991</v>
      </c>
      <c r="G190" t="str">
        <f xml:space="preserve"> PROPER(_xlfn.CONCAT(Table1[[#This Row],[Title]]," ",Table1[[#This Row],[First Name]]," ",Table1[[#This Row],[Last Name]]))</f>
        <v>Miss Karla Raymond</v>
      </c>
      <c r="H190" t="str">
        <f>SUBSTITUTE(Table1[[#This Row],[Street]],"Road"," Road")</f>
        <v>Woodhouse Grove</v>
      </c>
      <c r="I190" t="str">
        <f>SUBSTITUTE(Table1[[#This Row],[Separate combined words ]],"?","")</f>
        <v>Woodhouse Grove</v>
      </c>
      <c r="J190" t="str">
        <f>TRIM(Table1[[#This Row],[Remove Question Mark "?"]])</f>
        <v>Woodhouse Grove</v>
      </c>
      <c r="K190" t="str">
        <f>PROPER(Table1[[#This Row],[Leading, Multiple &amp; Trailing spaces]])</f>
        <v>Woodhouse Grove</v>
      </c>
      <c r="L190" t="str">
        <f t="shared" si="2"/>
        <v>Woodhouse Grove</v>
      </c>
      <c r="M190" t="s">
        <v>990</v>
      </c>
    </row>
    <row r="191" spans="1:13" x14ac:dyDescent="0.3">
      <c r="A191">
        <v>188</v>
      </c>
      <c r="B191" t="s">
        <v>992</v>
      </c>
      <c r="C191" t="s">
        <v>993</v>
      </c>
      <c r="D191" t="s">
        <v>7</v>
      </c>
      <c r="E191" t="s">
        <v>994</v>
      </c>
      <c r="F191" t="s">
        <v>995</v>
      </c>
      <c r="G191" t="str">
        <f xml:space="preserve"> PROPER(_xlfn.CONCAT(Table1[[#This Row],[Title]]," ",Table1[[#This Row],[First Name]]," ",Table1[[#This Row],[Last Name]]))</f>
        <v>Mrs Annalee Darling</v>
      </c>
      <c r="H191" t="str">
        <f>SUBSTITUTE(Table1[[#This Row],[Street]],"Road"," Road")</f>
        <v>Waterden  Road</v>
      </c>
      <c r="I191" t="str">
        <f>SUBSTITUTE(Table1[[#This Row],[Separate combined words ]],"?","")</f>
        <v>Waterden  Road</v>
      </c>
      <c r="J191" t="str">
        <f>TRIM(Table1[[#This Row],[Remove Question Mark "?"]])</f>
        <v>Waterden Road</v>
      </c>
      <c r="K191" t="str">
        <f>PROPER(Table1[[#This Row],[Leading, Multiple &amp; Trailing spaces]])</f>
        <v>Waterden Road</v>
      </c>
      <c r="L191" t="str">
        <f t="shared" si="2"/>
        <v>Waterden Road</v>
      </c>
      <c r="M191" t="s">
        <v>994</v>
      </c>
    </row>
    <row r="192" spans="1:13" x14ac:dyDescent="0.3">
      <c r="A192">
        <v>189</v>
      </c>
      <c r="B192" t="s">
        <v>996</v>
      </c>
      <c r="C192" t="s">
        <v>997</v>
      </c>
      <c r="D192" t="s">
        <v>18</v>
      </c>
      <c r="E192" t="s">
        <v>998</v>
      </c>
      <c r="F192" t="s">
        <v>999</v>
      </c>
      <c r="G192" t="str">
        <f xml:space="preserve"> PROPER(_xlfn.CONCAT(Table1[[#This Row],[Title]]," ",Table1[[#This Row],[First Name]]," ",Table1[[#This Row],[Last Name]]))</f>
        <v>Miss Ellis Irwin</v>
      </c>
      <c r="H192" t="str">
        <f>SUBSTITUTE(Table1[[#This Row],[Street]],"Road"," Road")</f>
        <v>Adolphus  Road</v>
      </c>
      <c r="I192" t="str">
        <f>SUBSTITUTE(Table1[[#This Row],[Separate combined words ]],"?","")</f>
        <v>Adolphus  Road</v>
      </c>
      <c r="J192" t="str">
        <f>TRIM(Table1[[#This Row],[Remove Question Mark "?"]])</f>
        <v>Adolphus Road</v>
      </c>
      <c r="K192" t="str">
        <f>PROPER(Table1[[#This Row],[Leading, Multiple &amp; Trailing spaces]])</f>
        <v>Adolphus Road</v>
      </c>
      <c r="L192" t="str">
        <f t="shared" si="2"/>
        <v>Adolphus Road</v>
      </c>
      <c r="M192" t="s">
        <v>998</v>
      </c>
    </row>
    <row r="193" spans="1:13" x14ac:dyDescent="0.3">
      <c r="A193">
        <v>190</v>
      </c>
      <c r="B193" t="s">
        <v>1000</v>
      </c>
      <c r="C193" t="s">
        <v>1001</v>
      </c>
      <c r="D193" t="s">
        <v>7</v>
      </c>
      <c r="E193" t="s">
        <v>1002</v>
      </c>
      <c r="F193" t="s">
        <v>1003</v>
      </c>
      <c r="G193" t="str">
        <f xml:space="preserve"> PROPER(_xlfn.CONCAT(Table1[[#This Row],[Title]]," ",Table1[[#This Row],[First Name]]," ",Table1[[#This Row],[Last Name]]))</f>
        <v>Mrs Sharon Bloom</v>
      </c>
      <c r="H193" t="str">
        <f>SUBSTITUTE(Table1[[#This Row],[Street]],"Road"," Road")</f>
        <v>Great George</v>
      </c>
      <c r="I193" t="str">
        <f>SUBSTITUTE(Table1[[#This Row],[Separate combined words ]],"?","")</f>
        <v>Great George</v>
      </c>
      <c r="J193" t="str">
        <f>TRIM(Table1[[#This Row],[Remove Question Mark "?"]])</f>
        <v>Great George</v>
      </c>
      <c r="K193" t="str">
        <f>PROPER(Table1[[#This Row],[Leading, Multiple &amp; Trailing spaces]])</f>
        <v>Great George</v>
      </c>
      <c r="L193" t="str">
        <f t="shared" si="2"/>
        <v>Great George</v>
      </c>
      <c r="M193" t="s">
        <v>1002</v>
      </c>
    </row>
    <row r="194" spans="1:13" x14ac:dyDescent="0.3">
      <c r="A194">
        <v>191</v>
      </c>
      <c r="B194" t="s">
        <v>1004</v>
      </c>
      <c r="C194" t="s">
        <v>1005</v>
      </c>
      <c r="D194" t="s">
        <v>7</v>
      </c>
      <c r="E194" t="s">
        <v>1006</v>
      </c>
      <c r="F194" t="s">
        <v>1007</v>
      </c>
      <c r="G194" t="str">
        <f xml:space="preserve"> PROPER(_xlfn.CONCAT(Table1[[#This Row],[Title]]," ",Table1[[#This Row],[First Name]]," ",Table1[[#This Row],[Last Name]]))</f>
        <v>Mrs Daphine Hansen</v>
      </c>
      <c r="H194" t="str">
        <f>SUBSTITUTE(Table1[[#This Row],[Street]],"Road"," Road")</f>
        <v>Trundley Lane</v>
      </c>
      <c r="I194" t="str">
        <f>SUBSTITUTE(Table1[[#This Row],[Separate combined words ]],"?","")</f>
        <v>Trundley Lane</v>
      </c>
      <c r="J194" t="str">
        <f>TRIM(Table1[[#This Row],[Remove Question Mark "?"]])</f>
        <v>Trundley Lane</v>
      </c>
      <c r="K194" t="str">
        <f>PROPER(Table1[[#This Row],[Leading, Multiple &amp; Trailing spaces]])</f>
        <v>Trundley Lane</v>
      </c>
      <c r="L194" t="str">
        <f t="shared" si="2"/>
        <v>Trundley Lane</v>
      </c>
      <c r="M194" t="s">
        <v>1006</v>
      </c>
    </row>
    <row r="195" spans="1:13" x14ac:dyDescent="0.3">
      <c r="A195">
        <v>192</v>
      </c>
      <c r="B195" t="s">
        <v>1008</v>
      </c>
      <c r="C195" t="s">
        <v>1009</v>
      </c>
      <c r="D195" t="s">
        <v>7</v>
      </c>
      <c r="E195" t="s">
        <v>1010</v>
      </c>
      <c r="F195" t="s">
        <v>1011</v>
      </c>
      <c r="G195" t="str">
        <f xml:space="preserve"> PROPER(_xlfn.CONCAT(Table1[[#This Row],[Title]]," ",Table1[[#This Row],[First Name]]," ",Table1[[#This Row],[Last Name]]))</f>
        <v>Mrs Carley Barker</v>
      </c>
      <c r="H195" t="str">
        <f>SUBSTITUTE(Table1[[#This Row],[Street]],"Road"," Road")</f>
        <v>Broadstone Place</v>
      </c>
      <c r="I195" t="str">
        <f>SUBSTITUTE(Table1[[#This Row],[Separate combined words ]],"?","")</f>
        <v>Broadstone Place</v>
      </c>
      <c r="J195" t="str">
        <f>TRIM(Table1[[#This Row],[Remove Question Mark "?"]])</f>
        <v>Broadstone Place</v>
      </c>
      <c r="K195" t="str">
        <f>PROPER(Table1[[#This Row],[Leading, Multiple &amp; Trailing spaces]])</f>
        <v>Broadstone Place</v>
      </c>
      <c r="L195" t="str">
        <f t="shared" si="2"/>
        <v>Broadstone Place</v>
      </c>
      <c r="M195" t="s">
        <v>1010</v>
      </c>
    </row>
    <row r="196" spans="1:13" x14ac:dyDescent="0.3">
      <c r="A196">
        <v>193</v>
      </c>
      <c r="B196" t="s">
        <v>1012</v>
      </c>
      <c r="C196" t="s">
        <v>1013</v>
      </c>
      <c r="D196" t="s">
        <v>7</v>
      </c>
      <c r="E196" t="s">
        <v>1014</v>
      </c>
      <c r="F196" t="s">
        <v>1015</v>
      </c>
      <c r="G196" t="str">
        <f xml:space="preserve"> PROPER(_xlfn.CONCAT(Table1[[#This Row],[Title]]," ",Table1[[#This Row],[First Name]]," ",Table1[[#This Row],[Last Name]]))</f>
        <v>Mrs Shaquana Bullard</v>
      </c>
      <c r="H196" t="str">
        <f>SUBSTITUTE(Table1[[#This Row],[Street]],"Road"," Road")</f>
        <v>Wilmot Green</v>
      </c>
      <c r="I196" t="str">
        <f>SUBSTITUTE(Table1[[#This Row],[Separate combined words ]],"?","")</f>
        <v>Wilmot Green</v>
      </c>
      <c r="J196" t="str">
        <f>TRIM(Table1[[#This Row],[Remove Question Mark "?"]])</f>
        <v>Wilmot Green</v>
      </c>
      <c r="K196" t="str">
        <f>PROPER(Table1[[#This Row],[Leading, Multiple &amp; Trailing spaces]])</f>
        <v>Wilmot Green</v>
      </c>
      <c r="L196" t="str">
        <f t="shared" si="2"/>
        <v>Wilmot Green</v>
      </c>
      <c r="M196" t="s">
        <v>1014</v>
      </c>
    </row>
    <row r="197" spans="1:13" x14ac:dyDescent="0.3">
      <c r="A197">
        <v>194</v>
      </c>
      <c r="B197" t="s">
        <v>1016</v>
      </c>
      <c r="C197" t="s">
        <v>1017</v>
      </c>
      <c r="D197" t="s">
        <v>7</v>
      </c>
      <c r="E197" t="s">
        <v>1018</v>
      </c>
      <c r="F197" t="s">
        <v>634</v>
      </c>
      <c r="G197" t="str">
        <f xml:space="preserve"> PROPER(_xlfn.CONCAT(Table1[[#This Row],[Title]]," ",Table1[[#This Row],[First Name]]," ",Table1[[#This Row],[Last Name]]))</f>
        <v>Mrs Annie Jefferson</v>
      </c>
      <c r="H197" t="str">
        <f>SUBSTITUTE(Table1[[#This Row],[Street]],"Road"," Road")</f>
        <v>Bruce Castle</v>
      </c>
      <c r="I197" t="str">
        <f>SUBSTITUTE(Table1[[#This Row],[Separate combined words ]],"?","")</f>
        <v>Bruce Castle</v>
      </c>
      <c r="J197" t="str">
        <f>TRIM(Table1[[#This Row],[Remove Question Mark "?"]])</f>
        <v>Bruce Castle</v>
      </c>
      <c r="K197" t="str">
        <f>PROPER(Table1[[#This Row],[Leading, Multiple &amp; Trailing spaces]])</f>
        <v>Bruce Castle</v>
      </c>
      <c r="L197" t="str">
        <f t="shared" ref="L197:L260" si="3">TRIM(PROPER(SUBSTITUTE(SUBSTITUTE((E197),"?",""),"Road"," Road")))</f>
        <v>Bruce Castle</v>
      </c>
      <c r="M197" t="s">
        <v>1018</v>
      </c>
    </row>
    <row r="198" spans="1:13" x14ac:dyDescent="0.3">
      <c r="A198">
        <v>195</v>
      </c>
      <c r="B198" t="s">
        <v>1019</v>
      </c>
      <c r="C198" t="s">
        <v>608</v>
      </c>
      <c r="D198" t="s">
        <v>18</v>
      </c>
      <c r="E198" t="s">
        <v>1020</v>
      </c>
      <c r="F198" t="s">
        <v>1021</v>
      </c>
      <c r="G198" t="str">
        <f xml:space="preserve"> PROPER(_xlfn.CONCAT(Table1[[#This Row],[Title]]," ",Table1[[#This Row],[First Name]]," ",Table1[[#This Row],[Last Name]]))</f>
        <v>Miss Yolanda Grubbs</v>
      </c>
      <c r="H198" t="str">
        <f>SUBSTITUTE(Table1[[#This Row],[Street]],"Road"," Road")</f>
        <v>Wood Hall</v>
      </c>
      <c r="I198" t="str">
        <f>SUBSTITUTE(Table1[[#This Row],[Separate combined words ]],"?","")</f>
        <v>Wood Hall</v>
      </c>
      <c r="J198" t="str">
        <f>TRIM(Table1[[#This Row],[Remove Question Mark "?"]])</f>
        <v>Wood Hall</v>
      </c>
      <c r="K198" t="str">
        <f>PROPER(Table1[[#This Row],[Leading, Multiple &amp; Trailing spaces]])</f>
        <v>Wood Hall</v>
      </c>
      <c r="L198" t="str">
        <f t="shared" si="3"/>
        <v>Wood Hall</v>
      </c>
      <c r="M198" t="s">
        <v>1020</v>
      </c>
    </row>
    <row r="199" spans="1:13" x14ac:dyDescent="0.3">
      <c r="A199">
        <v>196</v>
      </c>
      <c r="B199" t="s">
        <v>1022</v>
      </c>
      <c r="C199" t="s">
        <v>1023</v>
      </c>
      <c r="D199" t="s">
        <v>71</v>
      </c>
      <c r="E199" t="s">
        <v>1024</v>
      </c>
      <c r="F199" t="s">
        <v>1025</v>
      </c>
      <c r="G199" t="str">
        <f xml:space="preserve"> PROPER(_xlfn.CONCAT(Table1[[#This Row],[Title]]," ",Table1[[#This Row],[First Name]]," ",Table1[[#This Row],[Last Name]]))</f>
        <v>Ms Macy Billings</v>
      </c>
      <c r="H199" t="str">
        <f>SUBSTITUTE(Table1[[#This Row],[Street]],"Road"," Road")</f>
        <v>Benyon Cottages</v>
      </c>
      <c r="I199" t="str">
        <f>SUBSTITUTE(Table1[[#This Row],[Separate combined words ]],"?","")</f>
        <v>Benyon Cottages</v>
      </c>
      <c r="J199" t="str">
        <f>TRIM(Table1[[#This Row],[Remove Question Mark "?"]])</f>
        <v>Benyon Cottages</v>
      </c>
      <c r="K199" t="str">
        <f>PROPER(Table1[[#This Row],[Leading, Multiple &amp; Trailing spaces]])</f>
        <v>Benyon Cottages</v>
      </c>
      <c r="L199" t="str">
        <f t="shared" si="3"/>
        <v>Benyon Cottages</v>
      </c>
      <c r="M199" t="s">
        <v>1024</v>
      </c>
    </row>
    <row r="200" spans="1:13" x14ac:dyDescent="0.3">
      <c r="A200">
        <v>197</v>
      </c>
      <c r="B200" t="s">
        <v>1026</v>
      </c>
      <c r="C200" t="s">
        <v>511</v>
      </c>
      <c r="D200" t="s">
        <v>18</v>
      </c>
      <c r="E200" t="s">
        <v>251</v>
      </c>
      <c r="F200" t="s">
        <v>1027</v>
      </c>
      <c r="G200" t="str">
        <f xml:space="preserve"> PROPER(_xlfn.CONCAT(Table1[[#This Row],[Title]]," ",Table1[[#This Row],[First Name]]," ",Table1[[#This Row],[Last Name]]))</f>
        <v>Miss Krysten Reyna</v>
      </c>
      <c r="H200" t="str">
        <f>SUBSTITUTE(Table1[[#This Row],[Street]],"Road"," Road")</f>
        <v>Georges Place</v>
      </c>
      <c r="I200" t="str">
        <f>SUBSTITUTE(Table1[[#This Row],[Separate combined words ]],"?","")</f>
        <v>Georges Place</v>
      </c>
      <c r="J200" t="str">
        <f>TRIM(Table1[[#This Row],[Remove Question Mark "?"]])</f>
        <v>Georges Place</v>
      </c>
      <c r="K200" t="str">
        <f>PROPER(Table1[[#This Row],[Leading, Multiple &amp; Trailing spaces]])</f>
        <v>Georges Place</v>
      </c>
      <c r="L200" t="str">
        <f t="shared" si="3"/>
        <v>Georges Place</v>
      </c>
      <c r="M200" t="s">
        <v>251</v>
      </c>
    </row>
    <row r="201" spans="1:13" x14ac:dyDescent="0.3">
      <c r="A201">
        <v>198</v>
      </c>
      <c r="B201" t="s">
        <v>1028</v>
      </c>
      <c r="C201" t="s">
        <v>1029</v>
      </c>
      <c r="D201" t="s">
        <v>71</v>
      </c>
      <c r="E201" t="s">
        <v>1030</v>
      </c>
      <c r="F201" t="s">
        <v>1031</v>
      </c>
      <c r="G201" t="str">
        <f xml:space="preserve"> PROPER(_xlfn.CONCAT(Table1[[#This Row],[Title]]," ",Table1[[#This Row],[First Name]]," ",Table1[[#This Row],[Last Name]]))</f>
        <v>Ms Kelsey Moseley</v>
      </c>
      <c r="H201" t="str">
        <f>SUBSTITUTE(Table1[[#This Row],[Street]],"Road"," Road")</f>
        <v>Martin Close</v>
      </c>
      <c r="I201" t="str">
        <f>SUBSTITUTE(Table1[[#This Row],[Separate combined words ]],"?","")</f>
        <v>Martin Close</v>
      </c>
      <c r="J201" t="str">
        <f>TRIM(Table1[[#This Row],[Remove Question Mark "?"]])</f>
        <v>Martin Close</v>
      </c>
      <c r="K201" t="str">
        <f>PROPER(Table1[[#This Row],[Leading, Multiple &amp; Trailing spaces]])</f>
        <v>Martin Close</v>
      </c>
      <c r="L201" t="str">
        <f t="shared" si="3"/>
        <v>Martin Close</v>
      </c>
      <c r="M201" t="s">
        <v>1030</v>
      </c>
    </row>
    <row r="202" spans="1:13" x14ac:dyDescent="0.3">
      <c r="A202">
        <v>199</v>
      </c>
      <c r="B202" t="s">
        <v>1032</v>
      </c>
      <c r="C202" t="s">
        <v>1033</v>
      </c>
      <c r="D202" t="s">
        <v>18</v>
      </c>
      <c r="E202" t="s">
        <v>1034</v>
      </c>
      <c r="F202" t="s">
        <v>1035</v>
      </c>
      <c r="G202" t="str">
        <f xml:space="preserve"> PROPER(_xlfn.CONCAT(Table1[[#This Row],[Title]]," ",Table1[[#This Row],[First Name]]," ",Table1[[#This Row],[Last Name]]))</f>
        <v>Miss Marcela Romo</v>
      </c>
      <c r="H202" t="str">
        <f>SUBSTITUTE(Table1[[#This Row],[Street]],"Road"," Road")</f>
        <v>Nicholas Passage</v>
      </c>
      <c r="I202" t="str">
        <f>SUBSTITUTE(Table1[[#This Row],[Separate combined words ]],"?","")</f>
        <v>Nicholas Passage</v>
      </c>
      <c r="J202" t="str">
        <f>TRIM(Table1[[#This Row],[Remove Question Mark "?"]])</f>
        <v>Nicholas Passage</v>
      </c>
      <c r="K202" t="str">
        <f>PROPER(Table1[[#This Row],[Leading, Multiple &amp; Trailing spaces]])</f>
        <v>Nicholas Passage</v>
      </c>
      <c r="L202" t="str">
        <f t="shared" si="3"/>
        <v>Nicholas Passage</v>
      </c>
      <c r="M202" t="s">
        <v>1034</v>
      </c>
    </row>
    <row r="203" spans="1:13" x14ac:dyDescent="0.3">
      <c r="A203">
        <v>200</v>
      </c>
      <c r="B203" t="s">
        <v>1036</v>
      </c>
      <c r="C203" t="s">
        <v>1037</v>
      </c>
      <c r="D203" t="s">
        <v>18</v>
      </c>
      <c r="E203" t="s">
        <v>1038</v>
      </c>
      <c r="F203" t="s">
        <v>593</v>
      </c>
      <c r="G203" t="str">
        <f xml:space="preserve"> PROPER(_xlfn.CONCAT(Table1[[#This Row],[Title]]," ",Table1[[#This Row],[First Name]]," ",Table1[[#This Row],[Last Name]]))</f>
        <v>Miss Tajuana Babb</v>
      </c>
      <c r="H203" t="str">
        <f>SUBSTITUTE(Table1[[#This Row],[Street]],"Road"," Road")</f>
        <v>Slough Lane</v>
      </c>
      <c r="I203" t="str">
        <f>SUBSTITUTE(Table1[[#This Row],[Separate combined words ]],"?","")</f>
        <v>Slough Lane</v>
      </c>
      <c r="J203" t="str">
        <f>TRIM(Table1[[#This Row],[Remove Question Mark "?"]])</f>
        <v>Slough Lane</v>
      </c>
      <c r="K203" t="str">
        <f>PROPER(Table1[[#This Row],[Leading, Multiple &amp; Trailing spaces]])</f>
        <v>Slough Lane</v>
      </c>
      <c r="L203" t="str">
        <f t="shared" si="3"/>
        <v>Slough Lane</v>
      </c>
      <c r="M203" t="s">
        <v>1038</v>
      </c>
    </row>
    <row r="204" spans="1:13" x14ac:dyDescent="0.3">
      <c r="A204">
        <v>201</v>
      </c>
      <c r="B204" t="s">
        <v>1039</v>
      </c>
      <c r="C204" t="s">
        <v>1040</v>
      </c>
      <c r="D204" t="s">
        <v>7</v>
      </c>
      <c r="E204" t="s">
        <v>1041</v>
      </c>
      <c r="F204" t="s">
        <v>694</v>
      </c>
      <c r="G204" t="str">
        <f xml:space="preserve"> PROPER(_xlfn.CONCAT(Table1[[#This Row],[Title]]," ",Table1[[#This Row],[First Name]]," ",Table1[[#This Row],[Last Name]]))</f>
        <v>Mrs Wenona Howe</v>
      </c>
      <c r="H204" t="str">
        <f>SUBSTITUTE(Table1[[#This Row],[Street]],"Road"," Road")</f>
        <v>Boultwood  Road</v>
      </c>
      <c r="I204" t="str">
        <f>SUBSTITUTE(Table1[[#This Row],[Separate combined words ]],"?","")</f>
        <v>Boultwood  Road</v>
      </c>
      <c r="J204" t="str">
        <f>TRIM(Table1[[#This Row],[Remove Question Mark "?"]])</f>
        <v>Boultwood Road</v>
      </c>
      <c r="K204" t="str">
        <f>PROPER(Table1[[#This Row],[Leading, Multiple &amp; Trailing spaces]])</f>
        <v>Boultwood Road</v>
      </c>
      <c r="L204" t="str">
        <f t="shared" si="3"/>
        <v>Boultwood Road</v>
      </c>
      <c r="M204" t="s">
        <v>1041</v>
      </c>
    </row>
    <row r="205" spans="1:13" x14ac:dyDescent="0.3">
      <c r="A205">
        <v>202</v>
      </c>
      <c r="B205" t="s">
        <v>1042</v>
      </c>
      <c r="C205" t="s">
        <v>1043</v>
      </c>
      <c r="D205" t="s">
        <v>7</v>
      </c>
      <c r="E205" t="s">
        <v>1044</v>
      </c>
      <c r="F205" t="s">
        <v>1045</v>
      </c>
      <c r="G205" t="str">
        <f xml:space="preserve"> PROPER(_xlfn.CONCAT(Table1[[#This Row],[Title]]," ",Table1[[#This Row],[First Name]]," ",Table1[[#This Row],[Last Name]]))</f>
        <v>Mrs Lizbeth Church</v>
      </c>
      <c r="H205" t="str">
        <f>SUBSTITUTE(Table1[[#This Row],[Street]],"Road"," Road")</f>
        <v>Clarelawn Avenue</v>
      </c>
      <c r="I205" t="str">
        <f>SUBSTITUTE(Table1[[#This Row],[Separate combined words ]],"?","")</f>
        <v>Clarelawn Avenue</v>
      </c>
      <c r="J205" t="str">
        <f>TRIM(Table1[[#This Row],[Remove Question Mark "?"]])</f>
        <v>Clarelawn Avenue</v>
      </c>
      <c r="K205" t="str">
        <f>PROPER(Table1[[#This Row],[Leading, Multiple &amp; Trailing spaces]])</f>
        <v>Clarelawn Avenue</v>
      </c>
      <c r="L205" t="str">
        <f t="shared" si="3"/>
        <v>Clarelawn Avenue</v>
      </c>
      <c r="M205" t="s">
        <v>1044</v>
      </c>
    </row>
    <row r="206" spans="1:13" x14ac:dyDescent="0.3">
      <c r="A206">
        <v>203</v>
      </c>
      <c r="B206" t="s">
        <v>1046</v>
      </c>
      <c r="C206" t="s">
        <v>1047</v>
      </c>
      <c r="D206" t="s">
        <v>7</v>
      </c>
      <c r="E206" t="s">
        <v>1048</v>
      </c>
      <c r="F206" t="s">
        <v>543</v>
      </c>
      <c r="G206" t="str">
        <f xml:space="preserve"> PROPER(_xlfn.CONCAT(Table1[[#This Row],[Title]]," ",Table1[[#This Row],[First Name]]," ",Table1[[#This Row],[Last Name]]))</f>
        <v>Mrs Pasty Muller</v>
      </c>
      <c r="H206" t="str">
        <f>SUBSTITUTE(Table1[[#This Row],[Street]],"Road"," Road")</f>
        <v>Overton Court</v>
      </c>
      <c r="I206" t="str">
        <f>SUBSTITUTE(Table1[[#This Row],[Separate combined words ]],"?","")</f>
        <v>Overton Court</v>
      </c>
      <c r="J206" t="str">
        <f>TRIM(Table1[[#This Row],[Remove Question Mark "?"]])</f>
        <v>Overton Court</v>
      </c>
      <c r="K206" t="str">
        <f>PROPER(Table1[[#This Row],[Leading, Multiple &amp; Trailing spaces]])</f>
        <v>Overton Court</v>
      </c>
      <c r="L206" t="str">
        <f t="shared" si="3"/>
        <v>Overton Court</v>
      </c>
      <c r="M206" t="s">
        <v>1048</v>
      </c>
    </row>
    <row r="207" spans="1:13" x14ac:dyDescent="0.3">
      <c r="A207">
        <v>204</v>
      </c>
      <c r="B207" t="s">
        <v>1049</v>
      </c>
      <c r="C207" t="s">
        <v>1050</v>
      </c>
      <c r="D207" t="s">
        <v>7</v>
      </c>
      <c r="E207" t="s">
        <v>1051</v>
      </c>
      <c r="F207" t="s">
        <v>1052</v>
      </c>
      <c r="G207" t="str">
        <f xml:space="preserve"> PROPER(_xlfn.CONCAT(Table1[[#This Row],[Title]]," ",Table1[[#This Row],[First Name]]," ",Table1[[#This Row],[Last Name]]))</f>
        <v>Mrs Adelina Mcclellan</v>
      </c>
      <c r="H207" t="str">
        <f>SUBSTITUTE(Table1[[#This Row],[Street]],"Road"," Road")</f>
        <v>Lidlington Place</v>
      </c>
      <c r="I207" t="str">
        <f>SUBSTITUTE(Table1[[#This Row],[Separate combined words ]],"?","")</f>
        <v>Lidlington Place</v>
      </c>
      <c r="J207" t="str">
        <f>TRIM(Table1[[#This Row],[Remove Question Mark "?"]])</f>
        <v>Lidlington Place</v>
      </c>
      <c r="K207" t="str">
        <f>PROPER(Table1[[#This Row],[Leading, Multiple &amp; Trailing spaces]])</f>
        <v>Lidlington Place</v>
      </c>
      <c r="L207" t="str">
        <f t="shared" si="3"/>
        <v>Lidlington Place</v>
      </c>
      <c r="M207" t="s">
        <v>1051</v>
      </c>
    </row>
    <row r="208" spans="1:13" x14ac:dyDescent="0.3">
      <c r="A208">
        <v>205</v>
      </c>
      <c r="B208" t="s">
        <v>1053</v>
      </c>
      <c r="C208" t="s">
        <v>1054</v>
      </c>
      <c r="D208" t="s">
        <v>71</v>
      </c>
      <c r="E208" t="s">
        <v>1055</v>
      </c>
      <c r="F208" t="s">
        <v>1056</v>
      </c>
      <c r="G208" t="str">
        <f xml:space="preserve"> PROPER(_xlfn.CONCAT(Table1[[#This Row],[Title]]," ",Table1[[#This Row],[First Name]]," ",Table1[[#This Row],[Last Name]]))</f>
        <v>Ms Genna Rosales</v>
      </c>
      <c r="H208" t="str">
        <f>SUBSTITUTE(Table1[[#This Row],[Street]],"Road"," Road")</f>
        <v>Chancellors  Road</v>
      </c>
      <c r="I208" t="str">
        <f>SUBSTITUTE(Table1[[#This Row],[Separate combined words ]],"?","")</f>
        <v>Chancellors  Road</v>
      </c>
      <c r="J208" t="str">
        <f>TRIM(Table1[[#This Row],[Remove Question Mark "?"]])</f>
        <v>Chancellors Road</v>
      </c>
      <c r="K208" t="str">
        <f>PROPER(Table1[[#This Row],[Leading, Multiple &amp; Trailing spaces]])</f>
        <v>Chancellors Road</v>
      </c>
      <c r="L208" t="str">
        <f t="shared" si="3"/>
        <v>Chancellors Road</v>
      </c>
      <c r="M208" t="s">
        <v>1055</v>
      </c>
    </row>
    <row r="209" spans="1:13" x14ac:dyDescent="0.3">
      <c r="A209">
        <v>206</v>
      </c>
      <c r="B209" t="s">
        <v>1057</v>
      </c>
      <c r="C209" t="s">
        <v>488</v>
      </c>
      <c r="D209" t="s">
        <v>18</v>
      </c>
      <c r="E209" t="s">
        <v>1058</v>
      </c>
      <c r="F209" t="s">
        <v>613</v>
      </c>
      <c r="G209" t="str">
        <f xml:space="preserve"> PROPER(_xlfn.CONCAT(Table1[[#This Row],[Title]]," ",Table1[[#This Row],[First Name]]," ",Table1[[#This Row],[Last Name]]))</f>
        <v>Miss Larita Pate</v>
      </c>
      <c r="H209" t="str">
        <f>SUBSTITUTE(Table1[[#This Row],[Street]],"Road"," Road")</f>
        <v>Emma Street</v>
      </c>
      <c r="I209" t="str">
        <f>SUBSTITUTE(Table1[[#This Row],[Separate combined words ]],"?","")</f>
        <v>Emma Street</v>
      </c>
      <c r="J209" t="str">
        <f>TRIM(Table1[[#This Row],[Remove Question Mark "?"]])</f>
        <v>Emma Street</v>
      </c>
      <c r="K209" t="str">
        <f>PROPER(Table1[[#This Row],[Leading, Multiple &amp; Trailing spaces]])</f>
        <v>Emma Street</v>
      </c>
      <c r="L209" t="str">
        <f t="shared" si="3"/>
        <v>Emma Street</v>
      </c>
      <c r="M209" t="s">
        <v>1058</v>
      </c>
    </row>
    <row r="210" spans="1:13" x14ac:dyDescent="0.3">
      <c r="A210">
        <v>207</v>
      </c>
      <c r="B210" t="s">
        <v>414</v>
      </c>
      <c r="C210" t="s">
        <v>380</v>
      </c>
      <c r="D210" t="s">
        <v>7</v>
      </c>
      <c r="E210" t="s">
        <v>1059</v>
      </c>
      <c r="F210" t="s">
        <v>649</v>
      </c>
      <c r="G210" t="str">
        <f xml:space="preserve"> PROPER(_xlfn.CONCAT(Table1[[#This Row],[Title]]," ",Table1[[#This Row],[First Name]]," ",Table1[[#This Row],[Last Name]]))</f>
        <v>Mrs Lili Carson</v>
      </c>
      <c r="H210" t="str">
        <f>SUBSTITUTE(Table1[[#This Row],[Street]],"Road"," Road")</f>
        <v>Oak Park</v>
      </c>
      <c r="I210" t="str">
        <f>SUBSTITUTE(Table1[[#This Row],[Separate combined words ]],"?","")</f>
        <v>Oak Park</v>
      </c>
      <c r="J210" t="str">
        <f>TRIM(Table1[[#This Row],[Remove Question Mark "?"]])</f>
        <v>Oak Park</v>
      </c>
      <c r="K210" t="str">
        <f>PROPER(Table1[[#This Row],[Leading, Multiple &amp; Trailing spaces]])</f>
        <v>Oak Park</v>
      </c>
      <c r="L210" t="str">
        <f t="shared" si="3"/>
        <v>Oak Park</v>
      </c>
      <c r="M210" t="s">
        <v>1059</v>
      </c>
    </row>
    <row r="211" spans="1:13" x14ac:dyDescent="0.3">
      <c r="A211">
        <v>208</v>
      </c>
      <c r="B211" t="s">
        <v>1060</v>
      </c>
      <c r="C211" t="s">
        <v>1061</v>
      </c>
      <c r="D211" t="s">
        <v>7</v>
      </c>
      <c r="E211" t="s">
        <v>1062</v>
      </c>
      <c r="F211" t="s">
        <v>81</v>
      </c>
      <c r="G211" t="str">
        <f xml:space="preserve"> PROPER(_xlfn.CONCAT(Table1[[#This Row],[Title]]," ",Table1[[#This Row],[First Name]]," ",Table1[[#This Row],[Last Name]]))</f>
        <v>Mrs Paris Wallace</v>
      </c>
      <c r="H211" t="str">
        <f>SUBSTITUTE(Table1[[#This Row],[Street]],"Road"," Road")</f>
        <v>Cavour Street</v>
      </c>
      <c r="I211" t="str">
        <f>SUBSTITUTE(Table1[[#This Row],[Separate combined words ]],"?","")</f>
        <v>Cavour Street</v>
      </c>
      <c r="J211" t="str">
        <f>TRIM(Table1[[#This Row],[Remove Question Mark "?"]])</f>
        <v>Cavour Street</v>
      </c>
      <c r="K211" t="str">
        <f>PROPER(Table1[[#This Row],[Leading, Multiple &amp; Trailing spaces]])</f>
        <v>Cavour Street</v>
      </c>
      <c r="L211" t="str">
        <f t="shared" si="3"/>
        <v>Cavour Street</v>
      </c>
      <c r="M211" t="s">
        <v>1062</v>
      </c>
    </row>
    <row r="212" spans="1:13" x14ac:dyDescent="0.3">
      <c r="A212">
        <v>209</v>
      </c>
      <c r="B212" t="s">
        <v>1063</v>
      </c>
      <c r="C212" t="s">
        <v>1064</v>
      </c>
      <c r="D212" t="s">
        <v>18</v>
      </c>
      <c r="E212" t="s">
        <v>1065</v>
      </c>
      <c r="F212" t="s">
        <v>1066</v>
      </c>
      <c r="G212" t="str">
        <f xml:space="preserve"> PROPER(_xlfn.CONCAT(Table1[[#This Row],[Title]]," ",Table1[[#This Row],[First Name]]," ",Table1[[#This Row],[Last Name]]))</f>
        <v>Miss Joye Pearce</v>
      </c>
      <c r="H212" t="str">
        <f>SUBSTITUTE(Table1[[#This Row],[Street]],"Road"," Road")</f>
        <v>Camerton Close</v>
      </c>
      <c r="I212" t="str">
        <f>SUBSTITUTE(Table1[[#This Row],[Separate combined words ]],"?","")</f>
        <v>Camerton Close</v>
      </c>
      <c r="J212" t="str">
        <f>TRIM(Table1[[#This Row],[Remove Question Mark "?"]])</f>
        <v>Camerton Close</v>
      </c>
      <c r="K212" t="str">
        <f>PROPER(Table1[[#This Row],[Leading, Multiple &amp; Trailing spaces]])</f>
        <v>Camerton Close</v>
      </c>
      <c r="L212" t="str">
        <f t="shared" si="3"/>
        <v>Camerton Close</v>
      </c>
      <c r="M212" t="s">
        <v>1065</v>
      </c>
    </row>
    <row r="213" spans="1:13" x14ac:dyDescent="0.3">
      <c r="A213">
        <v>210</v>
      </c>
      <c r="B213" t="s">
        <v>1067</v>
      </c>
      <c r="C213" t="s">
        <v>892</v>
      </c>
      <c r="D213" t="s">
        <v>7</v>
      </c>
      <c r="E213" t="s">
        <v>1068</v>
      </c>
      <c r="F213" t="s">
        <v>546</v>
      </c>
      <c r="G213" t="str">
        <f xml:space="preserve"> PROPER(_xlfn.CONCAT(Table1[[#This Row],[Title]]," ",Table1[[#This Row],[First Name]]," ",Table1[[#This Row],[Last Name]]))</f>
        <v>Mrs Marth Hurst</v>
      </c>
      <c r="H213" t="str">
        <f>SUBSTITUTE(Table1[[#This Row],[Street]],"Road"," Road")</f>
        <v>Roseneath Avenue</v>
      </c>
      <c r="I213" t="str">
        <f>SUBSTITUTE(Table1[[#This Row],[Separate combined words ]],"?","")</f>
        <v>Roseneath Avenue</v>
      </c>
      <c r="J213" t="str">
        <f>TRIM(Table1[[#This Row],[Remove Question Mark "?"]])</f>
        <v>Roseneath Avenue</v>
      </c>
      <c r="K213" t="str">
        <f>PROPER(Table1[[#This Row],[Leading, Multiple &amp; Trailing spaces]])</f>
        <v>Roseneath Avenue</v>
      </c>
      <c r="L213" t="str">
        <f t="shared" si="3"/>
        <v>Roseneath Avenue</v>
      </c>
      <c r="M213" t="s">
        <v>1068</v>
      </c>
    </row>
    <row r="214" spans="1:13" x14ac:dyDescent="0.3">
      <c r="A214">
        <v>211</v>
      </c>
      <c r="B214" t="s">
        <v>1069</v>
      </c>
      <c r="C214" t="s">
        <v>1070</v>
      </c>
      <c r="D214" t="s">
        <v>18</v>
      </c>
      <c r="E214" t="s">
        <v>1071</v>
      </c>
      <c r="F214" t="s">
        <v>1072</v>
      </c>
      <c r="G214" t="str">
        <f xml:space="preserve"> PROPER(_xlfn.CONCAT(Table1[[#This Row],[Title]]," ",Table1[[#This Row],[First Name]]," ",Table1[[#This Row],[Last Name]]))</f>
        <v>Miss Shanelle Leon</v>
      </c>
      <c r="H214" t="str">
        <f>SUBSTITUTE(Table1[[#This Row],[Street]],"Road"," Road")</f>
        <v>Langton Villas</v>
      </c>
      <c r="I214" t="str">
        <f>SUBSTITUTE(Table1[[#This Row],[Separate combined words ]],"?","")</f>
        <v>Langton Villas</v>
      </c>
      <c r="J214" t="str">
        <f>TRIM(Table1[[#This Row],[Remove Question Mark "?"]])</f>
        <v>Langton Villas</v>
      </c>
      <c r="K214" t="str">
        <f>PROPER(Table1[[#This Row],[Leading, Multiple &amp; Trailing spaces]])</f>
        <v>Langton Villas</v>
      </c>
      <c r="L214" t="str">
        <f t="shared" si="3"/>
        <v>Langton Villas</v>
      </c>
      <c r="M214" t="s">
        <v>1071</v>
      </c>
    </row>
    <row r="215" spans="1:13" x14ac:dyDescent="0.3">
      <c r="A215">
        <v>212</v>
      </c>
      <c r="B215" t="s">
        <v>1073</v>
      </c>
      <c r="C215" t="s">
        <v>1074</v>
      </c>
      <c r="D215" t="s">
        <v>18</v>
      </c>
      <c r="E215" t="s">
        <v>1075</v>
      </c>
      <c r="F215" t="s">
        <v>524</v>
      </c>
      <c r="G215" t="str">
        <f xml:space="preserve"> PROPER(_xlfn.CONCAT(Table1[[#This Row],[Title]]," ",Table1[[#This Row],[First Name]]," ",Table1[[#This Row],[Last Name]]))</f>
        <v>Miss Carl Stacy</v>
      </c>
      <c r="H215" t="str">
        <f>SUBSTITUTE(Table1[[#This Row],[Street]],"Road"," Road")</f>
        <v>Single Place</v>
      </c>
      <c r="I215" t="str">
        <f>SUBSTITUTE(Table1[[#This Row],[Separate combined words ]],"?","")</f>
        <v>Single Place</v>
      </c>
      <c r="J215" t="str">
        <f>TRIM(Table1[[#This Row],[Remove Question Mark "?"]])</f>
        <v>Single Place</v>
      </c>
      <c r="K215" t="str">
        <f>PROPER(Table1[[#This Row],[Leading, Multiple &amp; Trailing spaces]])</f>
        <v>Single Place</v>
      </c>
      <c r="L215" t="str">
        <f t="shared" si="3"/>
        <v>Single Place</v>
      </c>
      <c r="M215" t="s">
        <v>1075</v>
      </c>
    </row>
    <row r="216" spans="1:13" x14ac:dyDescent="0.3">
      <c r="A216">
        <v>213</v>
      </c>
      <c r="B216" t="s">
        <v>1076</v>
      </c>
      <c r="C216" t="s">
        <v>880</v>
      </c>
      <c r="D216" t="s">
        <v>18</v>
      </c>
      <c r="E216" t="s">
        <v>1077</v>
      </c>
      <c r="F216" t="s">
        <v>145</v>
      </c>
      <c r="G216" t="str">
        <f xml:space="preserve"> PROPER(_xlfn.CONCAT(Table1[[#This Row],[Title]]," ",Table1[[#This Row],[First Name]]," ",Table1[[#This Row],[Last Name]]))</f>
        <v>Miss Lorean Cochran</v>
      </c>
      <c r="H216" t="str">
        <f>SUBSTITUTE(Table1[[#This Row],[Street]],"Road"," Road")</f>
        <v>Parkington Cottages</v>
      </c>
      <c r="I216" t="str">
        <f>SUBSTITUTE(Table1[[#This Row],[Separate combined words ]],"?","")</f>
        <v>Parkington Cottages</v>
      </c>
      <c r="J216" t="str">
        <f>TRIM(Table1[[#This Row],[Remove Question Mark "?"]])</f>
        <v>Parkington Cottages</v>
      </c>
      <c r="K216" t="str">
        <f>PROPER(Table1[[#This Row],[Leading, Multiple &amp; Trailing spaces]])</f>
        <v>Parkington Cottages</v>
      </c>
      <c r="L216" t="str">
        <f t="shared" si="3"/>
        <v>Parkington Cottages</v>
      </c>
      <c r="M216" t="s">
        <v>1077</v>
      </c>
    </row>
    <row r="217" spans="1:13" x14ac:dyDescent="0.3">
      <c r="A217">
        <v>214</v>
      </c>
      <c r="B217" t="s">
        <v>1078</v>
      </c>
      <c r="C217" t="s">
        <v>692</v>
      </c>
      <c r="D217" t="s">
        <v>18</v>
      </c>
      <c r="E217" t="s">
        <v>1079</v>
      </c>
      <c r="F217" t="s">
        <v>693</v>
      </c>
      <c r="G217" t="str">
        <f xml:space="preserve"> PROPER(_xlfn.CONCAT(Table1[[#This Row],[Title]]," ",Table1[[#This Row],[First Name]]," ",Table1[[#This Row],[Last Name]]))</f>
        <v>Miss Sydney Walter</v>
      </c>
      <c r="H217" t="str">
        <f>SUBSTITUTE(Table1[[#This Row],[Street]],"Road"," Road")</f>
        <v>Florence Cottages</v>
      </c>
      <c r="I217" t="str">
        <f>SUBSTITUTE(Table1[[#This Row],[Separate combined words ]],"?","")</f>
        <v>Florence Cottages</v>
      </c>
      <c r="J217" t="str">
        <f>TRIM(Table1[[#This Row],[Remove Question Mark "?"]])</f>
        <v>Florence Cottages</v>
      </c>
      <c r="K217" t="str">
        <f>PROPER(Table1[[#This Row],[Leading, Multiple &amp; Trailing spaces]])</f>
        <v>Florence Cottages</v>
      </c>
      <c r="L217" t="str">
        <f t="shared" si="3"/>
        <v>Florence Cottages</v>
      </c>
      <c r="M217" t="s">
        <v>1079</v>
      </c>
    </row>
    <row r="218" spans="1:13" x14ac:dyDescent="0.3">
      <c r="A218">
        <v>215</v>
      </c>
      <c r="B218" t="s">
        <v>1080</v>
      </c>
      <c r="C218" t="s">
        <v>1081</v>
      </c>
      <c r="D218" t="s">
        <v>71</v>
      </c>
      <c r="E218" t="s">
        <v>1082</v>
      </c>
      <c r="F218" t="s">
        <v>384</v>
      </c>
      <c r="G218" t="str">
        <f xml:space="preserve"> PROPER(_xlfn.CONCAT(Table1[[#This Row],[Title]]," ",Table1[[#This Row],[First Name]]," ",Table1[[#This Row],[Last Name]]))</f>
        <v>Ms Bea Avila</v>
      </c>
      <c r="H218" t="str">
        <f>SUBSTITUTE(Table1[[#This Row],[Street]],"Road"," Road")</f>
        <v>Allhallows Lane</v>
      </c>
      <c r="I218" t="str">
        <f>SUBSTITUTE(Table1[[#This Row],[Separate combined words ]],"?","")</f>
        <v>Allhallows Lane</v>
      </c>
      <c r="J218" t="str">
        <f>TRIM(Table1[[#This Row],[Remove Question Mark "?"]])</f>
        <v>Allhallows Lane</v>
      </c>
      <c r="K218" t="str">
        <f>PROPER(Table1[[#This Row],[Leading, Multiple &amp; Trailing spaces]])</f>
        <v>Allhallows Lane</v>
      </c>
      <c r="L218" t="str">
        <f t="shared" si="3"/>
        <v>Allhallows Lane</v>
      </c>
      <c r="M218" t="s">
        <v>1082</v>
      </c>
    </row>
    <row r="219" spans="1:13" x14ac:dyDescent="0.3">
      <c r="A219">
        <v>216</v>
      </c>
      <c r="B219" t="s">
        <v>1083</v>
      </c>
      <c r="C219" t="s">
        <v>1084</v>
      </c>
      <c r="D219" t="s">
        <v>18</v>
      </c>
      <c r="E219" t="s">
        <v>1085</v>
      </c>
      <c r="F219" t="s">
        <v>537</v>
      </c>
      <c r="G219" t="str">
        <f xml:space="preserve"> PROPER(_xlfn.CONCAT(Table1[[#This Row],[Title]]," ",Table1[[#This Row],[First Name]]," ",Table1[[#This Row],[Last Name]]))</f>
        <v>Miss Alyssa Benavides</v>
      </c>
      <c r="H219" t="str">
        <f>SUBSTITUTE(Table1[[#This Row],[Street]],"Road"," Road")</f>
        <v>Eagle Cottages</v>
      </c>
      <c r="I219" t="str">
        <f>SUBSTITUTE(Table1[[#This Row],[Separate combined words ]],"?","")</f>
        <v>Eagle Cottages</v>
      </c>
      <c r="J219" t="str">
        <f>TRIM(Table1[[#This Row],[Remove Question Mark "?"]])</f>
        <v>Eagle Cottages</v>
      </c>
      <c r="K219" t="str">
        <f>PROPER(Table1[[#This Row],[Leading, Multiple &amp; Trailing spaces]])</f>
        <v>Eagle Cottages</v>
      </c>
      <c r="L219" t="str">
        <f t="shared" si="3"/>
        <v>Eagle Cottages</v>
      </c>
      <c r="M219" t="s">
        <v>1085</v>
      </c>
    </row>
    <row r="220" spans="1:13" x14ac:dyDescent="0.3">
      <c r="A220">
        <v>217</v>
      </c>
      <c r="B220" t="s">
        <v>1086</v>
      </c>
      <c r="C220" t="s">
        <v>492</v>
      </c>
      <c r="D220" t="s">
        <v>18</v>
      </c>
      <c r="E220" t="s">
        <v>1087</v>
      </c>
      <c r="F220" t="s">
        <v>1088</v>
      </c>
      <c r="G220" t="str">
        <f xml:space="preserve"> PROPER(_xlfn.CONCAT(Table1[[#This Row],[Title]]," ",Table1[[#This Row],[First Name]]," ",Table1[[#This Row],[Last Name]]))</f>
        <v>Miss Delana Beltran</v>
      </c>
      <c r="H220" t="str">
        <f>SUBSTITUTE(Table1[[#This Row],[Street]],"Road"," Road")</f>
        <v>Albemarle</v>
      </c>
      <c r="I220" t="str">
        <f>SUBSTITUTE(Table1[[#This Row],[Separate combined words ]],"?","")</f>
        <v>Albemarle</v>
      </c>
      <c r="J220" t="str">
        <f>TRIM(Table1[[#This Row],[Remove Question Mark "?"]])</f>
        <v>Albemarle</v>
      </c>
      <c r="K220" t="str">
        <f>PROPER(Table1[[#This Row],[Leading, Multiple &amp; Trailing spaces]])</f>
        <v>Albemarle</v>
      </c>
      <c r="L220" t="str">
        <f t="shared" si="3"/>
        <v>Albemarle</v>
      </c>
      <c r="M220" t="s">
        <v>1087</v>
      </c>
    </row>
    <row r="221" spans="1:13" x14ac:dyDescent="0.3">
      <c r="A221">
        <v>218</v>
      </c>
      <c r="B221" t="s">
        <v>1089</v>
      </c>
      <c r="C221" t="s">
        <v>1090</v>
      </c>
      <c r="D221" t="s">
        <v>18</v>
      </c>
      <c r="E221" t="s">
        <v>1091</v>
      </c>
      <c r="F221" t="s">
        <v>829</v>
      </c>
      <c r="G221" t="str">
        <f xml:space="preserve"> PROPER(_xlfn.CONCAT(Table1[[#This Row],[Title]]," ",Table1[[#This Row],[First Name]]," ",Table1[[#This Row],[Last Name]]))</f>
        <v>Miss Marguerita Slaughter</v>
      </c>
      <c r="H221" t="str">
        <f>SUBSTITUTE(Table1[[#This Row],[Street]],"Road"," Road")</f>
        <v>Devonport Cottages</v>
      </c>
      <c r="I221" t="str">
        <f>SUBSTITUTE(Table1[[#This Row],[Separate combined words ]],"?","")</f>
        <v>Devonport Cottages</v>
      </c>
      <c r="J221" t="str">
        <f>TRIM(Table1[[#This Row],[Remove Question Mark "?"]])</f>
        <v>Devonport Cottages</v>
      </c>
      <c r="K221" t="str">
        <f>PROPER(Table1[[#This Row],[Leading, Multiple &amp; Trailing spaces]])</f>
        <v>Devonport Cottages</v>
      </c>
      <c r="L221" t="str">
        <f t="shared" si="3"/>
        <v>Devonport Cottages</v>
      </c>
      <c r="M221" t="s">
        <v>1091</v>
      </c>
    </row>
    <row r="222" spans="1:13" x14ac:dyDescent="0.3">
      <c r="A222">
        <v>219</v>
      </c>
      <c r="B222" t="s">
        <v>1092</v>
      </c>
      <c r="C222" t="s">
        <v>1093</v>
      </c>
      <c r="D222" t="s">
        <v>18</v>
      </c>
      <c r="E222" t="s">
        <v>1094</v>
      </c>
      <c r="F222" t="s">
        <v>1095</v>
      </c>
      <c r="G222" t="str">
        <f xml:space="preserve"> PROPER(_xlfn.CONCAT(Table1[[#This Row],[Title]]," ",Table1[[#This Row],[First Name]]," ",Table1[[#This Row],[Last Name]]))</f>
        <v>Miss Burma Sanderson</v>
      </c>
      <c r="H222" t="str">
        <f>SUBSTITUTE(Table1[[#This Row],[Street]],"Road"," Road")</f>
        <v>Compton House</v>
      </c>
      <c r="I222" t="str">
        <f>SUBSTITUTE(Table1[[#This Row],[Separate combined words ]],"?","")</f>
        <v>Compton House</v>
      </c>
      <c r="J222" t="str">
        <f>TRIM(Table1[[#This Row],[Remove Question Mark "?"]])</f>
        <v>Compton House</v>
      </c>
      <c r="K222" t="str">
        <f>PROPER(Table1[[#This Row],[Leading, Multiple &amp; Trailing spaces]])</f>
        <v>Compton House</v>
      </c>
      <c r="L222" t="str">
        <f t="shared" si="3"/>
        <v>Compton House</v>
      </c>
      <c r="M222" t="s">
        <v>1094</v>
      </c>
    </row>
    <row r="223" spans="1:13" x14ac:dyDescent="0.3">
      <c r="A223">
        <v>220</v>
      </c>
      <c r="B223" t="s">
        <v>1096</v>
      </c>
      <c r="C223" t="s">
        <v>1097</v>
      </c>
      <c r="D223" t="s">
        <v>18</v>
      </c>
      <c r="E223" t="s">
        <v>1098</v>
      </c>
      <c r="F223" t="s">
        <v>1099</v>
      </c>
      <c r="G223" t="str">
        <f xml:space="preserve"> PROPER(_xlfn.CONCAT(Table1[[#This Row],[Title]]," ",Table1[[#This Row],[First Name]]," ",Table1[[#This Row],[Last Name]]))</f>
        <v>Miss Christi Evans</v>
      </c>
      <c r="H223" t="str">
        <f>SUBSTITUTE(Table1[[#This Row],[Street]],"Road"," Road")</f>
        <v>Monmouth Court</v>
      </c>
      <c r="I223" t="str">
        <f>SUBSTITUTE(Table1[[#This Row],[Separate combined words ]],"?","")</f>
        <v>Monmouth Court</v>
      </c>
      <c r="J223" t="str">
        <f>TRIM(Table1[[#This Row],[Remove Question Mark "?"]])</f>
        <v>Monmouth Court</v>
      </c>
      <c r="K223" t="str">
        <f>PROPER(Table1[[#This Row],[Leading, Multiple &amp; Trailing spaces]])</f>
        <v>Monmouth Court</v>
      </c>
      <c r="L223" t="str">
        <f t="shared" si="3"/>
        <v>Monmouth Court</v>
      </c>
      <c r="M223" t="s">
        <v>1098</v>
      </c>
    </row>
    <row r="224" spans="1:13" x14ac:dyDescent="0.3">
      <c r="A224">
        <v>221</v>
      </c>
      <c r="B224" t="s">
        <v>1100</v>
      </c>
      <c r="C224" t="s">
        <v>1101</v>
      </c>
      <c r="D224" t="s">
        <v>7</v>
      </c>
      <c r="E224" t="s">
        <v>1102</v>
      </c>
      <c r="F224" t="s">
        <v>1103</v>
      </c>
      <c r="G224" t="str">
        <f xml:space="preserve"> PROPER(_xlfn.CONCAT(Table1[[#This Row],[Title]]," ",Table1[[#This Row],[First Name]]," ",Table1[[#This Row],[Last Name]]))</f>
        <v>Mrs Delpha Oneil</v>
      </c>
      <c r="H224" t="str">
        <f>SUBSTITUTE(Table1[[#This Row],[Street]],"Road"," Road")</f>
        <v>Hardwicks Way</v>
      </c>
      <c r="I224" t="str">
        <f>SUBSTITUTE(Table1[[#This Row],[Separate combined words ]],"?","")</f>
        <v>Hardwicks Way</v>
      </c>
      <c r="J224" t="str">
        <f>TRIM(Table1[[#This Row],[Remove Question Mark "?"]])</f>
        <v>Hardwicks Way</v>
      </c>
      <c r="K224" t="str">
        <f>PROPER(Table1[[#This Row],[Leading, Multiple &amp; Trailing spaces]])</f>
        <v>Hardwicks Way</v>
      </c>
      <c r="L224" t="str">
        <f t="shared" si="3"/>
        <v>Hardwicks Way</v>
      </c>
      <c r="M224" t="s">
        <v>1102</v>
      </c>
    </row>
    <row r="225" spans="1:13" x14ac:dyDescent="0.3">
      <c r="A225">
        <v>222</v>
      </c>
      <c r="B225" t="s">
        <v>1104</v>
      </c>
      <c r="C225" t="s">
        <v>1105</v>
      </c>
      <c r="D225" t="s">
        <v>18</v>
      </c>
      <c r="E225" t="s">
        <v>1106</v>
      </c>
      <c r="F225" t="s">
        <v>1107</v>
      </c>
      <c r="G225" t="str">
        <f xml:space="preserve"> PROPER(_xlfn.CONCAT(Table1[[#This Row],[Title]]," ",Table1[[#This Row],[First Name]]," ",Table1[[#This Row],[Last Name]]))</f>
        <v>Miss Oda Lancaster</v>
      </c>
      <c r="H225" t="str">
        <f>SUBSTITUTE(Table1[[#This Row],[Street]],"Road"," Road")</f>
        <v>Providence Court</v>
      </c>
      <c r="I225" t="str">
        <f>SUBSTITUTE(Table1[[#This Row],[Separate combined words ]],"?","")</f>
        <v>Providence Court</v>
      </c>
      <c r="J225" t="str">
        <f>TRIM(Table1[[#This Row],[Remove Question Mark "?"]])</f>
        <v>Providence Court</v>
      </c>
      <c r="K225" t="str">
        <f>PROPER(Table1[[#This Row],[Leading, Multiple &amp; Trailing spaces]])</f>
        <v>Providence Court</v>
      </c>
      <c r="L225" t="str">
        <f t="shared" si="3"/>
        <v>Providence Court</v>
      </c>
      <c r="M225" t="s">
        <v>1106</v>
      </c>
    </row>
    <row r="226" spans="1:13" x14ac:dyDescent="0.3">
      <c r="A226">
        <v>223</v>
      </c>
      <c r="B226" t="s">
        <v>1104</v>
      </c>
      <c r="C226" t="s">
        <v>1108</v>
      </c>
      <c r="D226" t="s">
        <v>7</v>
      </c>
      <c r="E226" t="s">
        <v>1109</v>
      </c>
      <c r="F226" t="s">
        <v>1110</v>
      </c>
      <c r="G226" t="str">
        <f xml:space="preserve"> PROPER(_xlfn.CONCAT(Table1[[#This Row],[Title]]," ",Table1[[#This Row],[First Name]]," ",Table1[[#This Row],[Last Name]]))</f>
        <v>Mrs Oda Bourgeois</v>
      </c>
      <c r="H226" t="str">
        <f>SUBSTITUTE(Table1[[#This Row],[Street]],"Road"," Road")</f>
        <v>Ashburton Terrace</v>
      </c>
      <c r="I226" t="str">
        <f>SUBSTITUTE(Table1[[#This Row],[Separate combined words ]],"?","")</f>
        <v>Ashburton Terrace</v>
      </c>
      <c r="J226" t="str">
        <f>TRIM(Table1[[#This Row],[Remove Question Mark "?"]])</f>
        <v>Ashburton Terrace</v>
      </c>
      <c r="K226" t="str">
        <f>PROPER(Table1[[#This Row],[Leading, Multiple &amp; Trailing spaces]])</f>
        <v>Ashburton Terrace</v>
      </c>
      <c r="L226" t="str">
        <f t="shared" si="3"/>
        <v>Ashburton Terrace</v>
      </c>
      <c r="M226" t="s">
        <v>1109</v>
      </c>
    </row>
    <row r="227" spans="1:13" x14ac:dyDescent="0.3">
      <c r="A227">
        <v>224</v>
      </c>
      <c r="B227" t="s">
        <v>482</v>
      </c>
      <c r="C227" t="s">
        <v>1111</v>
      </c>
      <c r="D227" t="s">
        <v>18</v>
      </c>
      <c r="E227" t="s">
        <v>1112</v>
      </c>
      <c r="F227" t="s">
        <v>1011</v>
      </c>
      <c r="G227" t="str">
        <f xml:space="preserve"> PROPER(_xlfn.CONCAT(Table1[[#This Row],[Title]]," ",Table1[[#This Row],[First Name]]," ",Table1[[#This Row],[Last Name]]))</f>
        <v>Miss Cornelia Ziegler</v>
      </c>
      <c r="H227" t="str">
        <f>SUBSTITUTE(Table1[[#This Row],[Street]],"Road"," Road")</f>
        <v>Lee Place</v>
      </c>
      <c r="I227" t="str">
        <f>SUBSTITUTE(Table1[[#This Row],[Separate combined words ]],"?","")</f>
        <v>Lee Place</v>
      </c>
      <c r="J227" t="str">
        <f>TRIM(Table1[[#This Row],[Remove Question Mark "?"]])</f>
        <v>Lee Place</v>
      </c>
      <c r="K227" t="str">
        <f>PROPER(Table1[[#This Row],[Leading, Multiple &amp; Trailing spaces]])</f>
        <v>Lee Place</v>
      </c>
      <c r="L227" t="str">
        <f t="shared" si="3"/>
        <v>Lee Place</v>
      </c>
      <c r="M227" t="s">
        <v>1112</v>
      </c>
    </row>
    <row r="228" spans="1:13" x14ac:dyDescent="0.3">
      <c r="A228">
        <v>225</v>
      </c>
      <c r="B228" t="s">
        <v>1113</v>
      </c>
      <c r="C228" t="s">
        <v>1114</v>
      </c>
      <c r="D228" t="s">
        <v>18</v>
      </c>
      <c r="E228" t="s">
        <v>1115</v>
      </c>
      <c r="F228" t="s">
        <v>1116</v>
      </c>
      <c r="G228" t="str">
        <f xml:space="preserve"> PROPER(_xlfn.CONCAT(Table1[[#This Row],[Title]]," ",Table1[[#This Row],[First Name]]," ",Table1[[#This Row],[Last Name]]))</f>
        <v>Miss Chassidy Self</v>
      </c>
      <c r="H228" t="str">
        <f>SUBSTITUTE(Table1[[#This Row],[Street]],"Road"," Road")</f>
        <v>Shirebrook  Road</v>
      </c>
      <c r="I228" t="str">
        <f>SUBSTITUTE(Table1[[#This Row],[Separate combined words ]],"?","")</f>
        <v>Shirebrook  Road</v>
      </c>
      <c r="J228" t="str">
        <f>TRIM(Table1[[#This Row],[Remove Question Mark "?"]])</f>
        <v>Shirebrook Road</v>
      </c>
      <c r="K228" t="str">
        <f>PROPER(Table1[[#This Row],[Leading, Multiple &amp; Trailing spaces]])</f>
        <v>Shirebrook Road</v>
      </c>
      <c r="L228" t="str">
        <f t="shared" si="3"/>
        <v>Shirebrook Road</v>
      </c>
      <c r="M228" t="s">
        <v>1115</v>
      </c>
    </row>
    <row r="229" spans="1:13" x14ac:dyDescent="0.3">
      <c r="A229">
        <v>226</v>
      </c>
      <c r="B229" t="s">
        <v>1117</v>
      </c>
      <c r="C229" t="s">
        <v>1118</v>
      </c>
      <c r="D229" t="s">
        <v>18</v>
      </c>
      <c r="E229" t="s">
        <v>1119</v>
      </c>
      <c r="F229" t="s">
        <v>1120</v>
      </c>
      <c r="G229" t="str">
        <f xml:space="preserve"> PROPER(_xlfn.CONCAT(Table1[[#This Row],[Title]]," ",Table1[[#This Row],[First Name]]," ",Table1[[#This Row],[Last Name]]))</f>
        <v>Miss Shaneka Kirkland</v>
      </c>
      <c r="H229" t="str">
        <f>SUBSTITUTE(Table1[[#This Row],[Street]],"Road"," Road")</f>
        <v>Gardnor  Road</v>
      </c>
      <c r="I229" t="str">
        <f>SUBSTITUTE(Table1[[#This Row],[Separate combined words ]],"?","")</f>
        <v>Gardnor  Road</v>
      </c>
      <c r="J229" t="str">
        <f>TRIM(Table1[[#This Row],[Remove Question Mark "?"]])</f>
        <v>Gardnor Road</v>
      </c>
      <c r="K229" t="str">
        <f>PROPER(Table1[[#This Row],[Leading, Multiple &amp; Trailing spaces]])</f>
        <v>Gardnor Road</v>
      </c>
      <c r="L229" t="str">
        <f t="shared" si="3"/>
        <v>Gardnor Road</v>
      </c>
      <c r="M229" t="s">
        <v>1119</v>
      </c>
    </row>
    <row r="230" spans="1:13" x14ac:dyDescent="0.3">
      <c r="A230">
        <v>227</v>
      </c>
      <c r="B230" t="s">
        <v>1121</v>
      </c>
      <c r="C230" t="s">
        <v>1122</v>
      </c>
      <c r="D230" t="s">
        <v>18</v>
      </c>
      <c r="E230" t="s">
        <v>1123</v>
      </c>
      <c r="F230" t="s">
        <v>1124</v>
      </c>
      <c r="G230" t="str">
        <f xml:space="preserve"> PROPER(_xlfn.CONCAT(Table1[[#This Row],[Title]]," ",Table1[[#This Row],[First Name]]," ",Table1[[#This Row],[Last Name]]))</f>
        <v>Miss Nicky Laird</v>
      </c>
      <c r="H230" t="str">
        <f>SUBSTITUTE(Table1[[#This Row],[Street]],"Road"," Road")</f>
        <v>Piedmont  Road</v>
      </c>
      <c r="I230" t="str">
        <f>SUBSTITUTE(Table1[[#This Row],[Separate combined words ]],"?","")</f>
        <v>Piedmont  Road</v>
      </c>
      <c r="J230" t="str">
        <f>TRIM(Table1[[#This Row],[Remove Question Mark "?"]])</f>
        <v>Piedmont Road</v>
      </c>
      <c r="K230" t="str">
        <f>PROPER(Table1[[#This Row],[Leading, Multiple &amp; Trailing spaces]])</f>
        <v>Piedmont Road</v>
      </c>
      <c r="L230" t="str">
        <f t="shared" si="3"/>
        <v>Piedmont Road</v>
      </c>
      <c r="M230" t="s">
        <v>1123</v>
      </c>
    </row>
    <row r="231" spans="1:13" x14ac:dyDescent="0.3">
      <c r="A231">
        <v>228</v>
      </c>
      <c r="B231" t="s">
        <v>1125</v>
      </c>
      <c r="C231" t="s">
        <v>1126</v>
      </c>
      <c r="D231" t="s">
        <v>7</v>
      </c>
      <c r="E231" t="s">
        <v>1127</v>
      </c>
      <c r="F231" t="s">
        <v>1128</v>
      </c>
      <c r="G231" t="str">
        <f xml:space="preserve"> PROPER(_xlfn.CONCAT(Table1[[#This Row],[Title]]," ",Table1[[#This Row],[First Name]]," ",Table1[[#This Row],[Last Name]]))</f>
        <v>Mrs Christian Raines</v>
      </c>
      <c r="H231" t="str">
        <f>SUBSTITUTE(Table1[[#This Row],[Street]],"Road"," Road")</f>
        <v>Wells Cottages</v>
      </c>
      <c r="I231" t="str">
        <f>SUBSTITUTE(Table1[[#This Row],[Separate combined words ]],"?","")</f>
        <v>Wells Cottages</v>
      </c>
      <c r="J231" t="str">
        <f>TRIM(Table1[[#This Row],[Remove Question Mark "?"]])</f>
        <v>Wells Cottages</v>
      </c>
      <c r="K231" t="str">
        <f>PROPER(Table1[[#This Row],[Leading, Multiple &amp; Trailing spaces]])</f>
        <v>Wells Cottages</v>
      </c>
      <c r="L231" t="str">
        <f t="shared" si="3"/>
        <v>Wells Cottages</v>
      </c>
      <c r="M231" t="s">
        <v>1127</v>
      </c>
    </row>
    <row r="232" spans="1:13" x14ac:dyDescent="0.3">
      <c r="A232">
        <v>229</v>
      </c>
      <c r="B232" t="s">
        <v>1129</v>
      </c>
      <c r="C232" t="s">
        <v>1130</v>
      </c>
      <c r="D232" t="s">
        <v>18</v>
      </c>
      <c r="E232" t="s">
        <v>1131</v>
      </c>
      <c r="F232" t="s">
        <v>1132</v>
      </c>
      <c r="G232" t="str">
        <f xml:space="preserve"> PROPER(_xlfn.CONCAT(Table1[[#This Row],[Title]]," ",Table1[[#This Row],[First Name]]," ",Table1[[#This Row],[Last Name]]))</f>
        <v>Miss Takisha Hamlin</v>
      </c>
      <c r="H232" t="str">
        <f>SUBSTITUTE(Table1[[#This Row],[Street]],"Road"," Road")</f>
        <v>Brouncker  Road</v>
      </c>
      <c r="I232" t="str">
        <f>SUBSTITUTE(Table1[[#This Row],[Separate combined words ]],"?","")</f>
        <v>Brouncker  Road</v>
      </c>
      <c r="J232" t="str">
        <f>TRIM(Table1[[#This Row],[Remove Question Mark "?"]])</f>
        <v>Brouncker Road</v>
      </c>
      <c r="K232" t="str">
        <f>PROPER(Table1[[#This Row],[Leading, Multiple &amp; Trailing spaces]])</f>
        <v>Brouncker Road</v>
      </c>
      <c r="L232" t="str">
        <f t="shared" si="3"/>
        <v>Brouncker Road</v>
      </c>
      <c r="M232" t="s">
        <v>1131</v>
      </c>
    </row>
    <row r="233" spans="1:13" x14ac:dyDescent="0.3">
      <c r="A233">
        <v>230</v>
      </c>
      <c r="B233" t="s">
        <v>1133</v>
      </c>
      <c r="C233" t="s">
        <v>627</v>
      </c>
      <c r="D233" t="s">
        <v>18</v>
      </c>
      <c r="E233" t="s">
        <v>1134</v>
      </c>
      <c r="F233" t="s">
        <v>1135</v>
      </c>
      <c r="G233" t="str">
        <f xml:space="preserve"> PROPER(_xlfn.CONCAT(Table1[[#This Row],[Title]]," ",Table1[[#This Row],[First Name]]," ",Table1[[#This Row],[Last Name]]))</f>
        <v>Miss Tamie Hooks</v>
      </c>
      <c r="H233" t="str">
        <f>SUBSTITUTE(Table1[[#This Row],[Street]],"Road"," Road")</f>
        <v>Robinsons Terrace</v>
      </c>
      <c r="I233" t="str">
        <f>SUBSTITUTE(Table1[[#This Row],[Separate combined words ]],"?","")</f>
        <v>Robinsons Terrace</v>
      </c>
      <c r="J233" t="str">
        <f>TRIM(Table1[[#This Row],[Remove Question Mark "?"]])</f>
        <v>Robinsons Terrace</v>
      </c>
      <c r="K233" t="str">
        <f>PROPER(Table1[[#This Row],[Leading, Multiple &amp; Trailing spaces]])</f>
        <v>Robinsons Terrace</v>
      </c>
      <c r="L233" t="str">
        <f t="shared" si="3"/>
        <v>Robinsons Terrace</v>
      </c>
      <c r="M233" t="s">
        <v>1134</v>
      </c>
    </row>
    <row r="234" spans="1:13" x14ac:dyDescent="0.3">
      <c r="A234">
        <v>231</v>
      </c>
      <c r="B234" t="s">
        <v>1136</v>
      </c>
      <c r="C234" t="s">
        <v>1137</v>
      </c>
      <c r="D234" t="s">
        <v>18</v>
      </c>
      <c r="E234" t="s">
        <v>1138</v>
      </c>
      <c r="F234" t="s">
        <v>1139</v>
      </c>
      <c r="G234" t="str">
        <f xml:space="preserve"> PROPER(_xlfn.CONCAT(Table1[[#This Row],[Title]]," ",Table1[[#This Row],[First Name]]," ",Table1[[#This Row],[Last Name]]))</f>
        <v>Miss Belinda Payne</v>
      </c>
      <c r="H234" t="str">
        <f>SUBSTITUTE(Table1[[#This Row],[Street]],"Road"," Road")</f>
        <v>Eden Place</v>
      </c>
      <c r="I234" t="str">
        <f>SUBSTITUTE(Table1[[#This Row],[Separate combined words ]],"?","")</f>
        <v>Eden Place</v>
      </c>
      <c r="J234" t="str">
        <f>TRIM(Table1[[#This Row],[Remove Question Mark "?"]])</f>
        <v>Eden Place</v>
      </c>
      <c r="K234" t="str">
        <f>PROPER(Table1[[#This Row],[Leading, Multiple &amp; Trailing spaces]])</f>
        <v>Eden Place</v>
      </c>
      <c r="L234" t="str">
        <f t="shared" si="3"/>
        <v>Eden Place</v>
      </c>
      <c r="M234" t="s">
        <v>1138</v>
      </c>
    </row>
    <row r="235" spans="1:13" x14ac:dyDescent="0.3">
      <c r="A235">
        <v>232</v>
      </c>
      <c r="B235" t="s">
        <v>1140</v>
      </c>
      <c r="C235" t="s">
        <v>439</v>
      </c>
      <c r="D235" t="s">
        <v>7</v>
      </c>
      <c r="E235" t="s">
        <v>1141</v>
      </c>
      <c r="F235" t="s">
        <v>890</v>
      </c>
      <c r="G235" t="str">
        <f xml:space="preserve"> PROPER(_xlfn.CONCAT(Table1[[#This Row],[Title]]," ",Table1[[#This Row],[First Name]]," ",Table1[[#This Row],[Last Name]]))</f>
        <v>Mrs Delora Rice</v>
      </c>
      <c r="H235" t="str">
        <f>SUBSTITUTE(Table1[[#This Row],[Street]],"Road"," Road")</f>
        <v>Kingfisher Close</v>
      </c>
      <c r="I235" t="str">
        <f>SUBSTITUTE(Table1[[#This Row],[Separate combined words ]],"?","")</f>
        <v>Kingfisher Close</v>
      </c>
      <c r="J235" t="str">
        <f>TRIM(Table1[[#This Row],[Remove Question Mark "?"]])</f>
        <v>Kingfisher Close</v>
      </c>
      <c r="K235" t="str">
        <f>PROPER(Table1[[#This Row],[Leading, Multiple &amp; Trailing spaces]])</f>
        <v>Kingfisher Close</v>
      </c>
      <c r="L235" t="str">
        <f t="shared" si="3"/>
        <v>Kingfisher Close</v>
      </c>
      <c r="M235" t="s">
        <v>1141</v>
      </c>
    </row>
    <row r="236" spans="1:13" x14ac:dyDescent="0.3">
      <c r="A236">
        <v>233</v>
      </c>
      <c r="B236" t="s">
        <v>1142</v>
      </c>
      <c r="C236" t="s">
        <v>425</v>
      </c>
      <c r="D236" t="s">
        <v>7</v>
      </c>
      <c r="E236" t="s">
        <v>1143</v>
      </c>
      <c r="F236" t="s">
        <v>1144</v>
      </c>
      <c r="G236" t="str">
        <f xml:space="preserve"> PROPER(_xlfn.CONCAT(Table1[[#This Row],[Title]]," ",Table1[[#This Row],[First Name]]," ",Table1[[#This Row],[Last Name]]))</f>
        <v>Mrs Kimiko Patel</v>
      </c>
      <c r="H236" t="str">
        <f>SUBSTITUTE(Table1[[#This Row],[Street]],"Road"," Road")</f>
        <v>Waddington Street</v>
      </c>
      <c r="I236" t="str">
        <f>SUBSTITUTE(Table1[[#This Row],[Separate combined words ]],"?","")</f>
        <v>Waddington Street</v>
      </c>
      <c r="J236" t="str">
        <f>TRIM(Table1[[#This Row],[Remove Question Mark "?"]])</f>
        <v>Waddington Street</v>
      </c>
      <c r="K236" t="str">
        <f>PROPER(Table1[[#This Row],[Leading, Multiple &amp; Trailing spaces]])</f>
        <v>Waddington Street</v>
      </c>
      <c r="L236" t="str">
        <f t="shared" si="3"/>
        <v>Waddington Street</v>
      </c>
      <c r="M236" t="s">
        <v>1143</v>
      </c>
    </row>
    <row r="237" spans="1:13" x14ac:dyDescent="0.3">
      <c r="A237">
        <v>234</v>
      </c>
      <c r="B237" t="s">
        <v>1145</v>
      </c>
      <c r="C237" t="s">
        <v>1146</v>
      </c>
      <c r="D237" t="s">
        <v>18</v>
      </c>
      <c r="E237" t="s">
        <v>1147</v>
      </c>
      <c r="F237" t="s">
        <v>1148</v>
      </c>
      <c r="G237" t="str">
        <f xml:space="preserve"> PROPER(_xlfn.CONCAT(Table1[[#This Row],[Title]]," ",Table1[[#This Row],[First Name]]," ",Table1[[#This Row],[Last Name]]))</f>
        <v>Miss Albina Nielsen</v>
      </c>
      <c r="H237" t="str">
        <f>SUBSTITUTE(Table1[[#This Row],[Street]],"Road"," Road")</f>
        <v>Widley  Road</v>
      </c>
      <c r="I237" t="str">
        <f>SUBSTITUTE(Table1[[#This Row],[Separate combined words ]],"?","")</f>
        <v>Widley  Road</v>
      </c>
      <c r="J237" t="str">
        <f>TRIM(Table1[[#This Row],[Remove Question Mark "?"]])</f>
        <v>Widley Road</v>
      </c>
      <c r="K237" t="str">
        <f>PROPER(Table1[[#This Row],[Leading, Multiple &amp; Trailing spaces]])</f>
        <v>Widley Road</v>
      </c>
      <c r="L237" t="str">
        <f t="shared" si="3"/>
        <v>Widley Road</v>
      </c>
      <c r="M237" t="s">
        <v>1147</v>
      </c>
    </row>
    <row r="238" spans="1:13" x14ac:dyDescent="0.3">
      <c r="A238">
        <v>235</v>
      </c>
      <c r="B238" t="s">
        <v>1149</v>
      </c>
      <c r="C238" t="s">
        <v>1150</v>
      </c>
      <c r="D238" t="s">
        <v>71</v>
      </c>
      <c r="E238" t="s">
        <v>1151</v>
      </c>
      <c r="F238" t="s">
        <v>434</v>
      </c>
      <c r="G238" t="str">
        <f xml:space="preserve"> PROPER(_xlfn.CONCAT(Table1[[#This Row],[Title]]," ",Table1[[#This Row],[First Name]]," ",Table1[[#This Row],[Last Name]]))</f>
        <v>Ms Lavona Hilton</v>
      </c>
      <c r="H238" t="str">
        <f>SUBSTITUTE(Table1[[#This Row],[Street]],"Road"," Road")</f>
        <v>Clapham Place</v>
      </c>
      <c r="I238" t="str">
        <f>SUBSTITUTE(Table1[[#This Row],[Separate combined words ]],"?","")</f>
        <v>Clapham Place</v>
      </c>
      <c r="J238" t="str">
        <f>TRIM(Table1[[#This Row],[Remove Question Mark "?"]])</f>
        <v>Clapham Place</v>
      </c>
      <c r="K238" t="str">
        <f>PROPER(Table1[[#This Row],[Leading, Multiple &amp; Trailing spaces]])</f>
        <v>Clapham Place</v>
      </c>
      <c r="L238" t="str">
        <f t="shared" si="3"/>
        <v>Clapham Place</v>
      </c>
      <c r="M238" t="s">
        <v>1151</v>
      </c>
    </row>
    <row r="239" spans="1:13" x14ac:dyDescent="0.3">
      <c r="A239">
        <v>236</v>
      </c>
      <c r="B239" t="s">
        <v>1152</v>
      </c>
      <c r="C239" t="s">
        <v>1153</v>
      </c>
      <c r="D239" t="s">
        <v>55</v>
      </c>
      <c r="E239" t="s">
        <v>1154</v>
      </c>
      <c r="F239" t="s">
        <v>1155</v>
      </c>
      <c r="G239" t="str">
        <f xml:space="preserve"> PROPER(_xlfn.CONCAT(Table1[[#This Row],[Title]]," ",Table1[[#This Row],[First Name]]," ",Table1[[#This Row],[Last Name]]))</f>
        <v>Prof Keiko Mathis</v>
      </c>
      <c r="H239" t="str">
        <f>SUBSTITUTE(Table1[[#This Row],[Street]],"Road"," Road")</f>
        <v>Argyle  Road</v>
      </c>
      <c r="I239" t="str">
        <f>SUBSTITUTE(Table1[[#This Row],[Separate combined words ]],"?","")</f>
        <v>Argyle  Road</v>
      </c>
      <c r="J239" t="str">
        <f>TRIM(Table1[[#This Row],[Remove Question Mark "?"]])</f>
        <v>Argyle Road</v>
      </c>
      <c r="K239" t="str">
        <f>PROPER(Table1[[#This Row],[Leading, Multiple &amp; Trailing spaces]])</f>
        <v>Argyle Road</v>
      </c>
      <c r="L239" t="str">
        <f t="shared" si="3"/>
        <v>Argyle Road</v>
      </c>
      <c r="M239" t="s">
        <v>1154</v>
      </c>
    </row>
    <row r="240" spans="1:13" x14ac:dyDescent="0.3">
      <c r="A240">
        <v>237</v>
      </c>
      <c r="B240" t="s">
        <v>1156</v>
      </c>
      <c r="C240" t="s">
        <v>1157</v>
      </c>
      <c r="D240" t="s">
        <v>71</v>
      </c>
      <c r="E240" t="s">
        <v>1158</v>
      </c>
      <c r="F240" t="s">
        <v>1159</v>
      </c>
      <c r="G240" t="str">
        <f xml:space="preserve"> PROPER(_xlfn.CONCAT(Table1[[#This Row],[Title]]," ",Table1[[#This Row],[First Name]]," ",Table1[[#This Row],[Last Name]]))</f>
        <v>Ms George Mooney</v>
      </c>
      <c r="H240" t="str">
        <f>SUBSTITUTE(Table1[[#This Row],[Street]],"Road"," Road")</f>
        <v>St Hughs</v>
      </c>
      <c r="I240" t="str">
        <f>SUBSTITUTE(Table1[[#This Row],[Separate combined words ]],"?","")</f>
        <v>St Hughs</v>
      </c>
      <c r="J240" t="str">
        <f>TRIM(Table1[[#This Row],[Remove Question Mark "?"]])</f>
        <v>St Hughs</v>
      </c>
      <c r="K240" t="str">
        <f>PROPER(Table1[[#This Row],[Leading, Multiple &amp; Trailing spaces]])</f>
        <v>St Hughs</v>
      </c>
      <c r="L240" t="str">
        <f t="shared" si="3"/>
        <v>St Hughs</v>
      </c>
      <c r="M240" t="s">
        <v>1158</v>
      </c>
    </row>
    <row r="241" spans="1:13" x14ac:dyDescent="0.3">
      <c r="A241">
        <v>238</v>
      </c>
      <c r="B241" t="s">
        <v>1160</v>
      </c>
      <c r="C241" t="s">
        <v>1161</v>
      </c>
      <c r="D241" t="s">
        <v>18</v>
      </c>
      <c r="E241" t="s">
        <v>1162</v>
      </c>
      <c r="F241" t="s">
        <v>1163</v>
      </c>
      <c r="G241" t="str">
        <f xml:space="preserve"> PROPER(_xlfn.CONCAT(Table1[[#This Row],[Title]]," ",Table1[[#This Row],[First Name]]," ",Table1[[#This Row],[Last Name]]))</f>
        <v>Miss Jolynn Yeager</v>
      </c>
      <c r="H241" t="str">
        <f>SUBSTITUTE(Table1[[#This Row],[Street]],"Road"," Road")</f>
        <v>Woodbine Place</v>
      </c>
      <c r="I241" t="str">
        <f>SUBSTITUTE(Table1[[#This Row],[Separate combined words ]],"?","")</f>
        <v>Woodbine Place</v>
      </c>
      <c r="J241" t="str">
        <f>TRIM(Table1[[#This Row],[Remove Question Mark "?"]])</f>
        <v>Woodbine Place</v>
      </c>
      <c r="K241" t="str">
        <f>PROPER(Table1[[#This Row],[Leading, Multiple &amp; Trailing spaces]])</f>
        <v>Woodbine Place</v>
      </c>
      <c r="L241" t="str">
        <f t="shared" si="3"/>
        <v>Woodbine Place</v>
      </c>
      <c r="M241" t="s">
        <v>1162</v>
      </c>
    </row>
    <row r="242" spans="1:13" x14ac:dyDescent="0.3">
      <c r="A242">
        <v>239</v>
      </c>
      <c r="B242" t="s">
        <v>1164</v>
      </c>
      <c r="C242" t="s">
        <v>1165</v>
      </c>
      <c r="D242" t="s">
        <v>18</v>
      </c>
      <c r="E242" t="s">
        <v>1166</v>
      </c>
      <c r="F242" t="s">
        <v>1167</v>
      </c>
      <c r="G242" t="str">
        <f xml:space="preserve"> PROPER(_xlfn.CONCAT(Table1[[#This Row],[Title]]," ",Table1[[#This Row],[First Name]]," ",Table1[[#This Row],[Last Name]]))</f>
        <v>Miss Dessie Peacock</v>
      </c>
      <c r="H242" t="str">
        <f>SUBSTITUTE(Table1[[#This Row],[Street]],"Road"," Road")</f>
        <v>Monro Place</v>
      </c>
      <c r="I242" t="str">
        <f>SUBSTITUTE(Table1[[#This Row],[Separate combined words ]],"?","")</f>
        <v>Monro Place</v>
      </c>
      <c r="J242" t="str">
        <f>TRIM(Table1[[#This Row],[Remove Question Mark "?"]])</f>
        <v>Monro Place</v>
      </c>
      <c r="K242" t="str">
        <f>PROPER(Table1[[#This Row],[Leading, Multiple &amp; Trailing spaces]])</f>
        <v>Monro Place</v>
      </c>
      <c r="L242" t="str">
        <f t="shared" si="3"/>
        <v>Monro Place</v>
      </c>
      <c r="M242" t="s">
        <v>1166</v>
      </c>
    </row>
    <row r="243" spans="1:13" x14ac:dyDescent="0.3">
      <c r="A243">
        <v>240</v>
      </c>
      <c r="B243" t="s">
        <v>1168</v>
      </c>
      <c r="C243" t="s">
        <v>1169</v>
      </c>
      <c r="D243" t="s">
        <v>18</v>
      </c>
      <c r="E243" t="s">
        <v>1170</v>
      </c>
      <c r="F243" t="s">
        <v>1171</v>
      </c>
      <c r="G243" t="str">
        <f xml:space="preserve"> PROPER(_xlfn.CONCAT(Table1[[#This Row],[Title]]," ",Table1[[#This Row],[First Name]]," ",Table1[[#This Row],[Last Name]]))</f>
        <v>Miss Delores Diaz</v>
      </c>
      <c r="H243" t="str">
        <f>SUBSTITUTE(Table1[[#This Row],[Street]],"Road"," Road")</f>
        <v>Bateman'S Buildings</v>
      </c>
      <c r="I243" t="str">
        <f>SUBSTITUTE(Table1[[#This Row],[Separate combined words ]],"?","")</f>
        <v>Bateman'S Buildings</v>
      </c>
      <c r="J243" t="str">
        <f>TRIM(Table1[[#This Row],[Remove Question Mark "?"]])</f>
        <v>Bateman'S Buildings</v>
      </c>
      <c r="K243" t="str">
        <f>PROPER(Table1[[#This Row],[Leading, Multiple &amp; Trailing spaces]])</f>
        <v>Bateman'S Buildings</v>
      </c>
      <c r="L243" t="str">
        <f t="shared" si="3"/>
        <v>Bateman'S Buildings</v>
      </c>
      <c r="M243" t="s">
        <v>1170</v>
      </c>
    </row>
    <row r="244" spans="1:13" x14ac:dyDescent="0.3">
      <c r="A244">
        <v>241</v>
      </c>
      <c r="B244" t="s">
        <v>1172</v>
      </c>
      <c r="C244" t="s">
        <v>1001</v>
      </c>
      <c r="D244" t="s">
        <v>7</v>
      </c>
      <c r="E244" t="s">
        <v>1173</v>
      </c>
      <c r="F244" t="s">
        <v>649</v>
      </c>
      <c r="G244" t="str">
        <f xml:space="preserve"> PROPER(_xlfn.CONCAT(Table1[[#This Row],[Title]]," ",Table1[[#This Row],[First Name]]," ",Table1[[#This Row],[Last Name]]))</f>
        <v>Mrs Jacquelynn Bloom</v>
      </c>
      <c r="H244" t="str">
        <f>SUBSTITUTE(Table1[[#This Row],[Street]],"Road"," Road")</f>
        <v>Appletree Close</v>
      </c>
      <c r="I244" t="str">
        <f>SUBSTITUTE(Table1[[#This Row],[Separate combined words ]],"?","")</f>
        <v>Appletree Close</v>
      </c>
      <c r="J244" t="str">
        <f>TRIM(Table1[[#This Row],[Remove Question Mark "?"]])</f>
        <v>Appletree Close</v>
      </c>
      <c r="K244" t="str">
        <f>PROPER(Table1[[#This Row],[Leading, Multiple &amp; Trailing spaces]])</f>
        <v>Appletree Close</v>
      </c>
      <c r="L244" t="str">
        <f t="shared" si="3"/>
        <v>Appletree Close</v>
      </c>
      <c r="M244" t="s">
        <v>1173</v>
      </c>
    </row>
    <row r="245" spans="1:13" x14ac:dyDescent="0.3">
      <c r="A245">
        <v>242</v>
      </c>
      <c r="B245" t="s">
        <v>1174</v>
      </c>
      <c r="C245" t="s">
        <v>21</v>
      </c>
      <c r="D245" t="s">
        <v>7</v>
      </c>
      <c r="E245" t="s">
        <v>1175</v>
      </c>
      <c r="F245" t="s">
        <v>1176</v>
      </c>
      <c r="G245" t="str">
        <f xml:space="preserve"> PROPER(_xlfn.CONCAT(Table1[[#This Row],[Title]]," ",Table1[[#This Row],[First Name]]," ",Table1[[#This Row],[Last Name]]))</f>
        <v>Mrs Tamica Hedrick</v>
      </c>
      <c r="H245" t="str">
        <f>SUBSTITUTE(Table1[[#This Row],[Street]],"Road"," Road")</f>
        <v>Danecroft  Road</v>
      </c>
      <c r="I245" t="str">
        <f>SUBSTITUTE(Table1[[#This Row],[Separate combined words ]],"?","")</f>
        <v>Danecroft  Road</v>
      </c>
      <c r="J245" t="str">
        <f>TRIM(Table1[[#This Row],[Remove Question Mark "?"]])</f>
        <v>Danecroft Road</v>
      </c>
      <c r="K245" t="str">
        <f>PROPER(Table1[[#This Row],[Leading, Multiple &amp; Trailing spaces]])</f>
        <v>Danecroft Road</v>
      </c>
      <c r="L245" t="str">
        <f t="shared" si="3"/>
        <v>Danecroft Road</v>
      </c>
      <c r="M245" t="s">
        <v>1175</v>
      </c>
    </row>
    <row r="246" spans="1:13" x14ac:dyDescent="0.3">
      <c r="A246">
        <v>243</v>
      </c>
      <c r="B246" t="s">
        <v>1177</v>
      </c>
      <c r="C246" t="s">
        <v>601</v>
      </c>
      <c r="D246" t="s">
        <v>18</v>
      </c>
      <c r="E246" t="s">
        <v>1178</v>
      </c>
      <c r="F246" t="s">
        <v>1179</v>
      </c>
      <c r="G246" t="str">
        <f xml:space="preserve"> PROPER(_xlfn.CONCAT(Table1[[#This Row],[Title]]," ",Table1[[#This Row],[First Name]]," ",Table1[[#This Row],[Last Name]]))</f>
        <v>Miss Orpha Earl</v>
      </c>
      <c r="H246" t="str">
        <f>SUBSTITUTE(Table1[[#This Row],[Street]],"Road"," Road")</f>
        <v>Brook St</v>
      </c>
      <c r="I246" t="str">
        <f>SUBSTITUTE(Table1[[#This Row],[Separate combined words ]],"?","")</f>
        <v>Brook St</v>
      </c>
      <c r="J246" t="str">
        <f>TRIM(Table1[[#This Row],[Remove Question Mark "?"]])</f>
        <v>Brook St</v>
      </c>
      <c r="K246" t="str">
        <f>PROPER(Table1[[#This Row],[Leading, Multiple &amp; Trailing spaces]])</f>
        <v>Brook St</v>
      </c>
      <c r="L246" t="str">
        <f t="shared" si="3"/>
        <v>Brook St</v>
      </c>
      <c r="M246" t="s">
        <v>3429</v>
      </c>
    </row>
    <row r="247" spans="1:13" x14ac:dyDescent="0.3">
      <c r="A247">
        <v>244</v>
      </c>
      <c r="B247" t="s">
        <v>1180</v>
      </c>
      <c r="C247" t="s">
        <v>1181</v>
      </c>
      <c r="D247" t="s">
        <v>71</v>
      </c>
      <c r="E247" t="s">
        <v>1182</v>
      </c>
      <c r="F247" t="s">
        <v>1183</v>
      </c>
      <c r="G247" t="str">
        <f xml:space="preserve"> PROPER(_xlfn.CONCAT(Table1[[#This Row],[Title]]," ",Table1[[#This Row],[First Name]]," ",Table1[[#This Row],[Last Name]]))</f>
        <v>Ms Felisha Coffman</v>
      </c>
      <c r="H247" t="str">
        <f>SUBSTITUTE(Table1[[#This Row],[Street]],"Road"," Road")</f>
        <v>Fitzgeorge Avenue</v>
      </c>
      <c r="I247" t="str">
        <f>SUBSTITUTE(Table1[[#This Row],[Separate combined words ]],"?","")</f>
        <v>Fitzgeorge Avenue</v>
      </c>
      <c r="J247" t="str">
        <f>TRIM(Table1[[#This Row],[Remove Question Mark "?"]])</f>
        <v>Fitzgeorge Avenue</v>
      </c>
      <c r="K247" t="str">
        <f>PROPER(Table1[[#This Row],[Leading, Multiple &amp; Trailing spaces]])</f>
        <v>Fitzgeorge Avenue</v>
      </c>
      <c r="L247" t="str">
        <f t="shared" si="3"/>
        <v>Fitzgeorge Avenue</v>
      </c>
      <c r="M247" t="s">
        <v>1182</v>
      </c>
    </row>
    <row r="248" spans="1:13" x14ac:dyDescent="0.3">
      <c r="A248">
        <v>245</v>
      </c>
      <c r="B248" t="s">
        <v>1184</v>
      </c>
      <c r="C248" t="s">
        <v>1185</v>
      </c>
      <c r="D248" t="s">
        <v>18</v>
      </c>
      <c r="E248" t="s">
        <v>1186</v>
      </c>
      <c r="F248" t="s">
        <v>1187</v>
      </c>
      <c r="G248" t="str">
        <f xml:space="preserve"> PROPER(_xlfn.CONCAT(Table1[[#This Row],[Title]]," ",Table1[[#This Row],[First Name]]," ",Table1[[#This Row],[Last Name]]))</f>
        <v>Miss Tyra Henley</v>
      </c>
      <c r="H248" t="str">
        <f>SUBSTITUTE(Table1[[#This Row],[Street]],"Road"," Road")</f>
        <v>Sawkins Close</v>
      </c>
      <c r="I248" t="str">
        <f>SUBSTITUTE(Table1[[#This Row],[Separate combined words ]],"?","")</f>
        <v>Sawkins Close</v>
      </c>
      <c r="J248" t="str">
        <f>TRIM(Table1[[#This Row],[Remove Question Mark "?"]])</f>
        <v>Sawkins Close</v>
      </c>
      <c r="K248" t="str">
        <f>PROPER(Table1[[#This Row],[Leading, Multiple &amp; Trailing spaces]])</f>
        <v>Sawkins Close</v>
      </c>
      <c r="L248" t="str">
        <f t="shared" si="3"/>
        <v>Sawkins Close</v>
      </c>
      <c r="M248" t="s">
        <v>1186</v>
      </c>
    </row>
    <row r="249" spans="1:13" x14ac:dyDescent="0.3">
      <c r="A249">
        <v>246</v>
      </c>
      <c r="B249" t="s">
        <v>1188</v>
      </c>
      <c r="C249" t="s">
        <v>436</v>
      </c>
      <c r="D249" t="s">
        <v>18</v>
      </c>
      <c r="E249" t="s">
        <v>1189</v>
      </c>
      <c r="F249" t="s">
        <v>1190</v>
      </c>
      <c r="G249" t="str">
        <f xml:space="preserve"> PROPER(_xlfn.CONCAT(Table1[[#This Row],[Title]]," ",Table1[[#This Row],[First Name]]," ",Table1[[#This Row],[Last Name]]))</f>
        <v>Miss Cammy Kendall</v>
      </c>
      <c r="H249" t="str">
        <f>SUBSTITUTE(Table1[[#This Row],[Street]],"Road"," Road")</f>
        <v>Chiltern Court</v>
      </c>
      <c r="I249" t="str">
        <f>SUBSTITUTE(Table1[[#This Row],[Separate combined words ]],"?","")</f>
        <v>Chiltern Court</v>
      </c>
      <c r="J249" t="str">
        <f>TRIM(Table1[[#This Row],[Remove Question Mark "?"]])</f>
        <v>Chiltern Court</v>
      </c>
      <c r="K249" t="str">
        <f>PROPER(Table1[[#This Row],[Leading, Multiple &amp; Trailing spaces]])</f>
        <v>Chiltern Court</v>
      </c>
      <c r="L249" t="str">
        <f t="shared" si="3"/>
        <v>Chiltern Court</v>
      </c>
      <c r="M249" t="s">
        <v>1189</v>
      </c>
    </row>
    <row r="250" spans="1:13" x14ac:dyDescent="0.3">
      <c r="A250">
        <v>247</v>
      </c>
      <c r="B250" t="s">
        <v>1191</v>
      </c>
      <c r="C250" t="s">
        <v>899</v>
      </c>
      <c r="D250" t="s">
        <v>71</v>
      </c>
      <c r="E250" t="s">
        <v>1192</v>
      </c>
      <c r="F250" t="s">
        <v>117</v>
      </c>
      <c r="G250" t="str">
        <f xml:space="preserve"> PROPER(_xlfn.CONCAT(Table1[[#This Row],[Title]]," ",Table1[[#This Row],[First Name]]," ",Table1[[#This Row],[Last Name]]))</f>
        <v>Ms Emelia Hull</v>
      </c>
      <c r="H250" t="str">
        <f>SUBSTITUTE(Table1[[#This Row],[Street]],"Road"," Road")</f>
        <v>Birchen Close</v>
      </c>
      <c r="I250" t="str">
        <f>SUBSTITUTE(Table1[[#This Row],[Separate combined words ]],"?","")</f>
        <v>Birchen Close</v>
      </c>
      <c r="J250" t="str">
        <f>TRIM(Table1[[#This Row],[Remove Question Mark "?"]])</f>
        <v>Birchen Close</v>
      </c>
      <c r="K250" t="str">
        <f>PROPER(Table1[[#This Row],[Leading, Multiple &amp; Trailing spaces]])</f>
        <v>Birchen Close</v>
      </c>
      <c r="L250" t="str">
        <f t="shared" si="3"/>
        <v>Birchen Close</v>
      </c>
      <c r="M250" t="s">
        <v>1192</v>
      </c>
    </row>
    <row r="251" spans="1:13" x14ac:dyDescent="0.3">
      <c r="A251">
        <v>248</v>
      </c>
      <c r="B251" t="s">
        <v>1193</v>
      </c>
      <c r="C251" t="s">
        <v>1194</v>
      </c>
      <c r="D251" t="s">
        <v>18</v>
      </c>
      <c r="E251" t="s">
        <v>1195</v>
      </c>
      <c r="F251" t="s">
        <v>607</v>
      </c>
      <c r="G251" t="str">
        <f xml:space="preserve"> PROPER(_xlfn.CONCAT(Table1[[#This Row],[Title]]," ",Table1[[#This Row],[First Name]]," ",Table1[[#This Row],[Last Name]]))</f>
        <v>Miss Sherry Gill</v>
      </c>
      <c r="H251" t="str">
        <f>SUBSTITUTE(Table1[[#This Row],[Street]],"Road"," Road")</f>
        <v>Elm Field</v>
      </c>
      <c r="I251" t="str">
        <f>SUBSTITUTE(Table1[[#This Row],[Separate combined words ]],"?","")</f>
        <v>Elm Field</v>
      </c>
      <c r="J251" t="str">
        <f>TRIM(Table1[[#This Row],[Remove Question Mark "?"]])</f>
        <v>Elm Field</v>
      </c>
      <c r="K251" t="str">
        <f>PROPER(Table1[[#This Row],[Leading, Multiple &amp; Trailing spaces]])</f>
        <v>Elm Field</v>
      </c>
      <c r="L251" t="str">
        <f t="shared" si="3"/>
        <v>Elm Field</v>
      </c>
      <c r="M251" t="s">
        <v>1195</v>
      </c>
    </row>
    <row r="252" spans="1:13" x14ac:dyDescent="0.3">
      <c r="A252">
        <v>249</v>
      </c>
      <c r="B252" t="s">
        <v>1196</v>
      </c>
      <c r="C252" t="s">
        <v>1161</v>
      </c>
      <c r="D252" t="s">
        <v>71</v>
      </c>
      <c r="E252" t="s">
        <v>1197</v>
      </c>
      <c r="F252" t="s">
        <v>1198</v>
      </c>
      <c r="G252" t="str">
        <f xml:space="preserve"> PROPER(_xlfn.CONCAT(Table1[[#This Row],[Title]]," ",Table1[[#This Row],[First Name]]," ",Table1[[#This Row],[Last Name]]))</f>
        <v>Ms Hisako Yeager</v>
      </c>
      <c r="H252" t="str">
        <f>SUBSTITUTE(Table1[[#This Row],[Street]],"Road"," Road")</f>
        <v>Wilsons Court</v>
      </c>
      <c r="I252" t="str">
        <f>SUBSTITUTE(Table1[[#This Row],[Separate combined words ]],"?","")</f>
        <v>Wilsons Court</v>
      </c>
      <c r="J252" t="str">
        <f>TRIM(Table1[[#This Row],[Remove Question Mark "?"]])</f>
        <v>Wilsons Court</v>
      </c>
      <c r="K252" t="str">
        <f>PROPER(Table1[[#This Row],[Leading, Multiple &amp; Trailing spaces]])</f>
        <v>Wilsons Court</v>
      </c>
      <c r="L252" t="str">
        <f t="shared" si="3"/>
        <v>Wilsons Court</v>
      </c>
      <c r="M252" t="s">
        <v>1197</v>
      </c>
    </row>
    <row r="253" spans="1:13" x14ac:dyDescent="0.3">
      <c r="A253">
        <v>250</v>
      </c>
      <c r="B253" t="s">
        <v>447</v>
      </c>
      <c r="C253" t="s">
        <v>1199</v>
      </c>
      <c r="D253" t="s">
        <v>18</v>
      </c>
      <c r="E253" t="s">
        <v>1200</v>
      </c>
      <c r="F253" t="s">
        <v>1201</v>
      </c>
      <c r="G253" t="str">
        <f xml:space="preserve"> PROPER(_xlfn.CONCAT(Table1[[#This Row],[Title]]," ",Table1[[#This Row],[First Name]]," ",Table1[[#This Row],[Last Name]]))</f>
        <v>Miss Marshall Byers</v>
      </c>
      <c r="H253" t="str">
        <f>SUBSTITUTE(Table1[[#This Row],[Street]],"Road"," Road")</f>
        <v>Neathouse Buildings</v>
      </c>
      <c r="I253" t="str">
        <f>SUBSTITUTE(Table1[[#This Row],[Separate combined words ]],"?","")</f>
        <v>Neathouse Buildings</v>
      </c>
      <c r="J253" t="str">
        <f>TRIM(Table1[[#This Row],[Remove Question Mark "?"]])</f>
        <v>Neathouse Buildings</v>
      </c>
      <c r="K253" t="str">
        <f>PROPER(Table1[[#This Row],[Leading, Multiple &amp; Trailing spaces]])</f>
        <v>Neathouse Buildings</v>
      </c>
      <c r="L253" t="str">
        <f t="shared" si="3"/>
        <v>Neathouse Buildings</v>
      </c>
      <c r="M253" t="s">
        <v>1200</v>
      </c>
    </row>
    <row r="254" spans="1:13" x14ac:dyDescent="0.3">
      <c r="A254">
        <v>251</v>
      </c>
      <c r="B254" t="s">
        <v>1202</v>
      </c>
      <c r="C254" t="s">
        <v>1203</v>
      </c>
      <c r="D254" t="s">
        <v>7</v>
      </c>
      <c r="E254" t="s">
        <v>1204</v>
      </c>
      <c r="F254" t="s">
        <v>1205</v>
      </c>
      <c r="G254" t="str">
        <f xml:space="preserve"> PROPER(_xlfn.CONCAT(Table1[[#This Row],[Title]]," ",Table1[[#This Row],[First Name]]," ",Table1[[#This Row],[Last Name]]))</f>
        <v>Mrs Dierdre Salgado</v>
      </c>
      <c r="H254" t="str">
        <f>SUBSTITUTE(Table1[[#This Row],[Street]],"Road"," Road")</f>
        <v>Clover Close</v>
      </c>
      <c r="I254" t="str">
        <f>SUBSTITUTE(Table1[[#This Row],[Separate combined words ]],"?","")</f>
        <v>Clover Close</v>
      </c>
      <c r="J254" t="str">
        <f>TRIM(Table1[[#This Row],[Remove Question Mark "?"]])</f>
        <v>Clover Close</v>
      </c>
      <c r="K254" t="str">
        <f>PROPER(Table1[[#This Row],[Leading, Multiple &amp; Trailing spaces]])</f>
        <v>Clover Close</v>
      </c>
      <c r="L254" t="str">
        <f t="shared" si="3"/>
        <v>Clover Close</v>
      </c>
      <c r="M254" t="s">
        <v>1204</v>
      </c>
    </row>
    <row r="255" spans="1:13" x14ac:dyDescent="0.3">
      <c r="A255">
        <v>252</v>
      </c>
      <c r="B255" t="s">
        <v>1206</v>
      </c>
      <c r="C255" t="s">
        <v>1207</v>
      </c>
      <c r="D255" t="s">
        <v>18</v>
      </c>
      <c r="E255" t="s">
        <v>1208</v>
      </c>
      <c r="F255" t="s">
        <v>1209</v>
      </c>
      <c r="G255" t="str">
        <f xml:space="preserve"> PROPER(_xlfn.CONCAT(Table1[[#This Row],[Title]]," ",Table1[[#This Row],[First Name]]," ",Table1[[#This Row],[Last Name]]))</f>
        <v>Miss Cherri Marino</v>
      </c>
      <c r="H255" t="str">
        <f>SUBSTITUTE(Table1[[#This Row],[Street]],"Road"," Road")</f>
        <v>Merton Villas</v>
      </c>
      <c r="I255" t="str">
        <f>SUBSTITUTE(Table1[[#This Row],[Separate combined words ]],"?","")</f>
        <v>Merton Villas</v>
      </c>
      <c r="J255" t="str">
        <f>TRIM(Table1[[#This Row],[Remove Question Mark "?"]])</f>
        <v>Merton Villas</v>
      </c>
      <c r="K255" t="str">
        <f>PROPER(Table1[[#This Row],[Leading, Multiple &amp; Trailing spaces]])</f>
        <v>Merton Villas</v>
      </c>
      <c r="L255" t="str">
        <f t="shared" si="3"/>
        <v>Merton Villas</v>
      </c>
      <c r="M255" t="s">
        <v>1208</v>
      </c>
    </row>
    <row r="256" spans="1:13" x14ac:dyDescent="0.3">
      <c r="A256">
        <v>253</v>
      </c>
      <c r="B256" t="s">
        <v>1210</v>
      </c>
      <c r="C256" t="s">
        <v>1211</v>
      </c>
      <c r="D256" t="s">
        <v>18</v>
      </c>
      <c r="E256" t="s">
        <v>1212</v>
      </c>
      <c r="F256" t="s">
        <v>963</v>
      </c>
      <c r="G256" t="str">
        <f xml:space="preserve"> PROPER(_xlfn.CONCAT(Table1[[#This Row],[Title]]," ",Table1[[#This Row],[First Name]]," ",Table1[[#This Row],[Last Name]]))</f>
        <v>Miss Elidia Sosa</v>
      </c>
      <c r="H256" t="str">
        <f>SUBSTITUTE(Table1[[#This Row],[Street]],"Road"," Road")</f>
        <v>Kipling Street</v>
      </c>
      <c r="I256" t="str">
        <f>SUBSTITUTE(Table1[[#This Row],[Separate combined words ]],"?","")</f>
        <v>Kipling Street</v>
      </c>
      <c r="J256" t="str">
        <f>TRIM(Table1[[#This Row],[Remove Question Mark "?"]])</f>
        <v>Kipling Street</v>
      </c>
      <c r="K256" t="str">
        <f>PROPER(Table1[[#This Row],[Leading, Multiple &amp; Trailing spaces]])</f>
        <v>Kipling Street</v>
      </c>
      <c r="L256" t="str">
        <f t="shared" si="3"/>
        <v>Kipling Street</v>
      </c>
      <c r="M256" t="s">
        <v>1212</v>
      </c>
    </row>
    <row r="257" spans="1:13" x14ac:dyDescent="0.3">
      <c r="A257">
        <v>254</v>
      </c>
      <c r="B257" t="s">
        <v>1213</v>
      </c>
      <c r="C257" t="s">
        <v>965</v>
      </c>
      <c r="D257" t="s">
        <v>7</v>
      </c>
      <c r="E257" t="s">
        <v>1214</v>
      </c>
      <c r="F257" t="s">
        <v>1215</v>
      </c>
      <c r="G257" t="str">
        <f xml:space="preserve"> PROPER(_xlfn.CONCAT(Table1[[#This Row],[Title]]," ",Table1[[#This Row],[First Name]]," ",Table1[[#This Row],[Last Name]]))</f>
        <v>Mrs Susann Huggins</v>
      </c>
      <c r="H257" t="str">
        <f>SUBSTITUTE(Table1[[#This Row],[Street]],"Road"," Road")</f>
        <v>Hare Place</v>
      </c>
      <c r="I257" t="str">
        <f>SUBSTITUTE(Table1[[#This Row],[Separate combined words ]],"?","")</f>
        <v>Hare Place</v>
      </c>
      <c r="J257" t="str">
        <f>TRIM(Table1[[#This Row],[Remove Question Mark "?"]])</f>
        <v>Hare Place</v>
      </c>
      <c r="K257" t="str">
        <f>PROPER(Table1[[#This Row],[Leading, Multiple &amp; Trailing spaces]])</f>
        <v>Hare Place</v>
      </c>
      <c r="L257" t="str">
        <f t="shared" si="3"/>
        <v>Hare Place</v>
      </c>
      <c r="M257" t="s">
        <v>1214</v>
      </c>
    </row>
    <row r="258" spans="1:13" x14ac:dyDescent="0.3">
      <c r="A258">
        <v>255</v>
      </c>
      <c r="B258" t="s">
        <v>1216</v>
      </c>
      <c r="C258" t="s">
        <v>1217</v>
      </c>
      <c r="D258" t="s">
        <v>18</v>
      </c>
      <c r="E258" t="s">
        <v>1218</v>
      </c>
      <c r="F258" t="s">
        <v>621</v>
      </c>
      <c r="G258" t="str">
        <f xml:space="preserve"> PROPER(_xlfn.CONCAT(Table1[[#This Row],[Title]]," ",Table1[[#This Row],[First Name]]," ",Table1[[#This Row],[Last Name]]))</f>
        <v>Miss Shenika Juarez</v>
      </c>
      <c r="H258" t="str">
        <f>SUBSTITUTE(Table1[[#This Row],[Street]],"Road"," Road")</f>
        <v>Allenbury  Road</v>
      </c>
      <c r="I258" t="str">
        <f>SUBSTITUTE(Table1[[#This Row],[Separate combined words ]],"?","")</f>
        <v>Allenbury  Road</v>
      </c>
      <c r="J258" t="str">
        <f>TRIM(Table1[[#This Row],[Remove Question Mark "?"]])</f>
        <v>Allenbury Road</v>
      </c>
      <c r="K258" t="str">
        <f>PROPER(Table1[[#This Row],[Leading, Multiple &amp; Trailing spaces]])</f>
        <v>Allenbury Road</v>
      </c>
      <c r="L258" t="str">
        <f t="shared" si="3"/>
        <v>Allenbury Road</v>
      </c>
      <c r="M258" t="s">
        <v>1218</v>
      </c>
    </row>
    <row r="259" spans="1:13" x14ac:dyDescent="0.3">
      <c r="A259">
        <v>256</v>
      </c>
      <c r="B259" t="s">
        <v>20</v>
      </c>
      <c r="C259" t="s">
        <v>1219</v>
      </c>
      <c r="D259" t="s">
        <v>7</v>
      </c>
      <c r="E259" t="s">
        <v>1220</v>
      </c>
      <c r="F259" t="s">
        <v>1221</v>
      </c>
      <c r="G259" t="str">
        <f xml:space="preserve"> PROPER(_xlfn.CONCAT(Table1[[#This Row],[Title]]," ",Table1[[#This Row],[First Name]]," ",Table1[[#This Row],[Last Name]]))</f>
        <v>Mrs Shonta Eastman</v>
      </c>
      <c r="H259" t="str">
        <f>SUBSTITUTE(Table1[[#This Row],[Street]],"Road"," Road")</f>
        <v>Matchless Drive</v>
      </c>
      <c r="I259" t="str">
        <f>SUBSTITUTE(Table1[[#This Row],[Separate combined words ]],"?","")</f>
        <v>Matchless Drive</v>
      </c>
      <c r="J259" t="str">
        <f>TRIM(Table1[[#This Row],[Remove Question Mark "?"]])</f>
        <v>Matchless Drive</v>
      </c>
      <c r="K259" t="str">
        <f>PROPER(Table1[[#This Row],[Leading, Multiple &amp; Trailing spaces]])</f>
        <v>Matchless Drive</v>
      </c>
      <c r="L259" t="str">
        <f t="shared" si="3"/>
        <v>Matchless Drive</v>
      </c>
      <c r="M259" t="s">
        <v>1220</v>
      </c>
    </row>
    <row r="260" spans="1:13" x14ac:dyDescent="0.3">
      <c r="A260">
        <v>257</v>
      </c>
      <c r="B260" t="s">
        <v>1222</v>
      </c>
      <c r="C260" t="s">
        <v>1223</v>
      </c>
      <c r="D260" t="s">
        <v>7</v>
      </c>
      <c r="E260" t="s">
        <v>515</v>
      </c>
      <c r="F260" t="s">
        <v>1224</v>
      </c>
      <c r="G260" t="str">
        <f xml:space="preserve"> PROPER(_xlfn.CONCAT(Table1[[#This Row],[Title]]," ",Table1[[#This Row],[First Name]]," ",Table1[[#This Row],[Last Name]]))</f>
        <v>Mrs Shawna Silver</v>
      </c>
      <c r="H260" t="str">
        <f>SUBSTITUTE(Table1[[#This Row],[Street]],"Road"," Road")</f>
        <v>Turpins Yard</v>
      </c>
      <c r="I260" t="str">
        <f>SUBSTITUTE(Table1[[#This Row],[Separate combined words ]],"?","")</f>
        <v>Turpins Yard</v>
      </c>
      <c r="J260" t="str">
        <f>TRIM(Table1[[#This Row],[Remove Question Mark "?"]])</f>
        <v>Turpins Yard</v>
      </c>
      <c r="K260" t="str">
        <f>PROPER(Table1[[#This Row],[Leading, Multiple &amp; Trailing spaces]])</f>
        <v>Turpins Yard</v>
      </c>
      <c r="L260" t="str">
        <f t="shared" si="3"/>
        <v>Turpins Yard</v>
      </c>
      <c r="M260" t="s">
        <v>515</v>
      </c>
    </row>
    <row r="261" spans="1:13" x14ac:dyDescent="0.3">
      <c r="A261">
        <v>258</v>
      </c>
      <c r="B261" t="s">
        <v>1225</v>
      </c>
      <c r="C261" t="s">
        <v>525</v>
      </c>
      <c r="D261" t="s">
        <v>18</v>
      </c>
      <c r="E261" t="s">
        <v>1226</v>
      </c>
      <c r="F261" t="s">
        <v>1227</v>
      </c>
      <c r="G261" t="str">
        <f xml:space="preserve"> PROPER(_xlfn.CONCAT(Table1[[#This Row],[Title]]," ",Table1[[#This Row],[First Name]]," ",Table1[[#This Row],[Last Name]]))</f>
        <v>Miss Isobel Paige</v>
      </c>
      <c r="H261" t="str">
        <f>SUBSTITUTE(Table1[[#This Row],[Street]],"Road"," Road")</f>
        <v>School: Jewish</v>
      </c>
      <c r="I261" t="str">
        <f>SUBSTITUTE(Table1[[#This Row],[Separate combined words ]],"?","")</f>
        <v>School: Jewish</v>
      </c>
      <c r="J261" t="str">
        <f>TRIM(Table1[[#This Row],[Remove Question Mark "?"]])</f>
        <v>School: Jewish</v>
      </c>
      <c r="K261" t="str">
        <f>PROPER(Table1[[#This Row],[Leading, Multiple &amp; Trailing spaces]])</f>
        <v>School: Jewish</v>
      </c>
      <c r="L261" t="str">
        <f t="shared" ref="L261:L324" si="4">TRIM(PROPER(SUBSTITUTE(SUBSTITUTE((E261),"?",""),"Road"," Road")))</f>
        <v>School: Jewish</v>
      </c>
      <c r="M261" t="s">
        <v>1226</v>
      </c>
    </row>
    <row r="262" spans="1:13" x14ac:dyDescent="0.3">
      <c r="A262">
        <v>259</v>
      </c>
      <c r="B262" t="s">
        <v>1228</v>
      </c>
      <c r="C262" t="s">
        <v>536</v>
      </c>
      <c r="D262" t="s">
        <v>18</v>
      </c>
      <c r="E262" t="s">
        <v>1229</v>
      </c>
      <c r="F262" t="s">
        <v>1230</v>
      </c>
      <c r="G262" t="str">
        <f xml:space="preserve"> PROPER(_xlfn.CONCAT(Table1[[#This Row],[Title]]," ",Table1[[#This Row],[First Name]]," ",Table1[[#This Row],[Last Name]]))</f>
        <v>Miss Denise Richey</v>
      </c>
      <c r="H262" t="str">
        <f>SUBSTITUTE(Table1[[#This Row],[Street]],"Road"," Road")</f>
        <v>Glenview</v>
      </c>
      <c r="I262" t="str">
        <f>SUBSTITUTE(Table1[[#This Row],[Separate combined words ]],"?","")</f>
        <v>Glenview</v>
      </c>
      <c r="J262" t="str">
        <f>TRIM(Table1[[#This Row],[Remove Question Mark "?"]])</f>
        <v>Glenview</v>
      </c>
      <c r="K262" t="str">
        <f>PROPER(Table1[[#This Row],[Leading, Multiple &amp; Trailing spaces]])</f>
        <v>Glenview</v>
      </c>
      <c r="L262" t="str">
        <f t="shared" si="4"/>
        <v>Glenview</v>
      </c>
      <c r="M262" t="s">
        <v>1229</v>
      </c>
    </row>
    <row r="263" spans="1:13" x14ac:dyDescent="0.3">
      <c r="A263">
        <v>260</v>
      </c>
      <c r="B263" t="s">
        <v>396</v>
      </c>
      <c r="C263" t="s">
        <v>1231</v>
      </c>
      <c r="D263" t="s">
        <v>7</v>
      </c>
      <c r="E263" t="s">
        <v>1232</v>
      </c>
      <c r="F263" t="s">
        <v>1233</v>
      </c>
      <c r="G263" t="str">
        <f xml:space="preserve"> PROPER(_xlfn.CONCAT(Table1[[#This Row],[Title]]," ",Table1[[#This Row],[First Name]]," ",Table1[[#This Row],[Last Name]]))</f>
        <v>Mrs In Gray</v>
      </c>
      <c r="H263" t="str">
        <f>SUBSTITUTE(Table1[[#This Row],[Street]],"Road"," Road")</f>
        <v>South Elder</v>
      </c>
      <c r="I263" t="str">
        <f>SUBSTITUTE(Table1[[#This Row],[Separate combined words ]],"?","")</f>
        <v>South Elder</v>
      </c>
      <c r="J263" t="str">
        <f>TRIM(Table1[[#This Row],[Remove Question Mark "?"]])</f>
        <v>South Elder</v>
      </c>
      <c r="K263" t="str">
        <f>PROPER(Table1[[#This Row],[Leading, Multiple &amp; Trailing spaces]])</f>
        <v>South Elder</v>
      </c>
      <c r="L263" t="str">
        <f t="shared" si="4"/>
        <v>South Elder</v>
      </c>
      <c r="M263" t="s">
        <v>1232</v>
      </c>
    </row>
    <row r="264" spans="1:13" x14ac:dyDescent="0.3">
      <c r="A264">
        <v>261</v>
      </c>
      <c r="B264" t="s">
        <v>1234</v>
      </c>
      <c r="C264" t="s">
        <v>1235</v>
      </c>
      <c r="D264" t="s">
        <v>18</v>
      </c>
      <c r="E264" t="s">
        <v>1236</v>
      </c>
      <c r="F264" t="s">
        <v>1237</v>
      </c>
      <c r="G264" t="str">
        <f xml:space="preserve"> PROPER(_xlfn.CONCAT(Table1[[#This Row],[Title]]," ",Table1[[#This Row],[First Name]]," ",Table1[[#This Row],[Last Name]]))</f>
        <v>Miss Keena Pollock</v>
      </c>
      <c r="H264" t="str">
        <f>SUBSTITUTE(Table1[[#This Row],[Street]],"Road"," Road")</f>
        <v>Riverview  Road</v>
      </c>
      <c r="I264" t="str">
        <f>SUBSTITUTE(Table1[[#This Row],[Separate combined words ]],"?","")</f>
        <v>Riverview  Road</v>
      </c>
      <c r="J264" t="str">
        <f>TRIM(Table1[[#This Row],[Remove Question Mark "?"]])</f>
        <v>Riverview Road</v>
      </c>
      <c r="K264" t="str">
        <f>PROPER(Table1[[#This Row],[Leading, Multiple &amp; Trailing spaces]])</f>
        <v>Riverview Road</v>
      </c>
      <c r="L264" t="str">
        <f t="shared" si="4"/>
        <v>Riverview Road</v>
      </c>
      <c r="M264" t="s">
        <v>1236</v>
      </c>
    </row>
    <row r="265" spans="1:13" x14ac:dyDescent="0.3">
      <c r="A265">
        <v>262</v>
      </c>
      <c r="B265" t="s">
        <v>446</v>
      </c>
      <c r="C265" t="s">
        <v>1238</v>
      </c>
      <c r="D265" t="s">
        <v>7</v>
      </c>
      <c r="E265" t="s">
        <v>1239</v>
      </c>
      <c r="F265" t="s">
        <v>404</v>
      </c>
      <c r="G265" t="str">
        <f xml:space="preserve"> PROPER(_xlfn.CONCAT(Table1[[#This Row],[Title]]," ",Table1[[#This Row],[First Name]]," ",Table1[[#This Row],[Last Name]]))</f>
        <v>Mrs Janine Langston</v>
      </c>
      <c r="H265" t="str">
        <f>SUBSTITUTE(Table1[[#This Row],[Street]],"Road"," Road")</f>
        <v>Williams Close</v>
      </c>
      <c r="I265" t="str">
        <f>SUBSTITUTE(Table1[[#This Row],[Separate combined words ]],"?","")</f>
        <v>Williams Close</v>
      </c>
      <c r="J265" t="str">
        <f>TRIM(Table1[[#This Row],[Remove Question Mark "?"]])</f>
        <v>Williams Close</v>
      </c>
      <c r="K265" t="str">
        <f>PROPER(Table1[[#This Row],[Leading, Multiple &amp; Trailing spaces]])</f>
        <v>Williams Close</v>
      </c>
      <c r="L265" t="str">
        <f t="shared" si="4"/>
        <v>Williams Close</v>
      </c>
      <c r="M265" t="s">
        <v>1239</v>
      </c>
    </row>
    <row r="266" spans="1:13" x14ac:dyDescent="0.3">
      <c r="A266">
        <v>263</v>
      </c>
      <c r="B266" t="s">
        <v>1240</v>
      </c>
      <c r="C266" t="s">
        <v>1241</v>
      </c>
      <c r="D266" t="s">
        <v>18</v>
      </c>
      <c r="E266" t="s">
        <v>1242</v>
      </c>
      <c r="F266" t="s">
        <v>838</v>
      </c>
      <c r="G266" t="str">
        <f xml:space="preserve"> PROPER(_xlfn.CONCAT(Table1[[#This Row],[Title]]," ",Table1[[#This Row],[First Name]]," ",Table1[[#This Row],[Last Name]]))</f>
        <v>Miss Loma Rivas</v>
      </c>
      <c r="H266" t="str">
        <f>SUBSTITUTE(Table1[[#This Row],[Street]],"Road"," Road")</f>
        <v>Wittenham Way</v>
      </c>
      <c r="I266" t="str">
        <f>SUBSTITUTE(Table1[[#This Row],[Separate combined words ]],"?","")</f>
        <v>Wittenham Way</v>
      </c>
      <c r="J266" t="str">
        <f>TRIM(Table1[[#This Row],[Remove Question Mark "?"]])</f>
        <v>Wittenham Way</v>
      </c>
      <c r="K266" t="str">
        <f>PROPER(Table1[[#This Row],[Leading, Multiple &amp; Trailing spaces]])</f>
        <v>Wittenham Way</v>
      </c>
      <c r="L266" t="str">
        <f t="shared" si="4"/>
        <v>Wittenham Way</v>
      </c>
      <c r="M266" t="s">
        <v>1242</v>
      </c>
    </row>
    <row r="267" spans="1:13" x14ac:dyDescent="0.3">
      <c r="A267">
        <v>264</v>
      </c>
      <c r="B267" t="s">
        <v>458</v>
      </c>
      <c r="C267" t="s">
        <v>545</v>
      </c>
      <c r="D267" t="s">
        <v>18</v>
      </c>
      <c r="E267" t="s">
        <v>1243</v>
      </c>
      <c r="F267" t="s">
        <v>1244</v>
      </c>
      <c r="G267" t="str">
        <f xml:space="preserve"> PROPER(_xlfn.CONCAT(Table1[[#This Row],[Title]]," ",Table1[[#This Row],[First Name]]," ",Table1[[#This Row],[Last Name]]))</f>
        <v>Miss Lilia Odonnell</v>
      </c>
      <c r="H267" t="str">
        <f>SUBSTITUTE(Table1[[#This Row],[Street]],"Road"," Road")</f>
        <v>Leonard Cottages</v>
      </c>
      <c r="I267" t="str">
        <f>SUBSTITUTE(Table1[[#This Row],[Separate combined words ]],"?","")</f>
        <v>Leonard Cottages</v>
      </c>
      <c r="J267" t="str">
        <f>TRIM(Table1[[#This Row],[Remove Question Mark "?"]])</f>
        <v>Leonard Cottages</v>
      </c>
      <c r="K267" t="str">
        <f>PROPER(Table1[[#This Row],[Leading, Multiple &amp; Trailing spaces]])</f>
        <v>Leonard Cottages</v>
      </c>
      <c r="L267" t="str">
        <f t="shared" si="4"/>
        <v>Leonard Cottages</v>
      </c>
      <c r="M267" t="s">
        <v>1243</v>
      </c>
    </row>
    <row r="268" spans="1:13" x14ac:dyDescent="0.3">
      <c r="A268">
        <v>265</v>
      </c>
      <c r="B268" t="s">
        <v>1245</v>
      </c>
      <c r="C268" t="s">
        <v>544</v>
      </c>
      <c r="D268" t="s">
        <v>7</v>
      </c>
      <c r="E268" t="s">
        <v>1246</v>
      </c>
      <c r="F268" t="s">
        <v>1247</v>
      </c>
      <c r="G268" t="str">
        <f xml:space="preserve"> PROPER(_xlfn.CONCAT(Table1[[#This Row],[Title]]," ",Table1[[#This Row],[First Name]]," ",Table1[[#This Row],[Last Name]]))</f>
        <v>Mrs Marilee Crouch</v>
      </c>
      <c r="H268" t="str">
        <f>SUBSTITUTE(Table1[[#This Row],[Street]],"Road"," Road")</f>
        <v>Cooper's  Road</v>
      </c>
      <c r="I268" t="str">
        <f>SUBSTITUTE(Table1[[#This Row],[Separate combined words ]],"?","")</f>
        <v>Cooper's  Road</v>
      </c>
      <c r="J268" t="str">
        <f>TRIM(Table1[[#This Row],[Remove Question Mark "?"]])</f>
        <v>Cooper's Road</v>
      </c>
      <c r="K268" t="str">
        <f>PROPER(Table1[[#This Row],[Leading, Multiple &amp; Trailing spaces]])</f>
        <v>Cooper'S Road</v>
      </c>
      <c r="L268" t="str">
        <f t="shared" si="4"/>
        <v>Cooper'S Road</v>
      </c>
      <c r="M268" t="s">
        <v>3430</v>
      </c>
    </row>
    <row r="269" spans="1:13" x14ac:dyDescent="0.3">
      <c r="A269">
        <v>266</v>
      </c>
      <c r="B269" t="s">
        <v>1248</v>
      </c>
      <c r="C269" t="s">
        <v>1249</v>
      </c>
      <c r="D269" t="s">
        <v>18</v>
      </c>
      <c r="E269" t="s">
        <v>1250</v>
      </c>
      <c r="F269" t="s">
        <v>1251</v>
      </c>
      <c r="G269" t="str">
        <f xml:space="preserve"> PROPER(_xlfn.CONCAT(Table1[[#This Row],[Title]]," ",Table1[[#This Row],[First Name]]," ",Table1[[#This Row],[Last Name]]))</f>
        <v>Miss Mitzie Hunter</v>
      </c>
      <c r="H269" t="str">
        <f>SUBSTITUTE(Table1[[#This Row],[Street]],"Road"," Road")</f>
        <v>Moresby  Road</v>
      </c>
      <c r="I269" t="str">
        <f>SUBSTITUTE(Table1[[#This Row],[Separate combined words ]],"?","")</f>
        <v>Moresby  Road</v>
      </c>
      <c r="J269" t="str">
        <f>TRIM(Table1[[#This Row],[Remove Question Mark "?"]])</f>
        <v>Moresby Road</v>
      </c>
      <c r="K269" t="str">
        <f>PROPER(Table1[[#This Row],[Leading, Multiple &amp; Trailing spaces]])</f>
        <v>Moresby Road</v>
      </c>
      <c r="L269" t="str">
        <f t="shared" si="4"/>
        <v>Moresby Road</v>
      </c>
      <c r="M269" t="s">
        <v>1250</v>
      </c>
    </row>
    <row r="270" spans="1:13" x14ac:dyDescent="0.3">
      <c r="A270">
        <v>267</v>
      </c>
      <c r="B270" t="s">
        <v>1252</v>
      </c>
      <c r="C270" t="s">
        <v>1253</v>
      </c>
      <c r="D270" t="s">
        <v>7</v>
      </c>
      <c r="E270" t="s">
        <v>1254</v>
      </c>
      <c r="F270" t="s">
        <v>1255</v>
      </c>
      <c r="G270" t="str">
        <f xml:space="preserve"> PROPER(_xlfn.CONCAT(Table1[[#This Row],[Title]]," ",Table1[[#This Row],[First Name]]," ",Table1[[#This Row],[Last Name]]))</f>
        <v>Mrs Mercedes Wiseman</v>
      </c>
      <c r="H270" t="str">
        <f>SUBSTITUTE(Table1[[#This Row],[Street]],"Road"," Road")</f>
        <v>Station Estate</v>
      </c>
      <c r="I270" t="str">
        <f>SUBSTITUTE(Table1[[#This Row],[Separate combined words ]],"?","")</f>
        <v>Station Estate</v>
      </c>
      <c r="J270" t="str">
        <f>TRIM(Table1[[#This Row],[Remove Question Mark "?"]])</f>
        <v>Station Estate</v>
      </c>
      <c r="K270" t="str">
        <f>PROPER(Table1[[#This Row],[Leading, Multiple &amp; Trailing spaces]])</f>
        <v>Station Estate</v>
      </c>
      <c r="L270" t="str">
        <f t="shared" si="4"/>
        <v>Station Estate</v>
      </c>
      <c r="M270" t="s">
        <v>1254</v>
      </c>
    </row>
    <row r="271" spans="1:13" x14ac:dyDescent="0.3">
      <c r="A271">
        <v>268</v>
      </c>
      <c r="B271" t="s">
        <v>1256</v>
      </c>
      <c r="C271" t="s">
        <v>1249</v>
      </c>
      <c r="D271" t="s">
        <v>7</v>
      </c>
      <c r="E271" t="s">
        <v>1257</v>
      </c>
      <c r="F271" t="s">
        <v>459</v>
      </c>
      <c r="G271" t="str">
        <f xml:space="preserve"> PROPER(_xlfn.CONCAT(Table1[[#This Row],[Title]]," ",Table1[[#This Row],[First Name]]," ",Table1[[#This Row],[Last Name]]))</f>
        <v>Mrs Marissa Hunter</v>
      </c>
      <c r="H271" t="str">
        <f>SUBSTITUTE(Table1[[#This Row],[Street]],"Road"," Road")</f>
        <v>Cliveden Place</v>
      </c>
      <c r="I271" t="str">
        <f>SUBSTITUTE(Table1[[#This Row],[Separate combined words ]],"?","")</f>
        <v>Cliveden Place</v>
      </c>
      <c r="J271" t="str">
        <f>TRIM(Table1[[#This Row],[Remove Question Mark "?"]])</f>
        <v>Cliveden Place</v>
      </c>
      <c r="K271" t="str">
        <f>PROPER(Table1[[#This Row],[Leading, Multiple &amp; Trailing spaces]])</f>
        <v>Cliveden Place</v>
      </c>
      <c r="L271" t="str">
        <f t="shared" si="4"/>
        <v>Cliveden Place</v>
      </c>
      <c r="M271" t="s">
        <v>1257</v>
      </c>
    </row>
    <row r="272" spans="1:13" x14ac:dyDescent="0.3">
      <c r="A272">
        <v>269</v>
      </c>
      <c r="B272" t="s">
        <v>1258</v>
      </c>
      <c r="C272" t="s">
        <v>862</v>
      </c>
      <c r="D272" t="s">
        <v>7</v>
      </c>
      <c r="E272" t="s">
        <v>1259</v>
      </c>
      <c r="F272" t="s">
        <v>973</v>
      </c>
      <c r="G272" t="str">
        <f xml:space="preserve"> PROPER(_xlfn.CONCAT(Table1[[#This Row],[Title]]," ",Table1[[#This Row],[First Name]]," ",Table1[[#This Row],[Last Name]]))</f>
        <v>Mrs Tennille Alfaro</v>
      </c>
      <c r="H272" t="str">
        <f>SUBSTITUTE(Table1[[#This Row],[Street]],"Road"," Road")</f>
        <v>Linden Lea</v>
      </c>
      <c r="I272" t="str">
        <f>SUBSTITUTE(Table1[[#This Row],[Separate combined words ]],"?","")</f>
        <v>Linden Lea</v>
      </c>
      <c r="J272" t="str">
        <f>TRIM(Table1[[#This Row],[Remove Question Mark "?"]])</f>
        <v>Linden Lea</v>
      </c>
      <c r="K272" t="str">
        <f>PROPER(Table1[[#This Row],[Leading, Multiple &amp; Trailing spaces]])</f>
        <v>Linden Lea</v>
      </c>
      <c r="L272" t="str">
        <f t="shared" si="4"/>
        <v>Linden Lea</v>
      </c>
      <c r="M272" t="s">
        <v>1259</v>
      </c>
    </row>
    <row r="273" spans="1:13" x14ac:dyDescent="0.3">
      <c r="A273">
        <v>270</v>
      </c>
      <c r="B273" t="s">
        <v>1260</v>
      </c>
      <c r="C273" t="s">
        <v>466</v>
      </c>
      <c r="D273" t="s">
        <v>18</v>
      </c>
      <c r="E273" t="s">
        <v>1261</v>
      </c>
      <c r="F273" t="s">
        <v>1262</v>
      </c>
      <c r="G273" t="str">
        <f xml:space="preserve"> PROPER(_xlfn.CONCAT(Table1[[#This Row],[Title]]," ",Table1[[#This Row],[First Name]]," ",Table1[[#This Row],[Last Name]]))</f>
        <v>Miss Leann Brunson</v>
      </c>
      <c r="H273" t="str">
        <f>SUBSTITUTE(Table1[[#This Row],[Street]],"Road"," Road")</f>
        <v>Gordonbrock  Road</v>
      </c>
      <c r="I273" t="str">
        <f>SUBSTITUTE(Table1[[#This Row],[Separate combined words ]],"?","")</f>
        <v>Gordonbrock  Road</v>
      </c>
      <c r="J273" t="str">
        <f>TRIM(Table1[[#This Row],[Remove Question Mark "?"]])</f>
        <v>Gordonbrock Road</v>
      </c>
      <c r="K273" t="str">
        <f>PROPER(Table1[[#This Row],[Leading, Multiple &amp; Trailing spaces]])</f>
        <v>Gordonbrock Road</v>
      </c>
      <c r="L273" t="str">
        <f t="shared" si="4"/>
        <v>Gordonbrock Road</v>
      </c>
      <c r="M273" t="s">
        <v>1261</v>
      </c>
    </row>
    <row r="274" spans="1:13" x14ac:dyDescent="0.3">
      <c r="A274">
        <v>271</v>
      </c>
      <c r="B274" t="s">
        <v>382</v>
      </c>
      <c r="C274" t="s">
        <v>1263</v>
      </c>
      <c r="D274" t="s">
        <v>7</v>
      </c>
      <c r="E274" t="s">
        <v>1264</v>
      </c>
      <c r="F274" t="s">
        <v>296</v>
      </c>
      <c r="G274" t="str">
        <f xml:space="preserve"> PROPER(_xlfn.CONCAT(Table1[[#This Row],[Title]]," ",Table1[[#This Row],[First Name]]," ",Table1[[#This Row],[Last Name]]))</f>
        <v>Mrs Magdalene Vang</v>
      </c>
      <c r="H274" t="str">
        <f>SUBSTITUTE(Table1[[#This Row],[Street]],"Road"," Road")</f>
        <v>Shoolhouse</v>
      </c>
      <c r="I274" t="str">
        <f>SUBSTITUTE(Table1[[#This Row],[Separate combined words ]],"?","")</f>
        <v>Shoolhouse</v>
      </c>
      <c r="J274" t="str">
        <f>TRIM(Table1[[#This Row],[Remove Question Mark "?"]])</f>
        <v>Shoolhouse</v>
      </c>
      <c r="K274" t="str">
        <f>PROPER(Table1[[#This Row],[Leading, Multiple &amp; Trailing spaces]])</f>
        <v>Shoolhouse</v>
      </c>
      <c r="L274" t="str">
        <f t="shared" si="4"/>
        <v>Shoolhouse</v>
      </c>
      <c r="M274" t="s">
        <v>1264</v>
      </c>
    </row>
    <row r="275" spans="1:13" x14ac:dyDescent="0.3">
      <c r="A275">
        <v>272</v>
      </c>
      <c r="B275" t="s">
        <v>1265</v>
      </c>
      <c r="C275" t="s">
        <v>1070</v>
      </c>
      <c r="D275" t="s">
        <v>18</v>
      </c>
      <c r="E275" t="s">
        <v>1266</v>
      </c>
      <c r="F275" t="s">
        <v>910</v>
      </c>
      <c r="G275" t="str">
        <f xml:space="preserve"> PROPER(_xlfn.CONCAT(Table1[[#This Row],[Title]]," ",Table1[[#This Row],[First Name]]," ",Table1[[#This Row],[Last Name]]))</f>
        <v>Miss Hellen Leon</v>
      </c>
      <c r="H275" t="str">
        <f>SUBSTITUTE(Table1[[#This Row],[Street]],"Road"," Road")</f>
        <v>Woodcote Place</v>
      </c>
      <c r="I275" t="str">
        <f>SUBSTITUTE(Table1[[#This Row],[Separate combined words ]],"?","")</f>
        <v>Woodcote Place</v>
      </c>
      <c r="J275" t="str">
        <f>TRIM(Table1[[#This Row],[Remove Question Mark "?"]])</f>
        <v>Woodcote Place</v>
      </c>
      <c r="K275" t="str">
        <f>PROPER(Table1[[#This Row],[Leading, Multiple &amp; Trailing spaces]])</f>
        <v>Woodcote Place</v>
      </c>
      <c r="L275" t="str">
        <f t="shared" si="4"/>
        <v>Woodcote Place</v>
      </c>
      <c r="M275" t="s">
        <v>1266</v>
      </c>
    </row>
    <row r="276" spans="1:13" x14ac:dyDescent="0.3">
      <c r="A276">
        <v>273</v>
      </c>
      <c r="B276" t="s">
        <v>1267</v>
      </c>
      <c r="C276" t="s">
        <v>1268</v>
      </c>
      <c r="D276" t="s">
        <v>18</v>
      </c>
      <c r="E276" t="s">
        <v>1269</v>
      </c>
      <c r="F276" t="s">
        <v>1270</v>
      </c>
      <c r="G276" t="str">
        <f xml:space="preserve"> PROPER(_xlfn.CONCAT(Table1[[#This Row],[Title]]," ",Table1[[#This Row],[First Name]]," ",Table1[[#This Row],[Last Name]]))</f>
        <v>Miss Josefa Stallings</v>
      </c>
      <c r="H276" t="str">
        <f>SUBSTITUTE(Table1[[#This Row],[Street]],"Road"," Road")</f>
        <v>Lisban Street</v>
      </c>
      <c r="I276" t="str">
        <f>SUBSTITUTE(Table1[[#This Row],[Separate combined words ]],"?","")</f>
        <v>Lisban Street</v>
      </c>
      <c r="J276" t="str">
        <f>TRIM(Table1[[#This Row],[Remove Question Mark "?"]])</f>
        <v>Lisban Street</v>
      </c>
      <c r="K276" t="str">
        <f>PROPER(Table1[[#This Row],[Leading, Multiple &amp; Trailing spaces]])</f>
        <v>Lisban Street</v>
      </c>
      <c r="L276" t="str">
        <f t="shared" si="4"/>
        <v>Lisban Street</v>
      </c>
      <c r="M276" t="s">
        <v>1269</v>
      </c>
    </row>
    <row r="277" spans="1:13" x14ac:dyDescent="0.3">
      <c r="A277">
        <v>274</v>
      </c>
      <c r="B277" t="s">
        <v>1271</v>
      </c>
      <c r="C277" t="s">
        <v>1272</v>
      </c>
      <c r="D277" t="s">
        <v>7</v>
      </c>
      <c r="E277" t="s">
        <v>1273</v>
      </c>
      <c r="F277" t="s">
        <v>1274</v>
      </c>
      <c r="G277" t="str">
        <f xml:space="preserve"> PROPER(_xlfn.CONCAT(Table1[[#This Row],[Title]]," ",Table1[[#This Row],[First Name]]," ",Table1[[#This Row],[Last Name]]))</f>
        <v>Mrs Bev Donnelly</v>
      </c>
      <c r="H277" t="str">
        <f>SUBSTITUTE(Table1[[#This Row],[Street]],"Road"," Road")</f>
        <v>Erewash Terrace</v>
      </c>
      <c r="I277" t="str">
        <f>SUBSTITUTE(Table1[[#This Row],[Separate combined words ]],"?","")</f>
        <v>Erewash Terrace</v>
      </c>
      <c r="J277" t="str">
        <f>TRIM(Table1[[#This Row],[Remove Question Mark "?"]])</f>
        <v>Erewash Terrace</v>
      </c>
      <c r="K277" t="str">
        <f>PROPER(Table1[[#This Row],[Leading, Multiple &amp; Trailing spaces]])</f>
        <v>Erewash Terrace</v>
      </c>
      <c r="L277" t="str">
        <f t="shared" si="4"/>
        <v>Erewash Terrace</v>
      </c>
      <c r="M277" t="s">
        <v>1273</v>
      </c>
    </row>
    <row r="278" spans="1:13" x14ac:dyDescent="0.3">
      <c r="A278">
        <v>275</v>
      </c>
      <c r="B278" t="s">
        <v>1275</v>
      </c>
      <c r="C278" t="s">
        <v>1276</v>
      </c>
      <c r="D278" t="s">
        <v>18</v>
      </c>
      <c r="E278" t="s">
        <v>1277</v>
      </c>
      <c r="F278" t="s">
        <v>819</v>
      </c>
      <c r="G278" t="str">
        <f xml:space="preserve"> PROPER(_xlfn.CONCAT(Table1[[#This Row],[Title]]," ",Table1[[#This Row],[First Name]]," ",Table1[[#This Row],[Last Name]]))</f>
        <v>Miss Risa Dillard</v>
      </c>
      <c r="H278" t="str">
        <f>SUBSTITUTE(Table1[[#This Row],[Street]],"Road"," Road")</f>
        <v>Bakers Mews</v>
      </c>
      <c r="I278" t="str">
        <f>SUBSTITUTE(Table1[[#This Row],[Separate combined words ]],"?","")</f>
        <v>Bakers Mews</v>
      </c>
      <c r="J278" t="str">
        <f>TRIM(Table1[[#This Row],[Remove Question Mark "?"]])</f>
        <v>Bakers Mews</v>
      </c>
      <c r="K278" t="str">
        <f>PROPER(Table1[[#This Row],[Leading, Multiple &amp; Trailing spaces]])</f>
        <v>Bakers Mews</v>
      </c>
      <c r="L278" t="str">
        <f t="shared" si="4"/>
        <v>Bakers Mews</v>
      </c>
      <c r="M278" t="s">
        <v>1277</v>
      </c>
    </row>
    <row r="279" spans="1:13" x14ac:dyDescent="0.3">
      <c r="A279">
        <v>276</v>
      </c>
      <c r="B279" t="s">
        <v>575</v>
      </c>
      <c r="C279" t="s">
        <v>452</v>
      </c>
      <c r="D279" t="s">
        <v>7</v>
      </c>
      <c r="E279" t="s">
        <v>1278</v>
      </c>
      <c r="F279" t="s">
        <v>1279</v>
      </c>
      <c r="G279" t="str">
        <f xml:space="preserve"> PROPER(_xlfn.CONCAT(Table1[[#This Row],[Title]]," ",Table1[[#This Row],[First Name]]," ",Table1[[#This Row],[Last Name]]))</f>
        <v>Mrs Josephine Hagen</v>
      </c>
      <c r="H279" t="str">
        <f>SUBSTITUTE(Table1[[#This Row],[Street]],"Road"," Road")</f>
        <v>Cressfield Close</v>
      </c>
      <c r="I279" t="str">
        <f>SUBSTITUTE(Table1[[#This Row],[Separate combined words ]],"?","")</f>
        <v>Cressfield Close</v>
      </c>
      <c r="J279" t="str">
        <f>TRIM(Table1[[#This Row],[Remove Question Mark "?"]])</f>
        <v>Cressfield Close</v>
      </c>
      <c r="K279" t="str">
        <f>PROPER(Table1[[#This Row],[Leading, Multiple &amp; Trailing spaces]])</f>
        <v>Cressfield Close</v>
      </c>
      <c r="L279" t="str">
        <f t="shared" si="4"/>
        <v>Cressfield Close</v>
      </c>
      <c r="M279" t="s">
        <v>1278</v>
      </c>
    </row>
    <row r="280" spans="1:13" x14ac:dyDescent="0.3">
      <c r="A280">
        <v>277</v>
      </c>
      <c r="B280" t="s">
        <v>609</v>
      </c>
      <c r="C280" t="s">
        <v>1280</v>
      </c>
      <c r="D280" t="s">
        <v>7</v>
      </c>
      <c r="E280" t="s">
        <v>1281</v>
      </c>
      <c r="F280" t="s">
        <v>472</v>
      </c>
      <c r="G280" t="str">
        <f xml:space="preserve"> PROPER(_xlfn.CONCAT(Table1[[#This Row],[Title]]," ",Table1[[#This Row],[First Name]]," ",Table1[[#This Row],[Last Name]]))</f>
        <v>Mrs Kristen Winkler</v>
      </c>
      <c r="H280" t="str">
        <f>SUBSTITUTE(Table1[[#This Row],[Street]],"Road"," Road")</f>
        <v>Broughton Street</v>
      </c>
      <c r="I280" t="str">
        <f>SUBSTITUTE(Table1[[#This Row],[Separate combined words ]],"?","")</f>
        <v>Broughton Street</v>
      </c>
      <c r="J280" t="str">
        <f>TRIM(Table1[[#This Row],[Remove Question Mark "?"]])</f>
        <v>Broughton Street</v>
      </c>
      <c r="K280" t="str">
        <f>PROPER(Table1[[#This Row],[Leading, Multiple &amp; Trailing spaces]])</f>
        <v>Broughton Street</v>
      </c>
      <c r="L280" t="str">
        <f t="shared" si="4"/>
        <v>Broughton Street</v>
      </c>
      <c r="M280" t="s">
        <v>1281</v>
      </c>
    </row>
    <row r="281" spans="1:13" x14ac:dyDescent="0.3">
      <c r="A281">
        <v>278</v>
      </c>
      <c r="B281" t="s">
        <v>653</v>
      </c>
      <c r="C281" t="s">
        <v>682</v>
      </c>
      <c r="D281" t="s">
        <v>18</v>
      </c>
      <c r="E281" t="s">
        <v>1282</v>
      </c>
      <c r="F281" t="s">
        <v>1283</v>
      </c>
      <c r="G281" t="str">
        <f xml:space="preserve"> PROPER(_xlfn.CONCAT(Table1[[#This Row],[Title]]," ",Table1[[#This Row],[First Name]]," ",Table1[[#This Row],[Last Name]]))</f>
        <v>Miss Slyvia Blanchard</v>
      </c>
      <c r="H281" t="str">
        <f>SUBSTITUTE(Table1[[#This Row],[Street]],"Road"," Road")</f>
        <v>Hillcrest Close</v>
      </c>
      <c r="I281" t="str">
        <f>SUBSTITUTE(Table1[[#This Row],[Separate combined words ]],"?","")</f>
        <v>Hillcrest Close</v>
      </c>
      <c r="J281" t="str">
        <f>TRIM(Table1[[#This Row],[Remove Question Mark "?"]])</f>
        <v>Hillcrest Close</v>
      </c>
      <c r="K281" t="str">
        <f>PROPER(Table1[[#This Row],[Leading, Multiple &amp; Trailing spaces]])</f>
        <v>Hillcrest Close</v>
      </c>
      <c r="L281" t="str">
        <f t="shared" si="4"/>
        <v>Hillcrest Close</v>
      </c>
      <c r="M281" t="s">
        <v>1282</v>
      </c>
    </row>
    <row r="282" spans="1:13" x14ac:dyDescent="0.3">
      <c r="A282">
        <v>279</v>
      </c>
      <c r="B282" t="s">
        <v>1284</v>
      </c>
      <c r="C282" t="s">
        <v>1285</v>
      </c>
      <c r="D282" t="s">
        <v>18</v>
      </c>
      <c r="E282" t="s">
        <v>1286</v>
      </c>
      <c r="F282" t="s">
        <v>1287</v>
      </c>
      <c r="G282" t="str">
        <f xml:space="preserve"> PROPER(_xlfn.CONCAT(Table1[[#This Row],[Title]]," ",Table1[[#This Row],[First Name]]," ",Table1[[#This Row],[Last Name]]))</f>
        <v>Miss Candyce Deal</v>
      </c>
      <c r="H282" t="str">
        <f>SUBSTITUTE(Table1[[#This Row],[Street]],"Road"," Road")</f>
        <v>Lumley Street</v>
      </c>
      <c r="I282" t="str">
        <f>SUBSTITUTE(Table1[[#This Row],[Separate combined words ]],"?","")</f>
        <v>Lumley Street</v>
      </c>
      <c r="J282" t="str">
        <f>TRIM(Table1[[#This Row],[Remove Question Mark "?"]])</f>
        <v>Lumley Street</v>
      </c>
      <c r="K282" t="str">
        <f>PROPER(Table1[[#This Row],[Leading, Multiple &amp; Trailing spaces]])</f>
        <v>Lumley Street</v>
      </c>
      <c r="L282" t="str">
        <f t="shared" si="4"/>
        <v>Lumley Street</v>
      </c>
      <c r="M282" t="s">
        <v>1286</v>
      </c>
    </row>
    <row r="283" spans="1:13" x14ac:dyDescent="0.3">
      <c r="A283">
        <v>280</v>
      </c>
      <c r="B283" t="s">
        <v>1288</v>
      </c>
      <c r="C283" t="s">
        <v>311</v>
      </c>
      <c r="D283" t="s">
        <v>18</v>
      </c>
      <c r="E283" t="s">
        <v>1289</v>
      </c>
      <c r="F283" t="s">
        <v>1290</v>
      </c>
      <c r="G283" t="str">
        <f xml:space="preserve"> PROPER(_xlfn.CONCAT(Table1[[#This Row],[Title]]," ",Table1[[#This Row],[First Name]]," ",Table1[[#This Row],[Last Name]]))</f>
        <v>Miss Destiny Duncan</v>
      </c>
      <c r="H283" t="str">
        <f>SUBSTITUTE(Table1[[#This Row],[Street]],"Road"," Road")</f>
        <v>Aston  Road</v>
      </c>
      <c r="I283" t="str">
        <f>SUBSTITUTE(Table1[[#This Row],[Separate combined words ]],"?","")</f>
        <v>Aston  Road</v>
      </c>
      <c r="J283" t="str">
        <f>TRIM(Table1[[#This Row],[Remove Question Mark "?"]])</f>
        <v>Aston Road</v>
      </c>
      <c r="K283" t="str">
        <f>PROPER(Table1[[#This Row],[Leading, Multiple &amp; Trailing spaces]])</f>
        <v>Aston Road</v>
      </c>
      <c r="L283" t="str">
        <f t="shared" si="4"/>
        <v>Aston Road</v>
      </c>
      <c r="M283" t="s">
        <v>1289</v>
      </c>
    </row>
    <row r="284" spans="1:13" x14ac:dyDescent="0.3">
      <c r="A284">
        <v>281</v>
      </c>
      <c r="B284" t="s">
        <v>1291</v>
      </c>
      <c r="C284" t="s">
        <v>118</v>
      </c>
      <c r="D284" t="s">
        <v>7</v>
      </c>
      <c r="E284" t="s">
        <v>1292</v>
      </c>
      <c r="F284" t="s">
        <v>622</v>
      </c>
      <c r="G284" t="str">
        <f xml:space="preserve"> PROPER(_xlfn.CONCAT(Table1[[#This Row],[Title]]," ",Table1[[#This Row],[First Name]]," ",Table1[[#This Row],[Last Name]]))</f>
        <v>Mrs Helen Lacy</v>
      </c>
      <c r="H284" t="str">
        <f>SUBSTITUTE(Table1[[#This Row],[Street]],"Road"," Road")</f>
        <v>Rowena Crescent</v>
      </c>
      <c r="I284" t="str">
        <f>SUBSTITUTE(Table1[[#This Row],[Separate combined words ]],"?","")</f>
        <v>Rowena Crescent</v>
      </c>
      <c r="J284" t="str">
        <f>TRIM(Table1[[#This Row],[Remove Question Mark "?"]])</f>
        <v>Rowena Crescent</v>
      </c>
      <c r="K284" t="str">
        <f>PROPER(Table1[[#This Row],[Leading, Multiple &amp; Trailing spaces]])</f>
        <v>Rowena Crescent</v>
      </c>
      <c r="L284" t="str">
        <f t="shared" si="4"/>
        <v>Rowena Crescent</v>
      </c>
      <c r="M284" t="s">
        <v>1292</v>
      </c>
    </row>
    <row r="285" spans="1:13" x14ac:dyDescent="0.3">
      <c r="A285">
        <v>282</v>
      </c>
      <c r="B285" t="s">
        <v>460</v>
      </c>
      <c r="C285" t="s">
        <v>1293</v>
      </c>
      <c r="D285" t="s">
        <v>318</v>
      </c>
      <c r="E285" t="s">
        <v>1294</v>
      </c>
      <c r="F285" t="s">
        <v>1295</v>
      </c>
      <c r="G285" t="str">
        <f xml:space="preserve"> PROPER(_xlfn.CONCAT(Table1[[#This Row],[Title]]," ",Table1[[#This Row],[First Name]]," ",Table1[[#This Row],[Last Name]]))</f>
        <v>Dr Liz Gallo</v>
      </c>
      <c r="H285" t="str">
        <f>SUBSTITUTE(Table1[[#This Row],[Street]],"Road"," Road")</f>
        <v>Dorchester Court</v>
      </c>
      <c r="I285" t="str">
        <f>SUBSTITUTE(Table1[[#This Row],[Separate combined words ]],"?","")</f>
        <v>Dorchester Court</v>
      </c>
      <c r="J285" t="str">
        <f>TRIM(Table1[[#This Row],[Remove Question Mark "?"]])</f>
        <v>Dorchester Court</v>
      </c>
      <c r="K285" t="str">
        <f>PROPER(Table1[[#This Row],[Leading, Multiple &amp; Trailing spaces]])</f>
        <v>Dorchester Court</v>
      </c>
      <c r="L285" t="str">
        <f t="shared" si="4"/>
        <v>Dorchester Court</v>
      </c>
      <c r="M285" t="s">
        <v>1294</v>
      </c>
    </row>
    <row r="286" spans="1:13" x14ac:dyDescent="0.3">
      <c r="A286">
        <v>283</v>
      </c>
      <c r="B286" t="s">
        <v>1296</v>
      </c>
      <c r="C286" t="s">
        <v>1297</v>
      </c>
      <c r="D286" t="s">
        <v>7</v>
      </c>
      <c r="E286" t="s">
        <v>1298</v>
      </c>
      <c r="F286" t="s">
        <v>553</v>
      </c>
      <c r="G286" t="str">
        <f xml:space="preserve"> PROPER(_xlfn.CONCAT(Table1[[#This Row],[Title]]," ",Table1[[#This Row],[First Name]]," ",Table1[[#This Row],[Last Name]]))</f>
        <v>Mrs Lesley Berger</v>
      </c>
      <c r="H286" t="str">
        <f>SUBSTITUTE(Table1[[#This Row],[Street]],"Road"," Road")</f>
        <v>Pembroke Yard</v>
      </c>
      <c r="I286" t="str">
        <f>SUBSTITUTE(Table1[[#This Row],[Separate combined words ]],"?","")</f>
        <v>Pembroke Yard</v>
      </c>
      <c r="J286" t="str">
        <f>TRIM(Table1[[#This Row],[Remove Question Mark "?"]])</f>
        <v>Pembroke Yard</v>
      </c>
      <c r="K286" t="str">
        <f>PROPER(Table1[[#This Row],[Leading, Multiple &amp; Trailing spaces]])</f>
        <v>Pembroke Yard</v>
      </c>
      <c r="L286" t="str">
        <f t="shared" si="4"/>
        <v>Pembroke Yard</v>
      </c>
      <c r="M286" t="s">
        <v>1298</v>
      </c>
    </row>
    <row r="287" spans="1:13" x14ac:dyDescent="0.3">
      <c r="A287">
        <v>284</v>
      </c>
      <c r="B287" t="s">
        <v>1299</v>
      </c>
      <c r="C287" t="s">
        <v>1300</v>
      </c>
      <c r="D287" t="s">
        <v>7</v>
      </c>
      <c r="E287" t="s">
        <v>1301</v>
      </c>
      <c r="F287" t="s">
        <v>1302</v>
      </c>
      <c r="G287" t="str">
        <f xml:space="preserve"> PROPER(_xlfn.CONCAT(Table1[[#This Row],[Title]]," ",Table1[[#This Row],[First Name]]," ",Table1[[#This Row],[Last Name]]))</f>
        <v>Mrs Marg Brock</v>
      </c>
      <c r="H287" t="str">
        <f>SUBSTITUTE(Table1[[#This Row],[Street]],"Road"," Road")</f>
        <v>Northcott Avenue</v>
      </c>
      <c r="I287" t="str">
        <f>SUBSTITUTE(Table1[[#This Row],[Separate combined words ]],"?","")</f>
        <v>Northcott Avenue</v>
      </c>
      <c r="J287" t="str">
        <f>TRIM(Table1[[#This Row],[Remove Question Mark "?"]])</f>
        <v>Northcott Avenue</v>
      </c>
      <c r="K287" t="str">
        <f>PROPER(Table1[[#This Row],[Leading, Multiple &amp; Trailing spaces]])</f>
        <v>Northcott Avenue</v>
      </c>
      <c r="L287" t="str">
        <f t="shared" si="4"/>
        <v>Northcott Avenue</v>
      </c>
      <c r="M287" t="s">
        <v>1301</v>
      </c>
    </row>
    <row r="288" spans="1:13" x14ac:dyDescent="0.3">
      <c r="A288">
        <v>285</v>
      </c>
      <c r="B288" t="s">
        <v>1303</v>
      </c>
      <c r="C288" t="s">
        <v>112</v>
      </c>
      <c r="D288" t="s">
        <v>18</v>
      </c>
      <c r="E288" t="s">
        <v>1304</v>
      </c>
      <c r="F288" t="s">
        <v>1305</v>
      </c>
      <c r="G288" t="str">
        <f xml:space="preserve"> PROPER(_xlfn.CONCAT(Table1[[#This Row],[Title]]," ",Table1[[#This Row],[First Name]]," ",Table1[[#This Row],[Last Name]]))</f>
        <v>Miss Ida Pryor</v>
      </c>
      <c r="H288" t="str">
        <f>SUBSTITUTE(Table1[[#This Row],[Street]],"Road"," Road")</f>
        <v>Archer Place</v>
      </c>
      <c r="I288" t="str">
        <f>SUBSTITUTE(Table1[[#This Row],[Separate combined words ]],"?","")</f>
        <v>Archer Place</v>
      </c>
      <c r="J288" t="str">
        <f>TRIM(Table1[[#This Row],[Remove Question Mark "?"]])</f>
        <v>Archer Place</v>
      </c>
      <c r="K288" t="str">
        <f>PROPER(Table1[[#This Row],[Leading, Multiple &amp; Trailing spaces]])</f>
        <v>Archer Place</v>
      </c>
      <c r="L288" t="str">
        <f t="shared" si="4"/>
        <v>Archer Place</v>
      </c>
      <c r="M288" t="s">
        <v>1304</v>
      </c>
    </row>
    <row r="289" spans="1:13" x14ac:dyDescent="0.3">
      <c r="A289">
        <v>286</v>
      </c>
      <c r="B289" t="s">
        <v>1306</v>
      </c>
      <c r="C289" t="s">
        <v>1307</v>
      </c>
      <c r="D289" t="s">
        <v>7</v>
      </c>
      <c r="E289" t="s">
        <v>1308</v>
      </c>
      <c r="F289" t="s">
        <v>443</v>
      </c>
      <c r="G289" t="str">
        <f xml:space="preserve"> PROPER(_xlfn.CONCAT(Table1[[#This Row],[Title]]," ",Table1[[#This Row],[First Name]]," ",Table1[[#This Row],[Last Name]]))</f>
        <v>Mrs Chantal Rosen</v>
      </c>
      <c r="H289" t="str">
        <f>SUBSTITUTE(Table1[[#This Row],[Street]],"Road"," Road")</f>
        <v>Condray Place</v>
      </c>
      <c r="I289" t="str">
        <f>SUBSTITUTE(Table1[[#This Row],[Separate combined words ]],"?","")</f>
        <v>Condray Place</v>
      </c>
      <c r="J289" t="str">
        <f>TRIM(Table1[[#This Row],[Remove Question Mark "?"]])</f>
        <v>Condray Place</v>
      </c>
      <c r="K289" t="str">
        <f>PROPER(Table1[[#This Row],[Leading, Multiple &amp; Trailing spaces]])</f>
        <v>Condray Place</v>
      </c>
      <c r="L289" t="str">
        <f t="shared" si="4"/>
        <v>Condray Place</v>
      </c>
      <c r="M289" t="s">
        <v>1308</v>
      </c>
    </row>
    <row r="290" spans="1:13" x14ac:dyDescent="0.3">
      <c r="A290">
        <v>287</v>
      </c>
      <c r="B290" t="s">
        <v>1309</v>
      </c>
      <c r="C290" t="s">
        <v>1310</v>
      </c>
      <c r="D290" t="s">
        <v>18</v>
      </c>
      <c r="E290" t="s">
        <v>1311</v>
      </c>
      <c r="F290" t="s">
        <v>1312</v>
      </c>
      <c r="G290" t="str">
        <f xml:space="preserve"> PROPER(_xlfn.CONCAT(Table1[[#This Row],[Title]]," ",Table1[[#This Row],[First Name]]," ",Table1[[#This Row],[Last Name]]))</f>
        <v>Miss Rochelle Beach</v>
      </c>
      <c r="H290" t="str">
        <f>SUBSTITUTE(Table1[[#This Row],[Street]],"Road"," Road")</f>
        <v>Marshalls Pottery</v>
      </c>
      <c r="I290" t="str">
        <f>SUBSTITUTE(Table1[[#This Row],[Separate combined words ]],"?","")</f>
        <v>Marshalls Pottery</v>
      </c>
      <c r="J290" t="str">
        <f>TRIM(Table1[[#This Row],[Remove Question Mark "?"]])</f>
        <v>Marshalls Pottery</v>
      </c>
      <c r="K290" t="str">
        <f>PROPER(Table1[[#This Row],[Leading, Multiple &amp; Trailing spaces]])</f>
        <v>Marshalls Pottery</v>
      </c>
      <c r="L290" t="str">
        <f t="shared" si="4"/>
        <v>Marshalls Pottery</v>
      </c>
      <c r="M290" t="s">
        <v>1311</v>
      </c>
    </row>
    <row r="291" spans="1:13" x14ac:dyDescent="0.3">
      <c r="A291">
        <v>288</v>
      </c>
      <c r="B291" t="s">
        <v>533</v>
      </c>
      <c r="C291" t="s">
        <v>1313</v>
      </c>
      <c r="D291" t="s">
        <v>18</v>
      </c>
      <c r="E291" t="s">
        <v>1314</v>
      </c>
      <c r="F291" t="s">
        <v>487</v>
      </c>
      <c r="G291" t="str">
        <f xml:space="preserve"> PROPER(_xlfn.CONCAT(Table1[[#This Row],[Title]]," ",Table1[[#This Row],[First Name]]," ",Table1[[#This Row],[Last Name]]))</f>
        <v>Miss Diamond Murphy</v>
      </c>
      <c r="H291" t="str">
        <f>SUBSTITUTE(Table1[[#This Row],[Street]],"Road"," Road")</f>
        <v>Batty's Yard</v>
      </c>
      <c r="I291" t="str">
        <f>SUBSTITUTE(Table1[[#This Row],[Separate combined words ]],"?","")</f>
        <v>Batty's Yard</v>
      </c>
      <c r="J291" t="str">
        <f>TRIM(Table1[[#This Row],[Remove Question Mark "?"]])</f>
        <v>Batty's Yard</v>
      </c>
      <c r="K291" t="str">
        <f>PROPER(Table1[[#This Row],[Leading, Multiple &amp; Trailing spaces]])</f>
        <v>Batty'S Yard</v>
      </c>
      <c r="L291" t="str">
        <f t="shared" si="4"/>
        <v>Batty'S Yard</v>
      </c>
      <c r="M291" t="s">
        <v>3431</v>
      </c>
    </row>
    <row r="292" spans="1:13" x14ac:dyDescent="0.3">
      <c r="A292">
        <v>289</v>
      </c>
      <c r="B292" t="s">
        <v>1315</v>
      </c>
      <c r="C292" t="s">
        <v>1316</v>
      </c>
      <c r="D292" t="s">
        <v>7</v>
      </c>
      <c r="E292" t="s">
        <v>1317</v>
      </c>
      <c r="F292" t="s">
        <v>531</v>
      </c>
      <c r="G292" t="str">
        <f xml:space="preserve"> PROPER(_xlfn.CONCAT(Table1[[#This Row],[Title]]," ",Table1[[#This Row],[First Name]]," ",Table1[[#This Row],[Last Name]]))</f>
        <v>Mrs Hwa Villa</v>
      </c>
      <c r="H292" t="str">
        <f>SUBSTITUTE(Table1[[#This Row],[Street]],"Road"," Road")</f>
        <v>Arthur Terrace</v>
      </c>
      <c r="I292" t="str">
        <f>SUBSTITUTE(Table1[[#This Row],[Separate combined words ]],"?","")</f>
        <v>Arthur Terrace</v>
      </c>
      <c r="J292" t="str">
        <f>TRIM(Table1[[#This Row],[Remove Question Mark "?"]])</f>
        <v>Arthur Terrace</v>
      </c>
      <c r="K292" t="str">
        <f>PROPER(Table1[[#This Row],[Leading, Multiple &amp; Trailing spaces]])</f>
        <v>Arthur Terrace</v>
      </c>
      <c r="L292" t="str">
        <f t="shared" si="4"/>
        <v>Arthur Terrace</v>
      </c>
      <c r="M292" t="s">
        <v>1317</v>
      </c>
    </row>
    <row r="293" spans="1:13" x14ac:dyDescent="0.3">
      <c r="A293">
        <v>290</v>
      </c>
      <c r="B293" t="s">
        <v>1318</v>
      </c>
      <c r="C293" t="s">
        <v>720</v>
      </c>
      <c r="D293" t="s">
        <v>7</v>
      </c>
      <c r="E293" t="s">
        <v>1319</v>
      </c>
      <c r="F293" t="s">
        <v>1320</v>
      </c>
      <c r="G293" t="str">
        <f xml:space="preserve"> PROPER(_xlfn.CONCAT(Table1[[#This Row],[Title]]," ",Table1[[#This Row],[First Name]]," ",Table1[[#This Row],[Last Name]]))</f>
        <v>Mrs Arlette Dukes</v>
      </c>
      <c r="H293" t="str">
        <f>SUBSTITUTE(Table1[[#This Row],[Street]],"Road"," Road")</f>
        <v>Central Park</v>
      </c>
      <c r="I293" t="str">
        <f>SUBSTITUTE(Table1[[#This Row],[Separate combined words ]],"?","")</f>
        <v>Central Park</v>
      </c>
      <c r="J293" t="str">
        <f>TRIM(Table1[[#This Row],[Remove Question Mark "?"]])</f>
        <v>Central Park</v>
      </c>
      <c r="K293" t="str">
        <f>PROPER(Table1[[#This Row],[Leading, Multiple &amp; Trailing spaces]])</f>
        <v>Central Park</v>
      </c>
      <c r="L293" t="str">
        <f t="shared" si="4"/>
        <v>Central Park</v>
      </c>
      <c r="M293" t="s">
        <v>1319</v>
      </c>
    </row>
    <row r="294" spans="1:13" x14ac:dyDescent="0.3">
      <c r="A294">
        <v>291</v>
      </c>
      <c r="B294" t="s">
        <v>1321</v>
      </c>
      <c r="C294" t="s">
        <v>1322</v>
      </c>
      <c r="D294" t="s">
        <v>7</v>
      </c>
      <c r="E294" t="s">
        <v>1323</v>
      </c>
      <c r="F294" t="s">
        <v>784</v>
      </c>
      <c r="G294" t="str">
        <f xml:space="preserve"> PROPER(_xlfn.CONCAT(Table1[[#This Row],[Title]]," ",Table1[[#This Row],[First Name]]," ",Table1[[#This Row],[Last Name]]))</f>
        <v>Mrs Dominga Sharpe</v>
      </c>
      <c r="H294" t="str">
        <f>SUBSTITUTE(Table1[[#This Row],[Street]],"Road"," Road")</f>
        <v>Ralston Street</v>
      </c>
      <c r="I294" t="str">
        <f>SUBSTITUTE(Table1[[#This Row],[Separate combined words ]],"?","")</f>
        <v>Ralston Street</v>
      </c>
      <c r="J294" t="str">
        <f>TRIM(Table1[[#This Row],[Remove Question Mark "?"]])</f>
        <v>Ralston Street</v>
      </c>
      <c r="K294" t="str">
        <f>PROPER(Table1[[#This Row],[Leading, Multiple &amp; Trailing spaces]])</f>
        <v>Ralston Street</v>
      </c>
      <c r="L294" t="str">
        <f t="shared" si="4"/>
        <v>Ralston Street</v>
      </c>
      <c r="M294" t="s">
        <v>1323</v>
      </c>
    </row>
    <row r="295" spans="1:13" x14ac:dyDescent="0.3">
      <c r="A295">
        <v>292</v>
      </c>
      <c r="B295" t="s">
        <v>1324</v>
      </c>
      <c r="C295" t="s">
        <v>1325</v>
      </c>
      <c r="D295" t="s">
        <v>18</v>
      </c>
      <c r="E295" t="s">
        <v>1326</v>
      </c>
      <c r="F295" t="s">
        <v>1327</v>
      </c>
      <c r="G295" t="str">
        <f xml:space="preserve"> PROPER(_xlfn.CONCAT(Table1[[#This Row],[Title]]," ",Table1[[#This Row],[First Name]]," ",Table1[[#This Row],[Last Name]]))</f>
        <v>Miss Shanta Lusk</v>
      </c>
      <c r="H295" t="str">
        <f>SUBSTITUTE(Table1[[#This Row],[Street]],"Road"," Road")</f>
        <v>Heathway Court</v>
      </c>
      <c r="I295" t="str">
        <f>SUBSTITUTE(Table1[[#This Row],[Separate combined words ]],"?","")</f>
        <v>Heathway Court</v>
      </c>
      <c r="J295" t="str">
        <f>TRIM(Table1[[#This Row],[Remove Question Mark "?"]])</f>
        <v>Heathway Court</v>
      </c>
      <c r="K295" t="str">
        <f>PROPER(Table1[[#This Row],[Leading, Multiple &amp; Trailing spaces]])</f>
        <v>Heathway Court</v>
      </c>
      <c r="L295" t="str">
        <f t="shared" si="4"/>
        <v>Heathway Court</v>
      </c>
      <c r="M295" t="s">
        <v>1326</v>
      </c>
    </row>
    <row r="296" spans="1:13" x14ac:dyDescent="0.3">
      <c r="A296">
        <v>293</v>
      </c>
      <c r="B296" t="s">
        <v>1328</v>
      </c>
      <c r="C296" t="s">
        <v>1329</v>
      </c>
      <c r="D296" t="s">
        <v>7</v>
      </c>
      <c r="E296" t="s">
        <v>1330</v>
      </c>
      <c r="F296" t="s">
        <v>395</v>
      </c>
      <c r="G296" t="str">
        <f xml:space="preserve"> PROPER(_xlfn.CONCAT(Table1[[#This Row],[Title]]," ",Table1[[#This Row],[First Name]]," ",Table1[[#This Row],[Last Name]]))</f>
        <v>Mrs Dyan Chang</v>
      </c>
      <c r="H296" t="str">
        <f>SUBSTITUTE(Table1[[#This Row],[Street]],"Road"," Road")</f>
        <v>Acacia Close</v>
      </c>
      <c r="I296" t="str">
        <f>SUBSTITUTE(Table1[[#This Row],[Separate combined words ]],"?","")</f>
        <v>Acacia Close</v>
      </c>
      <c r="J296" t="str">
        <f>TRIM(Table1[[#This Row],[Remove Question Mark "?"]])</f>
        <v>Acacia Close</v>
      </c>
      <c r="K296" t="str">
        <f>PROPER(Table1[[#This Row],[Leading, Multiple &amp; Trailing spaces]])</f>
        <v>Acacia Close</v>
      </c>
      <c r="L296" t="str">
        <f t="shared" si="4"/>
        <v>Acacia Close</v>
      </c>
      <c r="M296" t="s">
        <v>1330</v>
      </c>
    </row>
    <row r="297" spans="1:13" x14ac:dyDescent="0.3">
      <c r="A297">
        <v>294</v>
      </c>
      <c r="B297" t="s">
        <v>1331</v>
      </c>
      <c r="C297" t="s">
        <v>1332</v>
      </c>
      <c r="D297" t="s">
        <v>18</v>
      </c>
      <c r="E297" t="s">
        <v>1333</v>
      </c>
      <c r="F297" t="s">
        <v>572</v>
      </c>
      <c r="G297" t="str">
        <f xml:space="preserve"> PROPER(_xlfn.CONCAT(Table1[[#This Row],[Title]]," ",Table1[[#This Row],[First Name]]," ",Table1[[#This Row],[Last Name]]))</f>
        <v>Miss Shirely Burgess</v>
      </c>
      <c r="H297" t="str">
        <f>SUBSTITUTE(Table1[[#This Row],[Street]],"Road"," Road")</f>
        <v>Winchester Place</v>
      </c>
      <c r="I297" t="str">
        <f>SUBSTITUTE(Table1[[#This Row],[Separate combined words ]],"?","")</f>
        <v>Winchester Place</v>
      </c>
      <c r="J297" t="str">
        <f>TRIM(Table1[[#This Row],[Remove Question Mark "?"]])</f>
        <v>Winchester Place</v>
      </c>
      <c r="K297" t="str">
        <f>PROPER(Table1[[#This Row],[Leading, Multiple &amp; Trailing spaces]])</f>
        <v>Winchester Place</v>
      </c>
      <c r="L297" t="str">
        <f t="shared" si="4"/>
        <v>Winchester Place</v>
      </c>
      <c r="M297" t="s">
        <v>1333</v>
      </c>
    </row>
    <row r="298" spans="1:13" x14ac:dyDescent="0.3">
      <c r="A298">
        <v>295</v>
      </c>
      <c r="B298" t="s">
        <v>1334</v>
      </c>
      <c r="C298" t="s">
        <v>1335</v>
      </c>
      <c r="D298" t="s">
        <v>7</v>
      </c>
      <c r="E298" t="s">
        <v>1336</v>
      </c>
      <c r="F298" t="s">
        <v>546</v>
      </c>
      <c r="G298" t="str">
        <f xml:space="preserve"> PROPER(_xlfn.CONCAT(Table1[[#This Row],[Title]]," ",Table1[[#This Row],[First Name]]," ",Table1[[#This Row],[Last Name]]))</f>
        <v>Mrs Florencia Valdez</v>
      </c>
      <c r="H298" t="str">
        <f>SUBSTITUTE(Table1[[#This Row],[Street]],"Road"," Road")</f>
        <v>Highbury Terrace</v>
      </c>
      <c r="I298" t="str">
        <f>SUBSTITUTE(Table1[[#This Row],[Separate combined words ]],"?","")</f>
        <v>Highbury Terrace</v>
      </c>
      <c r="J298" t="str">
        <f>TRIM(Table1[[#This Row],[Remove Question Mark "?"]])</f>
        <v>Highbury Terrace</v>
      </c>
      <c r="K298" t="str">
        <f>PROPER(Table1[[#This Row],[Leading, Multiple &amp; Trailing spaces]])</f>
        <v>Highbury Terrace</v>
      </c>
      <c r="L298" t="str">
        <f t="shared" si="4"/>
        <v>Highbury Terrace</v>
      </c>
      <c r="M298" t="s">
        <v>1336</v>
      </c>
    </row>
    <row r="299" spans="1:13" x14ac:dyDescent="0.3">
      <c r="A299">
        <v>296</v>
      </c>
      <c r="B299" t="s">
        <v>1337</v>
      </c>
      <c r="C299" t="s">
        <v>499</v>
      </c>
      <c r="D299" t="s">
        <v>7</v>
      </c>
      <c r="E299" t="s">
        <v>1338</v>
      </c>
      <c r="F299" t="s">
        <v>401</v>
      </c>
      <c r="G299" t="str">
        <f xml:space="preserve"> PROPER(_xlfn.CONCAT(Table1[[#This Row],[Title]]," ",Table1[[#This Row],[First Name]]," ",Table1[[#This Row],[Last Name]]))</f>
        <v>Mrs Adaline Crump</v>
      </c>
      <c r="H299" t="str">
        <f>SUBSTITUTE(Table1[[#This Row],[Street]],"Road"," Road")</f>
        <v>Notting Barn</v>
      </c>
      <c r="I299" t="str">
        <f>SUBSTITUTE(Table1[[#This Row],[Separate combined words ]],"?","")</f>
        <v>Notting Barn</v>
      </c>
      <c r="J299" t="str">
        <f>TRIM(Table1[[#This Row],[Remove Question Mark "?"]])</f>
        <v>Notting Barn</v>
      </c>
      <c r="K299" t="str">
        <f>PROPER(Table1[[#This Row],[Leading, Multiple &amp; Trailing spaces]])</f>
        <v>Notting Barn</v>
      </c>
      <c r="L299" t="str">
        <f t="shared" si="4"/>
        <v>Notting Barn</v>
      </c>
      <c r="M299" t="s">
        <v>1338</v>
      </c>
    </row>
    <row r="300" spans="1:13" x14ac:dyDescent="0.3">
      <c r="A300">
        <v>297</v>
      </c>
      <c r="B300" t="s">
        <v>1339</v>
      </c>
      <c r="C300" t="s">
        <v>1340</v>
      </c>
      <c r="D300" t="s">
        <v>7</v>
      </c>
      <c r="E300" t="s">
        <v>1341</v>
      </c>
      <c r="F300" t="s">
        <v>386</v>
      </c>
      <c r="G300" t="str">
        <f xml:space="preserve"> PROPER(_xlfn.CONCAT(Table1[[#This Row],[Title]]," ",Table1[[#This Row],[First Name]]," ",Table1[[#This Row],[Last Name]]))</f>
        <v>Mrs Sherell Sheldon</v>
      </c>
      <c r="H300" t="str">
        <f>SUBSTITUTE(Table1[[#This Row],[Street]],"Road"," Road")</f>
        <v>Portland Gardens</v>
      </c>
      <c r="I300" t="str">
        <f>SUBSTITUTE(Table1[[#This Row],[Separate combined words ]],"?","")</f>
        <v>Portland Gardens</v>
      </c>
      <c r="J300" t="str">
        <f>TRIM(Table1[[#This Row],[Remove Question Mark "?"]])</f>
        <v>Portland Gardens</v>
      </c>
      <c r="K300" t="str">
        <f>PROPER(Table1[[#This Row],[Leading, Multiple &amp; Trailing spaces]])</f>
        <v>Portland Gardens</v>
      </c>
      <c r="L300" t="str">
        <f t="shared" si="4"/>
        <v>Portland Gardens</v>
      </c>
      <c r="M300" t="s">
        <v>1341</v>
      </c>
    </row>
    <row r="301" spans="1:13" x14ac:dyDescent="0.3">
      <c r="A301">
        <v>298</v>
      </c>
      <c r="B301" t="s">
        <v>1342</v>
      </c>
      <c r="C301" t="s">
        <v>1343</v>
      </c>
      <c r="D301" t="s">
        <v>18</v>
      </c>
      <c r="E301" t="s">
        <v>1344</v>
      </c>
      <c r="F301" t="s">
        <v>550</v>
      </c>
      <c r="G301" t="str">
        <f xml:space="preserve"> PROPER(_xlfn.CONCAT(Table1[[#This Row],[Title]]," ",Table1[[#This Row],[First Name]]," ",Table1[[#This Row],[Last Name]]))</f>
        <v>Miss Vannessa Harmon</v>
      </c>
      <c r="H301" t="str">
        <f>SUBSTITUTE(Table1[[#This Row],[Street]],"Road"," Road")</f>
        <v>Varden Street</v>
      </c>
      <c r="I301" t="str">
        <f>SUBSTITUTE(Table1[[#This Row],[Separate combined words ]],"?","")</f>
        <v>Varden Street</v>
      </c>
      <c r="J301" t="str">
        <f>TRIM(Table1[[#This Row],[Remove Question Mark "?"]])</f>
        <v>Varden Street</v>
      </c>
      <c r="K301" t="str">
        <f>PROPER(Table1[[#This Row],[Leading, Multiple &amp; Trailing spaces]])</f>
        <v>Varden Street</v>
      </c>
      <c r="L301" t="str">
        <f t="shared" si="4"/>
        <v>Varden Street</v>
      </c>
      <c r="M301" t="s">
        <v>1344</v>
      </c>
    </row>
    <row r="302" spans="1:13" x14ac:dyDescent="0.3">
      <c r="A302">
        <v>299</v>
      </c>
      <c r="B302" t="s">
        <v>1345</v>
      </c>
      <c r="C302" t="s">
        <v>993</v>
      </c>
      <c r="D302" t="s">
        <v>7</v>
      </c>
      <c r="E302" t="s">
        <v>1346</v>
      </c>
      <c r="F302" t="s">
        <v>1347</v>
      </c>
      <c r="G302" t="str">
        <f xml:space="preserve"> PROPER(_xlfn.CONCAT(Table1[[#This Row],[Title]]," ",Table1[[#This Row],[First Name]]," ",Table1[[#This Row],[Last Name]]))</f>
        <v>Mrs Shiela Darling</v>
      </c>
      <c r="H302" t="str">
        <f>SUBSTITUTE(Table1[[#This Row],[Street]],"Road"," Road")</f>
        <v>Gernon  Road</v>
      </c>
      <c r="I302" t="str">
        <f>SUBSTITUTE(Table1[[#This Row],[Separate combined words ]],"?","")</f>
        <v>Gernon  Road</v>
      </c>
      <c r="J302" t="str">
        <f>TRIM(Table1[[#This Row],[Remove Question Mark "?"]])</f>
        <v>Gernon Road</v>
      </c>
      <c r="K302" t="str">
        <f>PROPER(Table1[[#This Row],[Leading, Multiple &amp; Trailing spaces]])</f>
        <v>Gernon Road</v>
      </c>
      <c r="L302" t="str">
        <f t="shared" si="4"/>
        <v>Gernon Road</v>
      </c>
      <c r="M302" t="s">
        <v>1346</v>
      </c>
    </row>
    <row r="303" spans="1:13" x14ac:dyDescent="0.3">
      <c r="A303">
        <v>300</v>
      </c>
      <c r="B303" t="s">
        <v>1348</v>
      </c>
      <c r="C303" t="s">
        <v>440</v>
      </c>
      <c r="D303" t="s">
        <v>18</v>
      </c>
      <c r="E303" t="s">
        <v>1349</v>
      </c>
      <c r="F303" t="s">
        <v>8</v>
      </c>
      <c r="G303" t="str">
        <f xml:space="preserve"> PROPER(_xlfn.CONCAT(Table1[[#This Row],[Title]]," ",Table1[[#This Row],[First Name]]," ",Table1[[#This Row],[Last Name]]))</f>
        <v>Miss Arla Kent</v>
      </c>
      <c r="H303" t="str">
        <f>SUBSTITUTE(Table1[[#This Row],[Street]],"Road"," Road")</f>
        <v>Simpson Drive</v>
      </c>
      <c r="I303" t="str">
        <f>SUBSTITUTE(Table1[[#This Row],[Separate combined words ]],"?","")</f>
        <v>Simpson Drive</v>
      </c>
      <c r="J303" t="str">
        <f>TRIM(Table1[[#This Row],[Remove Question Mark "?"]])</f>
        <v>Simpson Drive</v>
      </c>
      <c r="K303" t="str">
        <f>PROPER(Table1[[#This Row],[Leading, Multiple &amp; Trailing spaces]])</f>
        <v>Simpson Drive</v>
      </c>
      <c r="L303" t="str">
        <f t="shared" si="4"/>
        <v>Simpson Drive</v>
      </c>
      <c r="M303" t="s">
        <v>1349</v>
      </c>
    </row>
    <row r="304" spans="1:13" x14ac:dyDescent="0.3">
      <c r="A304">
        <v>301</v>
      </c>
      <c r="B304" t="s">
        <v>1350</v>
      </c>
      <c r="C304" t="s">
        <v>1351</v>
      </c>
      <c r="D304" t="s">
        <v>7</v>
      </c>
      <c r="E304" t="s">
        <v>1352</v>
      </c>
      <c r="F304" t="s">
        <v>1353</v>
      </c>
      <c r="G304" t="str">
        <f xml:space="preserve"> PROPER(_xlfn.CONCAT(Table1[[#This Row],[Title]]," ",Table1[[#This Row],[First Name]]," ",Table1[[#This Row],[Last Name]]))</f>
        <v>Mrs Amada Chavez</v>
      </c>
      <c r="H304" t="str">
        <f>SUBSTITUTE(Table1[[#This Row],[Street]],"Road"," Road")</f>
        <v>Barnsbury Park</v>
      </c>
      <c r="I304" t="str">
        <f>SUBSTITUTE(Table1[[#This Row],[Separate combined words ]],"?","")</f>
        <v>Barnsbury Park</v>
      </c>
      <c r="J304" t="str">
        <f>TRIM(Table1[[#This Row],[Remove Question Mark "?"]])</f>
        <v>Barnsbury Park</v>
      </c>
      <c r="K304" t="str">
        <f>PROPER(Table1[[#This Row],[Leading, Multiple &amp; Trailing spaces]])</f>
        <v>Barnsbury Park</v>
      </c>
      <c r="L304" t="str">
        <f t="shared" si="4"/>
        <v>Barnsbury Park</v>
      </c>
      <c r="M304" t="s">
        <v>1352</v>
      </c>
    </row>
    <row r="305" spans="1:13" x14ac:dyDescent="0.3">
      <c r="A305">
        <v>302</v>
      </c>
      <c r="B305" t="s">
        <v>520</v>
      </c>
      <c r="C305" t="s">
        <v>356</v>
      </c>
      <c r="D305" t="s">
        <v>18</v>
      </c>
      <c r="E305" t="s">
        <v>1354</v>
      </c>
      <c r="F305" t="s">
        <v>1095</v>
      </c>
      <c r="G305" t="str">
        <f xml:space="preserve"> PROPER(_xlfn.CONCAT(Table1[[#This Row],[Title]]," ",Table1[[#This Row],[First Name]]," ",Table1[[#This Row],[Last Name]]))</f>
        <v>Miss Michaele Hobson</v>
      </c>
      <c r="H305" t="str">
        <f>SUBSTITUTE(Table1[[#This Row],[Street]],"Road"," Road")</f>
        <v>Derwent Grove</v>
      </c>
      <c r="I305" t="str">
        <f>SUBSTITUTE(Table1[[#This Row],[Separate combined words ]],"?","")</f>
        <v>Derwent Grove</v>
      </c>
      <c r="J305" t="str">
        <f>TRIM(Table1[[#This Row],[Remove Question Mark "?"]])</f>
        <v>Derwent Grove</v>
      </c>
      <c r="K305" t="str">
        <f>PROPER(Table1[[#This Row],[Leading, Multiple &amp; Trailing spaces]])</f>
        <v>Derwent Grove</v>
      </c>
      <c r="L305" t="str">
        <f t="shared" si="4"/>
        <v>Derwent Grove</v>
      </c>
      <c r="M305" t="s">
        <v>1354</v>
      </c>
    </row>
    <row r="306" spans="1:13" x14ac:dyDescent="0.3">
      <c r="A306">
        <v>303</v>
      </c>
      <c r="B306" t="s">
        <v>582</v>
      </c>
      <c r="C306" t="s">
        <v>1355</v>
      </c>
      <c r="D306" t="s">
        <v>7</v>
      </c>
      <c r="E306" t="s">
        <v>1356</v>
      </c>
      <c r="F306" t="s">
        <v>1357</v>
      </c>
      <c r="G306" t="str">
        <f xml:space="preserve"> PROPER(_xlfn.CONCAT(Table1[[#This Row],[Title]]," ",Table1[[#This Row],[First Name]]," ",Table1[[#This Row],[Last Name]]))</f>
        <v>Mrs Terica Willard</v>
      </c>
      <c r="H306" t="str">
        <f>SUBSTITUTE(Table1[[#This Row],[Street]],"Road"," Road")</f>
        <v>Whitehead Close</v>
      </c>
      <c r="I306" t="str">
        <f>SUBSTITUTE(Table1[[#This Row],[Separate combined words ]],"?","")</f>
        <v>Whitehead Close</v>
      </c>
      <c r="J306" t="str">
        <f>TRIM(Table1[[#This Row],[Remove Question Mark "?"]])</f>
        <v>Whitehead Close</v>
      </c>
      <c r="K306" t="str">
        <f>PROPER(Table1[[#This Row],[Leading, Multiple &amp; Trailing spaces]])</f>
        <v>Whitehead Close</v>
      </c>
      <c r="L306" t="str">
        <f t="shared" si="4"/>
        <v>Whitehead Close</v>
      </c>
      <c r="M306" t="s">
        <v>1356</v>
      </c>
    </row>
    <row r="307" spans="1:13" x14ac:dyDescent="0.3">
      <c r="A307">
        <v>304</v>
      </c>
      <c r="B307" t="s">
        <v>393</v>
      </c>
      <c r="C307" t="s">
        <v>1358</v>
      </c>
      <c r="D307" t="s">
        <v>7</v>
      </c>
      <c r="E307" t="s">
        <v>1359</v>
      </c>
      <c r="F307" t="s">
        <v>350</v>
      </c>
      <c r="G307" t="str">
        <f xml:space="preserve"> PROPER(_xlfn.CONCAT(Table1[[#This Row],[Title]]," ",Table1[[#This Row],[First Name]]," ",Table1[[#This Row],[Last Name]]))</f>
        <v>Mrs Donnetta Vigil</v>
      </c>
      <c r="H307" t="str">
        <f>SUBSTITUTE(Table1[[#This Row],[Street]],"Road"," Road")</f>
        <v>Palfrey Place</v>
      </c>
      <c r="I307" t="str">
        <f>SUBSTITUTE(Table1[[#This Row],[Separate combined words ]],"?","")</f>
        <v>Palfrey Place</v>
      </c>
      <c r="J307" t="str">
        <f>TRIM(Table1[[#This Row],[Remove Question Mark "?"]])</f>
        <v>Palfrey Place</v>
      </c>
      <c r="K307" t="str">
        <f>PROPER(Table1[[#This Row],[Leading, Multiple &amp; Trailing spaces]])</f>
        <v>Palfrey Place</v>
      </c>
      <c r="L307" t="str">
        <f t="shared" si="4"/>
        <v>Palfrey Place</v>
      </c>
      <c r="M307" t="s">
        <v>1359</v>
      </c>
    </row>
    <row r="308" spans="1:13" x14ac:dyDescent="0.3">
      <c r="A308">
        <v>305</v>
      </c>
      <c r="B308" t="s">
        <v>290</v>
      </c>
      <c r="C308" t="s">
        <v>1263</v>
      </c>
      <c r="D308" t="s">
        <v>7</v>
      </c>
      <c r="E308" t="s">
        <v>1360</v>
      </c>
      <c r="F308" t="s">
        <v>553</v>
      </c>
      <c r="G308" t="str">
        <f xml:space="preserve"> PROPER(_xlfn.CONCAT(Table1[[#This Row],[Title]]," ",Table1[[#This Row],[First Name]]," ",Table1[[#This Row],[Last Name]]))</f>
        <v>Mrs Artie Vang</v>
      </c>
      <c r="H308" t="str">
        <f>SUBSTITUTE(Table1[[#This Row],[Street]],"Road"," Road")</f>
        <v>Homewillow Close</v>
      </c>
      <c r="I308" t="str">
        <f>SUBSTITUTE(Table1[[#This Row],[Separate combined words ]],"?","")</f>
        <v>Homewillow Close</v>
      </c>
      <c r="J308" t="str">
        <f>TRIM(Table1[[#This Row],[Remove Question Mark "?"]])</f>
        <v>Homewillow Close</v>
      </c>
      <c r="K308" t="str">
        <f>PROPER(Table1[[#This Row],[Leading, Multiple &amp; Trailing spaces]])</f>
        <v>Homewillow Close</v>
      </c>
      <c r="L308" t="str">
        <f t="shared" si="4"/>
        <v>Homewillow Close</v>
      </c>
      <c r="M308" t="s">
        <v>1360</v>
      </c>
    </row>
    <row r="309" spans="1:13" x14ac:dyDescent="0.3">
      <c r="A309">
        <v>306</v>
      </c>
      <c r="B309" t="s">
        <v>1361</v>
      </c>
      <c r="C309" t="s">
        <v>638</v>
      </c>
      <c r="D309" t="s">
        <v>7</v>
      </c>
      <c r="E309" t="s">
        <v>1362</v>
      </c>
      <c r="F309" t="s">
        <v>416</v>
      </c>
      <c r="G309" t="str">
        <f xml:space="preserve"> PROPER(_xlfn.CONCAT(Table1[[#This Row],[Title]]," ",Table1[[#This Row],[First Name]]," ",Table1[[#This Row],[Last Name]]))</f>
        <v>Mrs Lorrie Wu</v>
      </c>
      <c r="H309" t="str">
        <f>SUBSTITUTE(Table1[[#This Row],[Street]],"Road"," Road")</f>
        <v>Perceval Avenue</v>
      </c>
      <c r="I309" t="str">
        <f>SUBSTITUTE(Table1[[#This Row],[Separate combined words ]],"?","")</f>
        <v>Perceval Avenue</v>
      </c>
      <c r="J309" t="str">
        <f>TRIM(Table1[[#This Row],[Remove Question Mark "?"]])</f>
        <v>Perceval Avenue</v>
      </c>
      <c r="K309" t="str">
        <f>PROPER(Table1[[#This Row],[Leading, Multiple &amp; Trailing spaces]])</f>
        <v>Perceval Avenue</v>
      </c>
      <c r="L309" t="str">
        <f t="shared" si="4"/>
        <v>Perceval Avenue</v>
      </c>
      <c r="M309" t="s">
        <v>1362</v>
      </c>
    </row>
    <row r="310" spans="1:13" x14ac:dyDescent="0.3">
      <c r="A310">
        <v>307</v>
      </c>
      <c r="B310" t="s">
        <v>1363</v>
      </c>
      <c r="C310" t="s">
        <v>1364</v>
      </c>
      <c r="D310" t="s">
        <v>18</v>
      </c>
      <c r="E310" t="s">
        <v>1365</v>
      </c>
      <c r="F310" t="s">
        <v>1366</v>
      </c>
      <c r="G310" t="str">
        <f xml:space="preserve"> PROPER(_xlfn.CONCAT(Table1[[#This Row],[Title]]," ",Table1[[#This Row],[First Name]]," ",Table1[[#This Row],[Last Name]]))</f>
        <v>Miss Missy Cramer</v>
      </c>
      <c r="H310" t="str">
        <f>SUBSTITUTE(Table1[[#This Row],[Street]],"Road"," Road")</f>
        <v>Ashley Place</v>
      </c>
      <c r="I310" t="str">
        <f>SUBSTITUTE(Table1[[#This Row],[Separate combined words ]],"?","")</f>
        <v>Ashley Place</v>
      </c>
      <c r="J310" t="str">
        <f>TRIM(Table1[[#This Row],[Remove Question Mark "?"]])</f>
        <v>Ashley Place</v>
      </c>
      <c r="K310" t="str">
        <f>PROPER(Table1[[#This Row],[Leading, Multiple &amp; Trailing spaces]])</f>
        <v>Ashley Place</v>
      </c>
      <c r="L310" t="str">
        <f t="shared" si="4"/>
        <v>Ashley Place</v>
      </c>
      <c r="M310" t="s">
        <v>1365</v>
      </c>
    </row>
    <row r="311" spans="1:13" x14ac:dyDescent="0.3">
      <c r="A311">
        <v>308</v>
      </c>
      <c r="B311" t="s">
        <v>1284</v>
      </c>
      <c r="C311" t="s">
        <v>1367</v>
      </c>
      <c r="D311" t="s">
        <v>7</v>
      </c>
      <c r="E311" t="s">
        <v>1368</v>
      </c>
      <c r="F311" t="s">
        <v>1369</v>
      </c>
      <c r="G311" t="str">
        <f xml:space="preserve"> PROPER(_xlfn.CONCAT(Table1[[#This Row],[Title]]," ",Table1[[#This Row],[First Name]]," ",Table1[[#This Row],[Last Name]]))</f>
        <v>Mrs Candyce Downey</v>
      </c>
      <c r="H311" t="str">
        <f>SUBSTITUTE(Table1[[#This Row],[Street]],"Road"," Road")</f>
        <v>Deane Street</v>
      </c>
      <c r="I311" t="str">
        <f>SUBSTITUTE(Table1[[#This Row],[Separate combined words ]],"?","")</f>
        <v>Deane Street</v>
      </c>
      <c r="J311" t="str">
        <f>TRIM(Table1[[#This Row],[Remove Question Mark "?"]])</f>
        <v>Deane Street</v>
      </c>
      <c r="K311" t="str">
        <f>PROPER(Table1[[#This Row],[Leading, Multiple &amp; Trailing spaces]])</f>
        <v>Deane Street</v>
      </c>
      <c r="L311" t="str">
        <f t="shared" si="4"/>
        <v>Deane Street</v>
      </c>
      <c r="M311" t="s">
        <v>1368</v>
      </c>
    </row>
    <row r="312" spans="1:13" x14ac:dyDescent="0.3">
      <c r="A312">
        <v>309</v>
      </c>
      <c r="B312" t="s">
        <v>1370</v>
      </c>
      <c r="C312" t="s">
        <v>1371</v>
      </c>
      <c r="D312" t="s">
        <v>7</v>
      </c>
      <c r="E312" t="s">
        <v>1372</v>
      </c>
      <c r="F312" t="s">
        <v>1373</v>
      </c>
      <c r="G312" t="str">
        <f xml:space="preserve"> PROPER(_xlfn.CONCAT(Table1[[#This Row],[Title]]," ",Table1[[#This Row],[First Name]]," ",Table1[[#This Row],[Last Name]]))</f>
        <v>Mrs Denae Toney</v>
      </c>
      <c r="H312" t="str">
        <f>SUBSTITUTE(Table1[[#This Row],[Street]],"Road"," Road")</f>
        <v>Holmleigh</v>
      </c>
      <c r="I312" t="str">
        <f>SUBSTITUTE(Table1[[#This Row],[Separate combined words ]],"?","")</f>
        <v>Holmleigh</v>
      </c>
      <c r="J312" t="str">
        <f>TRIM(Table1[[#This Row],[Remove Question Mark "?"]])</f>
        <v>Holmleigh</v>
      </c>
      <c r="K312" t="str">
        <f>PROPER(Table1[[#This Row],[Leading, Multiple &amp; Trailing spaces]])</f>
        <v>Holmleigh</v>
      </c>
      <c r="L312" t="str">
        <f t="shared" si="4"/>
        <v>Holmleigh</v>
      </c>
      <c r="M312" t="s">
        <v>1372</v>
      </c>
    </row>
    <row r="313" spans="1:13" x14ac:dyDescent="0.3">
      <c r="A313">
        <v>310</v>
      </c>
      <c r="B313" t="s">
        <v>1374</v>
      </c>
      <c r="C313" t="s">
        <v>646</v>
      </c>
      <c r="D313" t="s">
        <v>18</v>
      </c>
      <c r="E313" t="s">
        <v>1375</v>
      </c>
      <c r="F313" t="s">
        <v>1376</v>
      </c>
      <c r="G313" t="str">
        <f xml:space="preserve"> PROPER(_xlfn.CONCAT(Table1[[#This Row],[Title]]," ",Table1[[#This Row],[First Name]]," ",Table1[[#This Row],[Last Name]]))</f>
        <v>Miss Yasuko Knapp</v>
      </c>
      <c r="H313" t="str">
        <f>SUBSTITUTE(Table1[[#This Row],[Street]],"Road"," Road")</f>
        <v>Thistlebrook</v>
      </c>
      <c r="I313" t="str">
        <f>SUBSTITUTE(Table1[[#This Row],[Separate combined words ]],"?","")</f>
        <v>Thistlebrook</v>
      </c>
      <c r="J313" t="str">
        <f>TRIM(Table1[[#This Row],[Remove Question Mark "?"]])</f>
        <v>Thistlebrook</v>
      </c>
      <c r="K313" t="str">
        <f>PROPER(Table1[[#This Row],[Leading, Multiple &amp; Trailing spaces]])</f>
        <v>Thistlebrook</v>
      </c>
      <c r="L313" t="str">
        <f t="shared" si="4"/>
        <v>Thistlebrook</v>
      </c>
      <c r="M313" t="s">
        <v>1375</v>
      </c>
    </row>
    <row r="314" spans="1:13" x14ac:dyDescent="0.3">
      <c r="A314">
        <v>311</v>
      </c>
      <c r="B314" t="s">
        <v>1377</v>
      </c>
      <c r="C314" t="s">
        <v>1378</v>
      </c>
      <c r="D314" t="s">
        <v>7</v>
      </c>
      <c r="E314" t="s">
        <v>1379</v>
      </c>
      <c r="F314" t="s">
        <v>438</v>
      </c>
      <c r="G314" t="str">
        <f xml:space="preserve"> PROPER(_xlfn.CONCAT(Table1[[#This Row],[Title]]," ",Table1[[#This Row],[First Name]]," ",Table1[[#This Row],[Last Name]]))</f>
        <v>Mrs Samantha Horner</v>
      </c>
      <c r="H314" t="str">
        <f>SUBSTITUTE(Table1[[#This Row],[Street]],"Road"," Road")</f>
        <v>Collingwood Avenue</v>
      </c>
      <c r="I314" t="str">
        <f>SUBSTITUTE(Table1[[#This Row],[Separate combined words ]],"?","")</f>
        <v>Collingwood Avenue</v>
      </c>
      <c r="J314" t="str">
        <f>TRIM(Table1[[#This Row],[Remove Question Mark "?"]])</f>
        <v>Collingwood Avenue</v>
      </c>
      <c r="K314" t="str">
        <f>PROPER(Table1[[#This Row],[Leading, Multiple &amp; Trailing spaces]])</f>
        <v>Collingwood Avenue</v>
      </c>
      <c r="L314" t="str">
        <f t="shared" si="4"/>
        <v>Collingwood Avenue</v>
      </c>
      <c r="M314" t="s">
        <v>1379</v>
      </c>
    </row>
    <row r="315" spans="1:13" x14ac:dyDescent="0.3">
      <c r="A315">
        <v>312</v>
      </c>
      <c r="B315" t="s">
        <v>464</v>
      </c>
      <c r="C315" t="s">
        <v>1380</v>
      </c>
      <c r="D315" t="s">
        <v>18</v>
      </c>
      <c r="E315" t="s">
        <v>1381</v>
      </c>
      <c r="F315" t="s">
        <v>1382</v>
      </c>
      <c r="G315" t="str">
        <f xml:space="preserve"> PROPER(_xlfn.CONCAT(Table1[[#This Row],[Title]]," ",Table1[[#This Row],[First Name]]," ",Table1[[#This Row],[Last Name]]))</f>
        <v>Miss Earleen Wall</v>
      </c>
      <c r="H315" t="str">
        <f>SUBSTITUTE(Table1[[#This Row],[Street]],"Road"," Road")</f>
        <v>Crescent Terrace</v>
      </c>
      <c r="I315" t="str">
        <f>SUBSTITUTE(Table1[[#This Row],[Separate combined words ]],"?","")</f>
        <v>Crescent Terrace</v>
      </c>
      <c r="J315" t="str">
        <f>TRIM(Table1[[#This Row],[Remove Question Mark "?"]])</f>
        <v>Crescent Terrace</v>
      </c>
      <c r="K315" t="str">
        <f>PROPER(Table1[[#This Row],[Leading, Multiple &amp; Trailing spaces]])</f>
        <v>Crescent Terrace</v>
      </c>
      <c r="L315" t="str">
        <f t="shared" si="4"/>
        <v>Crescent Terrace</v>
      </c>
      <c r="M315" t="s">
        <v>1381</v>
      </c>
    </row>
    <row r="316" spans="1:13" x14ac:dyDescent="0.3">
      <c r="A316">
        <v>313</v>
      </c>
      <c r="B316" t="s">
        <v>1383</v>
      </c>
      <c r="C316" t="s">
        <v>370</v>
      </c>
      <c r="D316" t="s">
        <v>18</v>
      </c>
      <c r="E316" t="s">
        <v>1384</v>
      </c>
      <c r="F316" t="s">
        <v>1385</v>
      </c>
      <c r="G316" t="str">
        <f xml:space="preserve"> PROPER(_xlfn.CONCAT(Table1[[#This Row],[Title]]," ",Table1[[#This Row],[First Name]]," ",Table1[[#This Row],[Last Name]]))</f>
        <v>Miss Mellisa Mcmullen</v>
      </c>
      <c r="H316" t="str">
        <f>SUBSTITUTE(Table1[[#This Row],[Street]],"Road"," Road")</f>
        <v>Campus  Road</v>
      </c>
      <c r="I316" t="str">
        <f>SUBSTITUTE(Table1[[#This Row],[Separate combined words ]],"?","")</f>
        <v>Campus  Road</v>
      </c>
      <c r="J316" t="str">
        <f>TRIM(Table1[[#This Row],[Remove Question Mark "?"]])</f>
        <v>Campus Road</v>
      </c>
      <c r="K316" t="str">
        <f>PROPER(Table1[[#This Row],[Leading, Multiple &amp; Trailing spaces]])</f>
        <v>Campus Road</v>
      </c>
      <c r="L316" t="str">
        <f t="shared" si="4"/>
        <v>Campus Road</v>
      </c>
      <c r="M316" t="s">
        <v>1384</v>
      </c>
    </row>
    <row r="317" spans="1:13" x14ac:dyDescent="0.3">
      <c r="A317">
        <v>314</v>
      </c>
      <c r="B317" t="s">
        <v>306</v>
      </c>
      <c r="C317" t="s">
        <v>450</v>
      </c>
      <c r="D317" t="s">
        <v>7</v>
      </c>
      <c r="E317" t="s">
        <v>1386</v>
      </c>
      <c r="F317" t="s">
        <v>1387</v>
      </c>
      <c r="G317" t="str">
        <f xml:space="preserve"> PROPER(_xlfn.CONCAT(Table1[[#This Row],[Title]]," ",Table1[[#This Row],[First Name]]," ",Table1[[#This Row],[Last Name]]))</f>
        <v>Mrs Penni Waldron</v>
      </c>
      <c r="H317" t="str">
        <f>SUBSTITUTE(Table1[[#This Row],[Street]],"Road"," Road")</f>
        <v>Upton Place</v>
      </c>
      <c r="I317" t="str">
        <f>SUBSTITUTE(Table1[[#This Row],[Separate combined words ]],"?","")</f>
        <v>Upton Place</v>
      </c>
      <c r="J317" t="str">
        <f>TRIM(Table1[[#This Row],[Remove Question Mark "?"]])</f>
        <v>Upton Place</v>
      </c>
      <c r="K317" t="str">
        <f>PROPER(Table1[[#This Row],[Leading, Multiple &amp; Trailing spaces]])</f>
        <v>Upton Place</v>
      </c>
      <c r="L317" t="str">
        <f t="shared" si="4"/>
        <v>Upton Place</v>
      </c>
      <c r="M317" t="s">
        <v>1386</v>
      </c>
    </row>
    <row r="318" spans="1:13" x14ac:dyDescent="0.3">
      <c r="A318">
        <v>315</v>
      </c>
      <c r="B318" t="s">
        <v>1388</v>
      </c>
      <c r="C318" t="s">
        <v>1389</v>
      </c>
      <c r="D318" t="s">
        <v>18</v>
      </c>
      <c r="E318" t="s">
        <v>541</v>
      </c>
      <c r="F318" t="s">
        <v>1390</v>
      </c>
      <c r="G318" t="str">
        <f xml:space="preserve"> PROPER(_xlfn.CONCAT(Table1[[#This Row],[Title]]," ",Table1[[#This Row],[First Name]]," ",Table1[[#This Row],[Last Name]]))</f>
        <v>Miss Rona Helton</v>
      </c>
      <c r="H318" t="str">
        <f>SUBSTITUTE(Table1[[#This Row],[Street]],"Road"," Road")</f>
        <v>Hesewall Close</v>
      </c>
      <c r="I318" t="str">
        <f>SUBSTITUTE(Table1[[#This Row],[Separate combined words ]],"?","")</f>
        <v>Hesewall Close</v>
      </c>
      <c r="J318" t="str">
        <f>TRIM(Table1[[#This Row],[Remove Question Mark "?"]])</f>
        <v>Hesewall Close</v>
      </c>
      <c r="K318" t="str">
        <f>PROPER(Table1[[#This Row],[Leading, Multiple &amp; Trailing spaces]])</f>
        <v>Hesewall Close</v>
      </c>
      <c r="L318" t="str">
        <f t="shared" si="4"/>
        <v>Hesewall Close</v>
      </c>
      <c r="M318" t="s">
        <v>541</v>
      </c>
    </row>
    <row r="319" spans="1:13" x14ac:dyDescent="0.3">
      <c r="A319">
        <v>316</v>
      </c>
      <c r="B319" t="s">
        <v>1391</v>
      </c>
      <c r="C319" t="s">
        <v>580</v>
      </c>
      <c r="D319" t="s">
        <v>7</v>
      </c>
      <c r="E319" t="s">
        <v>1392</v>
      </c>
      <c r="F319" t="s">
        <v>1393</v>
      </c>
      <c r="G319" t="str">
        <f xml:space="preserve"> PROPER(_xlfn.CONCAT(Table1[[#This Row],[Title]]," ",Table1[[#This Row],[First Name]]," ",Table1[[#This Row],[Last Name]]))</f>
        <v>Mrs Charity Drummond</v>
      </c>
      <c r="H319" t="str">
        <f>SUBSTITUTE(Table1[[#This Row],[Street]],"Road"," Road")</f>
        <v>Knotsford Street</v>
      </c>
      <c r="I319" t="str">
        <f>SUBSTITUTE(Table1[[#This Row],[Separate combined words ]],"?","")</f>
        <v>Knotsford Street</v>
      </c>
      <c r="J319" t="str">
        <f>TRIM(Table1[[#This Row],[Remove Question Mark "?"]])</f>
        <v>Knotsford Street</v>
      </c>
      <c r="K319" t="str">
        <f>PROPER(Table1[[#This Row],[Leading, Multiple &amp; Trailing spaces]])</f>
        <v>Knotsford Street</v>
      </c>
      <c r="L319" t="str">
        <f t="shared" si="4"/>
        <v>Knotsford Street</v>
      </c>
      <c r="M319" t="s">
        <v>1392</v>
      </c>
    </row>
    <row r="320" spans="1:13" x14ac:dyDescent="0.3">
      <c r="A320">
        <v>317</v>
      </c>
      <c r="B320" t="s">
        <v>667</v>
      </c>
      <c r="C320" t="s">
        <v>1394</v>
      </c>
      <c r="D320" t="s">
        <v>7</v>
      </c>
      <c r="E320" t="s">
        <v>1395</v>
      </c>
      <c r="F320" t="s">
        <v>1396</v>
      </c>
      <c r="G320" t="str">
        <f xml:space="preserve"> PROPER(_xlfn.CONCAT(Table1[[#This Row],[Title]]," ",Table1[[#This Row],[First Name]]," ",Table1[[#This Row],[Last Name]]))</f>
        <v>Mrs Kristle Haywood</v>
      </c>
      <c r="H320" t="str">
        <f>SUBSTITUTE(Table1[[#This Row],[Street]],"Road"," Road")</f>
        <v>Priestfield  Road</v>
      </c>
      <c r="I320" t="str">
        <f>SUBSTITUTE(Table1[[#This Row],[Separate combined words ]],"?","")</f>
        <v>Priestfield  Road</v>
      </c>
      <c r="J320" t="str">
        <f>TRIM(Table1[[#This Row],[Remove Question Mark "?"]])</f>
        <v>Priestfield Road</v>
      </c>
      <c r="K320" t="str">
        <f>PROPER(Table1[[#This Row],[Leading, Multiple &amp; Trailing spaces]])</f>
        <v>Priestfield Road</v>
      </c>
      <c r="L320" t="str">
        <f t="shared" si="4"/>
        <v>Priestfield Road</v>
      </c>
      <c r="M320" t="s">
        <v>1395</v>
      </c>
    </row>
    <row r="321" spans="1:13" x14ac:dyDescent="0.3">
      <c r="A321">
        <v>318</v>
      </c>
      <c r="B321" t="s">
        <v>1397</v>
      </c>
      <c r="C321" t="s">
        <v>1398</v>
      </c>
      <c r="D321" t="s">
        <v>18</v>
      </c>
      <c r="E321" t="s">
        <v>1399</v>
      </c>
      <c r="F321" t="s">
        <v>1400</v>
      </c>
      <c r="G321" t="str">
        <f xml:space="preserve"> PROPER(_xlfn.CONCAT(Table1[[#This Row],[Title]]," ",Table1[[#This Row],[First Name]]," ",Table1[[#This Row],[Last Name]]))</f>
        <v>Miss Hermine Mercado</v>
      </c>
      <c r="H321" t="str">
        <f>SUBSTITUTE(Table1[[#This Row],[Street]],"Road"," Road")</f>
        <v>Templewood Avenue</v>
      </c>
      <c r="I321" t="str">
        <f>SUBSTITUTE(Table1[[#This Row],[Separate combined words ]],"?","")</f>
        <v>Templewood Avenue</v>
      </c>
      <c r="J321" t="str">
        <f>TRIM(Table1[[#This Row],[Remove Question Mark "?"]])</f>
        <v>Templewood Avenue</v>
      </c>
      <c r="K321" t="str">
        <f>PROPER(Table1[[#This Row],[Leading, Multiple &amp; Trailing spaces]])</f>
        <v>Templewood Avenue</v>
      </c>
      <c r="L321" t="str">
        <f t="shared" si="4"/>
        <v>Templewood Avenue</v>
      </c>
      <c r="M321" t="s">
        <v>1399</v>
      </c>
    </row>
    <row r="322" spans="1:13" x14ac:dyDescent="0.3">
      <c r="A322">
        <v>319</v>
      </c>
      <c r="B322" t="s">
        <v>1401</v>
      </c>
      <c r="C322" t="s">
        <v>1402</v>
      </c>
      <c r="D322" t="s">
        <v>7</v>
      </c>
      <c r="E322" t="s">
        <v>1403</v>
      </c>
      <c r="F322" t="s">
        <v>1404</v>
      </c>
      <c r="G322" t="str">
        <f xml:space="preserve"> PROPER(_xlfn.CONCAT(Table1[[#This Row],[Title]]," ",Table1[[#This Row],[First Name]]," ",Table1[[#This Row],[Last Name]]))</f>
        <v>Mrs Qiana Daley</v>
      </c>
      <c r="H322" t="str">
        <f>SUBSTITUTE(Table1[[#This Row],[Street]],"Road"," Road")</f>
        <v>Lambeth Terrace</v>
      </c>
      <c r="I322" t="str">
        <f>SUBSTITUTE(Table1[[#This Row],[Separate combined words ]],"?","")</f>
        <v>Lambeth Terrace</v>
      </c>
      <c r="J322" t="str">
        <f>TRIM(Table1[[#This Row],[Remove Question Mark "?"]])</f>
        <v>Lambeth Terrace</v>
      </c>
      <c r="K322" t="str">
        <f>PROPER(Table1[[#This Row],[Leading, Multiple &amp; Trailing spaces]])</f>
        <v>Lambeth Terrace</v>
      </c>
      <c r="L322" t="str">
        <f t="shared" si="4"/>
        <v>Lambeth Terrace</v>
      </c>
      <c r="M322" t="s">
        <v>1403</v>
      </c>
    </row>
    <row r="323" spans="1:13" x14ac:dyDescent="0.3">
      <c r="A323">
        <v>320</v>
      </c>
      <c r="B323" t="s">
        <v>1405</v>
      </c>
      <c r="C323" t="s">
        <v>1406</v>
      </c>
      <c r="D323" t="s">
        <v>18</v>
      </c>
      <c r="E323" t="s">
        <v>1407</v>
      </c>
      <c r="F323" t="s">
        <v>1408</v>
      </c>
      <c r="G323" t="str">
        <f xml:space="preserve"> PROPER(_xlfn.CONCAT(Table1[[#This Row],[Title]]," ",Table1[[#This Row],[First Name]]," ",Table1[[#This Row],[Last Name]]))</f>
        <v>Miss Janene Elliott</v>
      </c>
      <c r="H323" t="str">
        <f>SUBSTITUTE(Table1[[#This Row],[Street]],"Road"," Road")</f>
        <v>Palyns Almshouse</v>
      </c>
      <c r="I323" t="str">
        <f>SUBSTITUTE(Table1[[#This Row],[Separate combined words ]],"?","")</f>
        <v>Palyns Almshouse</v>
      </c>
      <c r="J323" t="str">
        <f>TRIM(Table1[[#This Row],[Remove Question Mark "?"]])</f>
        <v>Palyns Almshouse</v>
      </c>
      <c r="K323" t="str">
        <f>PROPER(Table1[[#This Row],[Leading, Multiple &amp; Trailing spaces]])</f>
        <v>Palyns Almshouse</v>
      </c>
      <c r="L323" t="str">
        <f t="shared" si="4"/>
        <v>Palyns Almshouse</v>
      </c>
      <c r="M323" t="s">
        <v>1407</v>
      </c>
    </row>
    <row r="324" spans="1:13" x14ac:dyDescent="0.3">
      <c r="A324">
        <v>321</v>
      </c>
      <c r="B324" t="s">
        <v>1409</v>
      </c>
      <c r="C324" t="s">
        <v>1410</v>
      </c>
      <c r="D324" t="s">
        <v>18</v>
      </c>
      <c r="E324" t="s">
        <v>1411</v>
      </c>
      <c r="F324" t="s">
        <v>467</v>
      </c>
      <c r="G324" t="str">
        <f xml:space="preserve"> PROPER(_xlfn.CONCAT(Table1[[#This Row],[Title]]," ",Table1[[#This Row],[First Name]]," ",Table1[[#This Row],[Last Name]]))</f>
        <v>Miss Danyel Goode</v>
      </c>
      <c r="H324" t="str">
        <f>SUBSTITUTE(Table1[[#This Row],[Street]],"Road"," Road")</f>
        <v>Victor Villas</v>
      </c>
      <c r="I324" t="str">
        <f>SUBSTITUTE(Table1[[#This Row],[Separate combined words ]],"?","")</f>
        <v>Victor Villas</v>
      </c>
      <c r="J324" t="str">
        <f>TRIM(Table1[[#This Row],[Remove Question Mark "?"]])</f>
        <v>Victor Villas</v>
      </c>
      <c r="K324" t="str">
        <f>PROPER(Table1[[#This Row],[Leading, Multiple &amp; Trailing spaces]])</f>
        <v>Victor Villas</v>
      </c>
      <c r="L324" t="str">
        <f t="shared" si="4"/>
        <v>Victor Villas</v>
      </c>
      <c r="M324" t="s">
        <v>1411</v>
      </c>
    </row>
    <row r="325" spans="1:13" x14ac:dyDescent="0.3">
      <c r="A325">
        <v>322</v>
      </c>
      <c r="B325" t="s">
        <v>1412</v>
      </c>
      <c r="C325" t="s">
        <v>1413</v>
      </c>
      <c r="D325" t="s">
        <v>71</v>
      </c>
      <c r="E325" t="s">
        <v>1414</v>
      </c>
      <c r="F325" t="s">
        <v>1415</v>
      </c>
      <c r="G325" t="str">
        <f xml:space="preserve"> PROPER(_xlfn.CONCAT(Table1[[#This Row],[Title]]," ",Table1[[#This Row],[First Name]]," ",Table1[[#This Row],[Last Name]]))</f>
        <v>Ms Daniel Milton</v>
      </c>
      <c r="H325" t="str">
        <f>SUBSTITUTE(Table1[[#This Row],[Street]],"Road"," Road")</f>
        <v>Dafforne  Road</v>
      </c>
      <c r="I325" t="str">
        <f>SUBSTITUTE(Table1[[#This Row],[Separate combined words ]],"?","")</f>
        <v>Dafforne  Road</v>
      </c>
      <c r="J325" t="str">
        <f>TRIM(Table1[[#This Row],[Remove Question Mark "?"]])</f>
        <v>Dafforne Road</v>
      </c>
      <c r="K325" t="str">
        <f>PROPER(Table1[[#This Row],[Leading, Multiple &amp; Trailing spaces]])</f>
        <v>Dafforne Road</v>
      </c>
      <c r="L325" t="str">
        <f t="shared" ref="L325:L388" si="5">TRIM(PROPER(SUBSTITUTE(SUBSTITUTE((E325),"?",""),"Road"," Road")))</f>
        <v>Dafforne Road</v>
      </c>
      <c r="M325" t="s">
        <v>1414</v>
      </c>
    </row>
    <row r="326" spans="1:13" x14ac:dyDescent="0.3">
      <c r="A326">
        <v>323</v>
      </c>
      <c r="B326" t="s">
        <v>1416</v>
      </c>
      <c r="C326" t="s">
        <v>1417</v>
      </c>
      <c r="D326" t="s">
        <v>71</v>
      </c>
      <c r="E326" t="s">
        <v>1418</v>
      </c>
      <c r="F326" t="s">
        <v>27</v>
      </c>
      <c r="G326" t="str">
        <f xml:space="preserve"> PROPER(_xlfn.CONCAT(Table1[[#This Row],[Title]]," ",Table1[[#This Row],[First Name]]," ",Table1[[#This Row],[Last Name]]))</f>
        <v>Ms Kassie Kilgore</v>
      </c>
      <c r="H326" t="str">
        <f>SUBSTITUTE(Table1[[#This Row],[Street]],"Road"," Road")</f>
        <v>Liffler  Road</v>
      </c>
      <c r="I326" t="str">
        <f>SUBSTITUTE(Table1[[#This Row],[Separate combined words ]],"?","")</f>
        <v>Liffler  Road</v>
      </c>
      <c r="J326" t="str">
        <f>TRIM(Table1[[#This Row],[Remove Question Mark "?"]])</f>
        <v>Liffler Road</v>
      </c>
      <c r="K326" t="str">
        <f>PROPER(Table1[[#This Row],[Leading, Multiple &amp; Trailing spaces]])</f>
        <v>Liffler Road</v>
      </c>
      <c r="L326" t="str">
        <f t="shared" si="5"/>
        <v>Liffler Road</v>
      </c>
      <c r="M326" t="s">
        <v>1418</v>
      </c>
    </row>
    <row r="327" spans="1:13" x14ac:dyDescent="0.3">
      <c r="A327">
        <v>324</v>
      </c>
      <c r="B327" t="s">
        <v>1419</v>
      </c>
      <c r="C327" t="s">
        <v>1420</v>
      </c>
      <c r="D327" t="s">
        <v>18</v>
      </c>
      <c r="E327" t="s">
        <v>1421</v>
      </c>
      <c r="F327" t="s">
        <v>1422</v>
      </c>
      <c r="G327" t="str">
        <f xml:space="preserve"> PROPER(_xlfn.CONCAT(Table1[[#This Row],[Title]]," ",Table1[[#This Row],[First Name]]," ",Table1[[#This Row],[Last Name]]))</f>
        <v>Miss Carlyn Dejesus</v>
      </c>
      <c r="H327" t="str">
        <f>SUBSTITUTE(Table1[[#This Row],[Street]],"Road"," Road")</f>
        <v>Little Lant</v>
      </c>
      <c r="I327" t="str">
        <f>SUBSTITUTE(Table1[[#This Row],[Separate combined words ]],"?","")</f>
        <v>Little Lant</v>
      </c>
      <c r="J327" t="str">
        <f>TRIM(Table1[[#This Row],[Remove Question Mark "?"]])</f>
        <v>Little Lant</v>
      </c>
      <c r="K327" t="str">
        <f>PROPER(Table1[[#This Row],[Leading, Multiple &amp; Trailing spaces]])</f>
        <v>Little Lant</v>
      </c>
      <c r="L327" t="str">
        <f t="shared" si="5"/>
        <v>Little Lant</v>
      </c>
      <c r="M327" t="s">
        <v>1421</v>
      </c>
    </row>
    <row r="328" spans="1:13" x14ac:dyDescent="0.3">
      <c r="A328">
        <v>325</v>
      </c>
      <c r="B328" t="s">
        <v>1423</v>
      </c>
      <c r="C328" t="s">
        <v>1424</v>
      </c>
      <c r="D328" t="s">
        <v>71</v>
      </c>
      <c r="E328" t="s">
        <v>1425</v>
      </c>
      <c r="F328" t="s">
        <v>1426</v>
      </c>
      <c r="G328" t="str">
        <f xml:space="preserve"> PROPER(_xlfn.CONCAT(Table1[[#This Row],[Title]]," ",Table1[[#This Row],[First Name]]," ",Table1[[#This Row],[Last Name]]))</f>
        <v>Ms Claire Gee</v>
      </c>
      <c r="H328" t="str">
        <f>SUBSTITUTE(Table1[[#This Row],[Street]],"Road"," Road")</f>
        <v>Melrose Close</v>
      </c>
      <c r="I328" t="str">
        <f>SUBSTITUTE(Table1[[#This Row],[Separate combined words ]],"?","")</f>
        <v>Melrose Close</v>
      </c>
      <c r="J328" t="str">
        <f>TRIM(Table1[[#This Row],[Remove Question Mark "?"]])</f>
        <v>Melrose Close</v>
      </c>
      <c r="K328" t="str">
        <f>PROPER(Table1[[#This Row],[Leading, Multiple &amp; Trailing spaces]])</f>
        <v>Melrose Close</v>
      </c>
      <c r="L328" t="str">
        <f t="shared" si="5"/>
        <v>Melrose Close</v>
      </c>
      <c r="M328" t="s">
        <v>1425</v>
      </c>
    </row>
    <row r="329" spans="1:13" x14ac:dyDescent="0.3">
      <c r="A329">
        <v>326</v>
      </c>
      <c r="B329" t="s">
        <v>1427</v>
      </c>
      <c r="C329" t="s">
        <v>1428</v>
      </c>
      <c r="D329" t="s">
        <v>7</v>
      </c>
      <c r="E329" t="s">
        <v>1071</v>
      </c>
      <c r="F329" t="s">
        <v>1429</v>
      </c>
      <c r="G329" t="str">
        <f xml:space="preserve"> PROPER(_xlfn.CONCAT(Table1[[#This Row],[Title]]," ",Table1[[#This Row],[First Name]]," ",Table1[[#This Row],[Last Name]]))</f>
        <v>Mrs Bonny Guy</v>
      </c>
      <c r="H329" t="str">
        <f>SUBSTITUTE(Table1[[#This Row],[Street]],"Road"," Road")</f>
        <v>Langton Villas</v>
      </c>
      <c r="I329" t="str">
        <f>SUBSTITUTE(Table1[[#This Row],[Separate combined words ]],"?","")</f>
        <v>Langton Villas</v>
      </c>
      <c r="J329" t="str">
        <f>TRIM(Table1[[#This Row],[Remove Question Mark "?"]])</f>
        <v>Langton Villas</v>
      </c>
      <c r="K329" t="str">
        <f>PROPER(Table1[[#This Row],[Leading, Multiple &amp; Trailing spaces]])</f>
        <v>Langton Villas</v>
      </c>
      <c r="L329" t="str">
        <f t="shared" si="5"/>
        <v>Langton Villas</v>
      </c>
      <c r="M329" t="s">
        <v>1071</v>
      </c>
    </row>
    <row r="330" spans="1:13" x14ac:dyDescent="0.3">
      <c r="A330">
        <v>327</v>
      </c>
      <c r="B330" t="s">
        <v>1430</v>
      </c>
      <c r="C330" t="s">
        <v>1431</v>
      </c>
      <c r="D330" t="s">
        <v>7</v>
      </c>
      <c r="E330" t="s">
        <v>1432</v>
      </c>
      <c r="F330" t="s">
        <v>1433</v>
      </c>
      <c r="G330" t="str">
        <f xml:space="preserve"> PROPER(_xlfn.CONCAT(Table1[[#This Row],[Title]]," ",Table1[[#This Row],[First Name]]," ",Table1[[#This Row],[Last Name]]))</f>
        <v>Mrs Lakisha Dawkins</v>
      </c>
      <c r="H330" t="str">
        <f>SUBSTITUTE(Table1[[#This Row],[Street]],"Road"," Road")</f>
        <v>Hitherfield  Road</v>
      </c>
      <c r="I330" t="str">
        <f>SUBSTITUTE(Table1[[#This Row],[Separate combined words ]],"?","")</f>
        <v>Hitherfield  Road</v>
      </c>
      <c r="J330" t="str">
        <f>TRIM(Table1[[#This Row],[Remove Question Mark "?"]])</f>
        <v>Hitherfield Road</v>
      </c>
      <c r="K330" t="str">
        <f>PROPER(Table1[[#This Row],[Leading, Multiple &amp; Trailing spaces]])</f>
        <v>Hitherfield Road</v>
      </c>
      <c r="L330" t="str">
        <f t="shared" si="5"/>
        <v>Hitherfield Road</v>
      </c>
      <c r="M330" t="s">
        <v>1432</v>
      </c>
    </row>
    <row r="331" spans="1:13" x14ac:dyDescent="0.3">
      <c r="A331">
        <v>328</v>
      </c>
      <c r="B331" t="s">
        <v>1434</v>
      </c>
      <c r="C331" t="s">
        <v>1435</v>
      </c>
      <c r="D331" t="s">
        <v>71</v>
      </c>
      <c r="E331" t="s">
        <v>1436</v>
      </c>
      <c r="F331" t="s">
        <v>1437</v>
      </c>
      <c r="G331" t="str">
        <f xml:space="preserve"> PROPER(_xlfn.CONCAT(Table1[[#This Row],[Title]]," ",Table1[[#This Row],[First Name]]," ",Table1[[#This Row],[Last Name]]))</f>
        <v>Ms Mariann Benitez</v>
      </c>
      <c r="H331" t="str">
        <f>SUBSTITUTE(Table1[[#This Row],[Street]],"Road"," Road")</f>
        <v>Monkwell Street</v>
      </c>
      <c r="I331" t="str">
        <f>SUBSTITUTE(Table1[[#This Row],[Separate combined words ]],"?","")</f>
        <v>Monkwell Street</v>
      </c>
      <c r="J331" t="str">
        <f>TRIM(Table1[[#This Row],[Remove Question Mark "?"]])</f>
        <v>Monkwell Street</v>
      </c>
      <c r="K331" t="str">
        <f>PROPER(Table1[[#This Row],[Leading, Multiple &amp; Trailing spaces]])</f>
        <v>Monkwell Street</v>
      </c>
      <c r="L331" t="str">
        <f t="shared" si="5"/>
        <v>Monkwell Street</v>
      </c>
      <c r="M331" t="s">
        <v>1436</v>
      </c>
    </row>
    <row r="332" spans="1:13" x14ac:dyDescent="0.3">
      <c r="A332">
        <v>329</v>
      </c>
      <c r="B332" t="s">
        <v>672</v>
      </c>
      <c r="C332" t="s">
        <v>1438</v>
      </c>
      <c r="D332" t="s">
        <v>18</v>
      </c>
      <c r="E332" t="s">
        <v>1439</v>
      </c>
      <c r="F332" t="s">
        <v>1440</v>
      </c>
      <c r="G332" t="str">
        <f xml:space="preserve"> PROPER(_xlfn.CONCAT(Table1[[#This Row],[Title]]," ",Table1[[#This Row],[First Name]]," ",Table1[[#This Row],[Last Name]]))</f>
        <v>Miss Mandie Abernathy</v>
      </c>
      <c r="H332" t="str">
        <f>SUBSTITUTE(Table1[[#This Row],[Street]],"Road"," Road")</f>
        <v>Chalfont Way</v>
      </c>
      <c r="I332" t="str">
        <f>SUBSTITUTE(Table1[[#This Row],[Separate combined words ]],"?","")</f>
        <v>Chalfont Way</v>
      </c>
      <c r="J332" t="str">
        <f>TRIM(Table1[[#This Row],[Remove Question Mark "?"]])</f>
        <v>Chalfont Way</v>
      </c>
      <c r="K332" t="str">
        <f>PROPER(Table1[[#This Row],[Leading, Multiple &amp; Trailing spaces]])</f>
        <v>Chalfont Way</v>
      </c>
      <c r="L332" t="str">
        <f t="shared" si="5"/>
        <v>Chalfont Way</v>
      </c>
      <c r="M332" t="s">
        <v>1439</v>
      </c>
    </row>
    <row r="333" spans="1:13" x14ac:dyDescent="0.3">
      <c r="A333">
        <v>330</v>
      </c>
      <c r="B333" t="s">
        <v>1441</v>
      </c>
      <c r="C333" t="s">
        <v>714</v>
      </c>
      <c r="D333" t="s">
        <v>18</v>
      </c>
      <c r="E333" t="s">
        <v>1442</v>
      </c>
      <c r="F333" t="s">
        <v>1443</v>
      </c>
      <c r="G333" t="str">
        <f xml:space="preserve"> PROPER(_xlfn.CONCAT(Table1[[#This Row],[Title]]," ",Table1[[#This Row],[First Name]]," ",Table1[[#This Row],[Last Name]]))</f>
        <v>Miss Catharine Stiles</v>
      </c>
      <c r="H333" t="str">
        <f>SUBSTITUTE(Table1[[#This Row],[Street]],"Road"," Road")</f>
        <v>Merthyr Terrace</v>
      </c>
      <c r="I333" t="str">
        <f>SUBSTITUTE(Table1[[#This Row],[Separate combined words ]],"?","")</f>
        <v>Merthyr Terrace</v>
      </c>
      <c r="J333" t="str">
        <f>TRIM(Table1[[#This Row],[Remove Question Mark "?"]])</f>
        <v>Merthyr Terrace</v>
      </c>
      <c r="K333" t="str">
        <f>PROPER(Table1[[#This Row],[Leading, Multiple &amp; Trailing spaces]])</f>
        <v>Merthyr Terrace</v>
      </c>
      <c r="L333" t="str">
        <f t="shared" si="5"/>
        <v>Merthyr Terrace</v>
      </c>
      <c r="M333" t="s">
        <v>1442</v>
      </c>
    </row>
    <row r="334" spans="1:13" x14ac:dyDescent="0.3">
      <c r="A334">
        <v>331</v>
      </c>
      <c r="B334" t="s">
        <v>1444</v>
      </c>
      <c r="C334" t="s">
        <v>1445</v>
      </c>
      <c r="D334" t="s">
        <v>18</v>
      </c>
      <c r="E334" t="s">
        <v>1446</v>
      </c>
      <c r="F334" t="s">
        <v>1447</v>
      </c>
      <c r="G334" t="str">
        <f xml:space="preserve"> PROPER(_xlfn.CONCAT(Table1[[#This Row],[Title]]," ",Table1[[#This Row],[First Name]]," ",Table1[[#This Row],[Last Name]]))</f>
        <v>Miss Sarah Holland</v>
      </c>
      <c r="H334" t="str">
        <f>SUBSTITUTE(Table1[[#This Row],[Street]],"Road"," Road")</f>
        <v>Lansdown Villas</v>
      </c>
      <c r="I334" t="str">
        <f>SUBSTITUTE(Table1[[#This Row],[Separate combined words ]],"?","")</f>
        <v>Lansdown Villas</v>
      </c>
      <c r="J334" t="str">
        <f>TRIM(Table1[[#This Row],[Remove Question Mark "?"]])</f>
        <v>Lansdown Villas</v>
      </c>
      <c r="K334" t="str">
        <f>PROPER(Table1[[#This Row],[Leading, Multiple &amp; Trailing spaces]])</f>
        <v>Lansdown Villas</v>
      </c>
      <c r="L334" t="str">
        <f t="shared" si="5"/>
        <v>Lansdown Villas</v>
      </c>
      <c r="M334" t="s">
        <v>1446</v>
      </c>
    </row>
    <row r="335" spans="1:13" x14ac:dyDescent="0.3">
      <c r="A335">
        <v>332</v>
      </c>
      <c r="B335" t="s">
        <v>1448</v>
      </c>
      <c r="C335" t="s">
        <v>1449</v>
      </c>
      <c r="D335" t="s">
        <v>18</v>
      </c>
      <c r="E335" t="s">
        <v>1450</v>
      </c>
      <c r="F335" t="s">
        <v>381</v>
      </c>
      <c r="G335" t="str">
        <f xml:space="preserve"> PROPER(_xlfn.CONCAT(Table1[[#This Row],[Title]]," ",Table1[[#This Row],[First Name]]," ",Table1[[#This Row],[Last Name]]))</f>
        <v>Miss Giuseppina Hensley</v>
      </c>
      <c r="H335" t="str">
        <f>SUBSTITUTE(Table1[[#This Row],[Street]],"Road"," Road")</f>
        <v>Medway  Road</v>
      </c>
      <c r="I335" t="str">
        <f>SUBSTITUTE(Table1[[#This Row],[Separate combined words ]],"?","")</f>
        <v>Medway  Road</v>
      </c>
      <c r="J335" t="str">
        <f>TRIM(Table1[[#This Row],[Remove Question Mark "?"]])</f>
        <v>Medway Road</v>
      </c>
      <c r="K335" t="str">
        <f>PROPER(Table1[[#This Row],[Leading, Multiple &amp; Trailing spaces]])</f>
        <v>Medway Road</v>
      </c>
      <c r="L335" t="str">
        <f t="shared" si="5"/>
        <v>Medway Road</v>
      </c>
      <c r="M335" t="s">
        <v>1450</v>
      </c>
    </row>
    <row r="336" spans="1:13" x14ac:dyDescent="0.3">
      <c r="A336">
        <v>333</v>
      </c>
      <c r="B336" t="s">
        <v>1451</v>
      </c>
      <c r="C336" t="s">
        <v>1452</v>
      </c>
      <c r="D336" t="s">
        <v>55</v>
      </c>
      <c r="E336" t="s">
        <v>1453</v>
      </c>
      <c r="F336" t="s">
        <v>1454</v>
      </c>
      <c r="G336" t="str">
        <f xml:space="preserve"> PROPER(_xlfn.CONCAT(Table1[[#This Row],[Title]]," ",Table1[[#This Row],[First Name]]," ",Table1[[#This Row],[Last Name]]))</f>
        <v>Prof Melodie Addison</v>
      </c>
      <c r="H336" t="str">
        <f>SUBSTITUTE(Table1[[#This Row],[Street]],"Road"," Road")</f>
        <v>Briston Mews</v>
      </c>
      <c r="I336" t="str">
        <f>SUBSTITUTE(Table1[[#This Row],[Separate combined words ]],"?","")</f>
        <v>Briston Mews</v>
      </c>
      <c r="J336" t="str">
        <f>TRIM(Table1[[#This Row],[Remove Question Mark "?"]])</f>
        <v>Briston Mews</v>
      </c>
      <c r="K336" t="str">
        <f>PROPER(Table1[[#This Row],[Leading, Multiple &amp; Trailing spaces]])</f>
        <v>Briston Mews</v>
      </c>
      <c r="L336" t="str">
        <f t="shared" si="5"/>
        <v>Briston Mews</v>
      </c>
      <c r="M336" t="s">
        <v>1453</v>
      </c>
    </row>
    <row r="337" spans="1:13" x14ac:dyDescent="0.3">
      <c r="A337">
        <v>334</v>
      </c>
      <c r="B337" t="s">
        <v>1455</v>
      </c>
      <c r="C337" t="s">
        <v>486</v>
      </c>
      <c r="D337" t="s">
        <v>18</v>
      </c>
      <c r="E337" t="s">
        <v>1456</v>
      </c>
      <c r="F337" t="s">
        <v>508</v>
      </c>
      <c r="G337" t="str">
        <f xml:space="preserve"> PROPER(_xlfn.CONCAT(Table1[[#This Row],[Title]]," ",Table1[[#This Row],[First Name]]," ",Table1[[#This Row],[Last Name]]))</f>
        <v>Miss Mindy Smiley</v>
      </c>
      <c r="H337" t="str">
        <f>SUBSTITUTE(Table1[[#This Row],[Street]],"Road"," Road")</f>
        <v>Goldfinch  Road</v>
      </c>
      <c r="I337" t="str">
        <f>SUBSTITUTE(Table1[[#This Row],[Separate combined words ]],"?","")</f>
        <v>Goldfinch  Road</v>
      </c>
      <c r="J337" t="str">
        <f>TRIM(Table1[[#This Row],[Remove Question Mark "?"]])</f>
        <v>Goldfinch Road</v>
      </c>
      <c r="K337" t="str">
        <f>PROPER(Table1[[#This Row],[Leading, Multiple &amp; Trailing spaces]])</f>
        <v>Goldfinch Road</v>
      </c>
      <c r="L337" t="str">
        <f t="shared" si="5"/>
        <v>Goldfinch Road</v>
      </c>
      <c r="M337" t="s">
        <v>1456</v>
      </c>
    </row>
    <row r="338" spans="1:13" x14ac:dyDescent="0.3">
      <c r="A338">
        <v>335</v>
      </c>
      <c r="B338" t="s">
        <v>1457</v>
      </c>
      <c r="C338" t="s">
        <v>1458</v>
      </c>
      <c r="D338" t="s">
        <v>7</v>
      </c>
      <c r="E338" t="s">
        <v>1459</v>
      </c>
      <c r="F338" t="s">
        <v>1460</v>
      </c>
      <c r="G338" t="str">
        <f xml:space="preserve"> PROPER(_xlfn.CONCAT(Table1[[#This Row],[Title]]," ",Table1[[#This Row],[First Name]]," ",Table1[[#This Row],[Last Name]]))</f>
        <v>Mrs Heidy Hatch</v>
      </c>
      <c r="H338" t="str">
        <f>SUBSTITUTE(Table1[[#This Row],[Street]],"Road"," Road")</f>
        <v>Stofield Gardens</v>
      </c>
      <c r="I338" t="str">
        <f>SUBSTITUTE(Table1[[#This Row],[Separate combined words ]],"?","")</f>
        <v>Stofield Gardens</v>
      </c>
      <c r="J338" t="str">
        <f>TRIM(Table1[[#This Row],[Remove Question Mark "?"]])</f>
        <v>Stofield Gardens</v>
      </c>
      <c r="K338" t="str">
        <f>PROPER(Table1[[#This Row],[Leading, Multiple &amp; Trailing spaces]])</f>
        <v>Stofield Gardens</v>
      </c>
      <c r="L338" t="str">
        <f t="shared" si="5"/>
        <v>Stofield Gardens</v>
      </c>
      <c r="M338" t="s">
        <v>1459</v>
      </c>
    </row>
    <row r="339" spans="1:13" x14ac:dyDescent="0.3">
      <c r="A339">
        <v>336</v>
      </c>
      <c r="B339" t="s">
        <v>1461</v>
      </c>
      <c r="C339" t="s">
        <v>1050</v>
      </c>
      <c r="D339" t="s">
        <v>71</v>
      </c>
      <c r="E339" t="s">
        <v>1462</v>
      </c>
      <c r="F339" t="s">
        <v>222</v>
      </c>
      <c r="G339" t="str">
        <f xml:space="preserve"> PROPER(_xlfn.CONCAT(Table1[[#This Row],[Title]]," ",Table1[[#This Row],[First Name]]," ",Table1[[#This Row],[Last Name]]))</f>
        <v>Ms Vita Mcclellan</v>
      </c>
      <c r="H339" t="str">
        <f>SUBSTITUTE(Table1[[#This Row],[Street]],"Road"," Road")</f>
        <v>Twelvetrees Crescent</v>
      </c>
      <c r="I339" t="str">
        <f>SUBSTITUTE(Table1[[#This Row],[Separate combined words ]],"?","")</f>
        <v>Twelvetrees Crescent</v>
      </c>
      <c r="J339" t="str">
        <f>TRIM(Table1[[#This Row],[Remove Question Mark "?"]])</f>
        <v>Twelvetrees Crescent</v>
      </c>
      <c r="K339" t="str">
        <f>PROPER(Table1[[#This Row],[Leading, Multiple &amp; Trailing spaces]])</f>
        <v>Twelvetrees Crescent</v>
      </c>
      <c r="L339" t="str">
        <f t="shared" si="5"/>
        <v>Twelvetrees Crescent</v>
      </c>
      <c r="M339" t="s">
        <v>1462</v>
      </c>
    </row>
    <row r="340" spans="1:13" x14ac:dyDescent="0.3">
      <c r="A340">
        <v>337</v>
      </c>
      <c r="B340" t="s">
        <v>557</v>
      </c>
      <c r="C340" t="s">
        <v>1463</v>
      </c>
      <c r="D340" t="s">
        <v>18</v>
      </c>
      <c r="E340" t="s">
        <v>1464</v>
      </c>
      <c r="F340" t="s">
        <v>1465</v>
      </c>
      <c r="G340" t="str">
        <f xml:space="preserve"> PROPER(_xlfn.CONCAT(Table1[[#This Row],[Title]]," ",Table1[[#This Row],[First Name]]," ",Table1[[#This Row],[Last Name]]))</f>
        <v>Miss Nyla Keith</v>
      </c>
      <c r="H340" t="str">
        <f>SUBSTITUTE(Table1[[#This Row],[Street]],"Road"," Road")</f>
        <v>Lanrick  Road</v>
      </c>
      <c r="I340" t="str">
        <f>SUBSTITUTE(Table1[[#This Row],[Separate combined words ]],"?","")</f>
        <v>Lanrick  Road</v>
      </c>
      <c r="J340" t="str">
        <f>TRIM(Table1[[#This Row],[Remove Question Mark "?"]])</f>
        <v>Lanrick Road</v>
      </c>
      <c r="K340" t="str">
        <f>PROPER(Table1[[#This Row],[Leading, Multiple &amp; Trailing spaces]])</f>
        <v>Lanrick Road</v>
      </c>
      <c r="L340" t="str">
        <f t="shared" si="5"/>
        <v>Lanrick Road</v>
      </c>
      <c r="M340" t="s">
        <v>1464</v>
      </c>
    </row>
    <row r="341" spans="1:13" x14ac:dyDescent="0.3">
      <c r="A341">
        <v>338</v>
      </c>
      <c r="B341" t="s">
        <v>1466</v>
      </c>
      <c r="C341" t="s">
        <v>134</v>
      </c>
      <c r="D341" t="s">
        <v>18</v>
      </c>
      <c r="E341" t="s">
        <v>1467</v>
      </c>
      <c r="F341" t="s">
        <v>493</v>
      </c>
      <c r="G341" t="str">
        <f xml:space="preserve"> PROPER(_xlfn.CONCAT(Table1[[#This Row],[Title]]," ",Table1[[#This Row],[First Name]]," ",Table1[[#This Row],[Last Name]]))</f>
        <v>Miss Nelda Mcfadden</v>
      </c>
      <c r="H341" t="str">
        <f>SUBSTITUTE(Table1[[#This Row],[Street]],"Road"," Road")</f>
        <v>Carter Street</v>
      </c>
      <c r="I341" t="str">
        <f>SUBSTITUTE(Table1[[#This Row],[Separate combined words ]],"?","")</f>
        <v>Carter Street</v>
      </c>
      <c r="J341" t="str">
        <f>TRIM(Table1[[#This Row],[Remove Question Mark "?"]])</f>
        <v>Carter Street</v>
      </c>
      <c r="K341" t="str">
        <f>PROPER(Table1[[#This Row],[Leading, Multiple &amp; Trailing spaces]])</f>
        <v>Carter Street</v>
      </c>
      <c r="L341" t="str">
        <f t="shared" si="5"/>
        <v>Carter Street</v>
      </c>
      <c r="M341" t="s">
        <v>1467</v>
      </c>
    </row>
    <row r="342" spans="1:13" x14ac:dyDescent="0.3">
      <c r="A342">
        <v>339</v>
      </c>
      <c r="B342" t="s">
        <v>1468</v>
      </c>
      <c r="C342" t="s">
        <v>686</v>
      </c>
      <c r="D342" t="s">
        <v>7</v>
      </c>
      <c r="E342" t="s">
        <v>1469</v>
      </c>
      <c r="F342" t="s">
        <v>1470</v>
      </c>
      <c r="G342" t="str">
        <f xml:space="preserve"> PROPER(_xlfn.CONCAT(Table1[[#This Row],[Title]]," ",Table1[[#This Row],[First Name]]," ",Table1[[#This Row],[Last Name]]))</f>
        <v>Mrs Classie Abbott</v>
      </c>
      <c r="H342" t="str">
        <f>SUBSTITUTE(Table1[[#This Row],[Street]],"Road"," Road")</f>
        <v>Stephenson Terrace</v>
      </c>
      <c r="I342" t="str">
        <f>SUBSTITUTE(Table1[[#This Row],[Separate combined words ]],"?","")</f>
        <v>Stephenson Terrace</v>
      </c>
      <c r="J342" t="str">
        <f>TRIM(Table1[[#This Row],[Remove Question Mark "?"]])</f>
        <v>Stephenson Terrace</v>
      </c>
      <c r="K342" t="str">
        <f>PROPER(Table1[[#This Row],[Leading, Multiple &amp; Trailing spaces]])</f>
        <v>Stephenson Terrace</v>
      </c>
      <c r="L342" t="str">
        <f t="shared" si="5"/>
        <v>Stephenson Terrace</v>
      </c>
      <c r="M342" t="s">
        <v>1469</v>
      </c>
    </row>
    <row r="343" spans="1:13" x14ac:dyDescent="0.3">
      <c r="A343">
        <v>340</v>
      </c>
      <c r="B343" t="s">
        <v>1471</v>
      </c>
      <c r="C343" t="s">
        <v>1472</v>
      </c>
      <c r="D343" t="s">
        <v>18</v>
      </c>
      <c r="E343" t="s">
        <v>1473</v>
      </c>
      <c r="F343" t="s">
        <v>68</v>
      </c>
      <c r="G343" t="str">
        <f xml:space="preserve"> PROPER(_xlfn.CONCAT(Table1[[#This Row],[Title]]," ",Table1[[#This Row],[First Name]]," ",Table1[[#This Row],[Last Name]]))</f>
        <v>Miss Tomasa Horn</v>
      </c>
      <c r="H343" t="str">
        <f>SUBSTITUTE(Table1[[#This Row],[Street]],"Road"," Road")</f>
        <v>Campshill Place</v>
      </c>
      <c r="I343" t="str">
        <f>SUBSTITUTE(Table1[[#This Row],[Separate combined words ]],"?","")</f>
        <v>Campshill Place</v>
      </c>
      <c r="J343" t="str">
        <f>TRIM(Table1[[#This Row],[Remove Question Mark "?"]])</f>
        <v>Campshill Place</v>
      </c>
      <c r="K343" t="str">
        <f>PROPER(Table1[[#This Row],[Leading, Multiple &amp; Trailing spaces]])</f>
        <v>Campshill Place</v>
      </c>
      <c r="L343" t="str">
        <f t="shared" si="5"/>
        <v>Campshill Place</v>
      </c>
      <c r="M343" t="s">
        <v>1473</v>
      </c>
    </row>
    <row r="344" spans="1:13" x14ac:dyDescent="0.3">
      <c r="A344">
        <v>341</v>
      </c>
      <c r="B344" t="s">
        <v>1474</v>
      </c>
      <c r="C344" t="s">
        <v>453</v>
      </c>
      <c r="D344" t="s">
        <v>7</v>
      </c>
      <c r="E344" t="s">
        <v>1475</v>
      </c>
      <c r="F344" t="s">
        <v>1476</v>
      </c>
      <c r="G344" t="str">
        <f xml:space="preserve"> PROPER(_xlfn.CONCAT(Table1[[#This Row],[Title]]," ",Table1[[#This Row],[First Name]]," ",Table1[[#This Row],[Last Name]]))</f>
        <v>Mrs Becki Franks</v>
      </c>
      <c r="H344" t="str">
        <f>SUBSTITUTE(Table1[[#This Row],[Street]],"Road"," Road")</f>
        <v>Lawson Close</v>
      </c>
      <c r="I344" t="str">
        <f>SUBSTITUTE(Table1[[#This Row],[Separate combined words ]],"?","")</f>
        <v>Lawson Close</v>
      </c>
      <c r="J344" t="str">
        <f>TRIM(Table1[[#This Row],[Remove Question Mark "?"]])</f>
        <v>Lawson Close</v>
      </c>
      <c r="K344" t="str">
        <f>PROPER(Table1[[#This Row],[Leading, Multiple &amp; Trailing spaces]])</f>
        <v>Lawson Close</v>
      </c>
      <c r="L344" t="str">
        <f t="shared" si="5"/>
        <v>Lawson Close</v>
      </c>
      <c r="M344" t="s">
        <v>1475</v>
      </c>
    </row>
    <row r="345" spans="1:13" x14ac:dyDescent="0.3">
      <c r="A345">
        <v>342</v>
      </c>
      <c r="B345" t="s">
        <v>1477</v>
      </c>
      <c r="C345" t="s">
        <v>1478</v>
      </c>
      <c r="D345" t="s">
        <v>18</v>
      </c>
      <c r="E345" t="s">
        <v>1479</v>
      </c>
      <c r="F345" t="s">
        <v>1480</v>
      </c>
      <c r="G345" t="str">
        <f xml:space="preserve"> PROPER(_xlfn.CONCAT(Table1[[#This Row],[Title]]," ",Table1[[#This Row],[First Name]]," ",Table1[[#This Row],[Last Name]]))</f>
        <v>Miss Flavia Hill</v>
      </c>
      <c r="H345" t="str">
        <f>SUBSTITUTE(Table1[[#This Row],[Street]],"Road"," Road")</f>
        <v>Craven Avenue</v>
      </c>
      <c r="I345" t="str">
        <f>SUBSTITUTE(Table1[[#This Row],[Separate combined words ]],"?","")</f>
        <v>Craven Avenue</v>
      </c>
      <c r="J345" t="str">
        <f>TRIM(Table1[[#This Row],[Remove Question Mark "?"]])</f>
        <v>Craven Avenue</v>
      </c>
      <c r="K345" t="str">
        <f>PROPER(Table1[[#This Row],[Leading, Multiple &amp; Trailing spaces]])</f>
        <v>Craven Avenue</v>
      </c>
      <c r="L345" t="str">
        <f t="shared" si="5"/>
        <v>Craven Avenue</v>
      </c>
      <c r="M345" t="s">
        <v>1479</v>
      </c>
    </row>
    <row r="346" spans="1:13" x14ac:dyDescent="0.3">
      <c r="A346">
        <v>343</v>
      </c>
      <c r="B346" t="s">
        <v>1481</v>
      </c>
      <c r="C346" t="s">
        <v>1482</v>
      </c>
      <c r="D346" t="s">
        <v>18</v>
      </c>
      <c r="E346" t="s">
        <v>1483</v>
      </c>
      <c r="F346" t="s">
        <v>1484</v>
      </c>
      <c r="G346" t="str">
        <f xml:space="preserve"> PROPER(_xlfn.CONCAT(Table1[[#This Row],[Title]]," ",Table1[[#This Row],[First Name]]," ",Table1[[#This Row],[Last Name]]))</f>
        <v>Miss Lorette Thorne</v>
      </c>
      <c r="H346" t="str">
        <f>SUBSTITUTE(Table1[[#This Row],[Street]],"Road"," Road")</f>
        <v>Rosefield Gardens</v>
      </c>
      <c r="I346" t="str">
        <f>SUBSTITUTE(Table1[[#This Row],[Separate combined words ]],"?","")</f>
        <v>Rosefield Gardens</v>
      </c>
      <c r="J346" t="str">
        <f>TRIM(Table1[[#This Row],[Remove Question Mark "?"]])</f>
        <v>Rosefield Gardens</v>
      </c>
      <c r="K346" t="str">
        <f>PROPER(Table1[[#This Row],[Leading, Multiple &amp; Trailing spaces]])</f>
        <v>Rosefield Gardens</v>
      </c>
      <c r="L346" t="str">
        <f t="shared" si="5"/>
        <v>Rosefield Gardens</v>
      </c>
      <c r="M346" t="s">
        <v>1483</v>
      </c>
    </row>
    <row r="347" spans="1:13" x14ac:dyDescent="0.3">
      <c r="A347">
        <v>344</v>
      </c>
      <c r="B347" t="s">
        <v>1485</v>
      </c>
      <c r="C347" t="s">
        <v>1486</v>
      </c>
      <c r="D347" t="s">
        <v>71</v>
      </c>
      <c r="E347" t="s">
        <v>626</v>
      </c>
      <c r="F347" t="s">
        <v>479</v>
      </c>
      <c r="G347" t="str">
        <f xml:space="preserve"> PROPER(_xlfn.CONCAT(Table1[[#This Row],[Title]]," ",Table1[[#This Row],[First Name]]," ",Table1[[#This Row],[Last Name]]))</f>
        <v>Ms Alesia Velazquez</v>
      </c>
      <c r="H347" t="str">
        <f>SUBSTITUTE(Table1[[#This Row],[Street]],"Road"," Road")</f>
        <v>Norman Terrace</v>
      </c>
      <c r="I347" t="str">
        <f>SUBSTITUTE(Table1[[#This Row],[Separate combined words ]],"?","")</f>
        <v>Norman Terrace</v>
      </c>
      <c r="J347" t="str">
        <f>TRIM(Table1[[#This Row],[Remove Question Mark "?"]])</f>
        <v>Norman Terrace</v>
      </c>
      <c r="K347" t="str">
        <f>PROPER(Table1[[#This Row],[Leading, Multiple &amp; Trailing spaces]])</f>
        <v>Norman Terrace</v>
      </c>
      <c r="L347" t="str">
        <f t="shared" si="5"/>
        <v>Norman Terrace</v>
      </c>
      <c r="M347" t="s">
        <v>626</v>
      </c>
    </row>
    <row r="348" spans="1:13" x14ac:dyDescent="0.3">
      <c r="A348">
        <v>345</v>
      </c>
      <c r="B348" t="s">
        <v>1487</v>
      </c>
      <c r="C348" t="s">
        <v>1488</v>
      </c>
      <c r="D348" t="s">
        <v>7</v>
      </c>
      <c r="E348" t="s">
        <v>1489</v>
      </c>
      <c r="F348" t="s">
        <v>1490</v>
      </c>
      <c r="G348" t="str">
        <f xml:space="preserve"> PROPER(_xlfn.CONCAT(Table1[[#This Row],[Title]]," ",Table1[[#This Row],[First Name]]," ",Table1[[#This Row],[Last Name]]))</f>
        <v>Mrs Precious Spicer</v>
      </c>
      <c r="H348" t="str">
        <f>SUBSTITUTE(Table1[[#This Row],[Street]],"Road"," Road")</f>
        <v>Tate  Road</v>
      </c>
      <c r="I348" t="str">
        <f>SUBSTITUTE(Table1[[#This Row],[Separate combined words ]],"?","")</f>
        <v>Tate  Road</v>
      </c>
      <c r="J348" t="str">
        <f>TRIM(Table1[[#This Row],[Remove Question Mark "?"]])</f>
        <v>Tate Road</v>
      </c>
      <c r="K348" t="str">
        <f>PROPER(Table1[[#This Row],[Leading, Multiple &amp; Trailing spaces]])</f>
        <v>Tate Road</v>
      </c>
      <c r="L348" t="str">
        <f t="shared" si="5"/>
        <v>Tate Road</v>
      </c>
      <c r="M348" t="s">
        <v>1489</v>
      </c>
    </row>
    <row r="349" spans="1:13" x14ac:dyDescent="0.3">
      <c r="A349">
        <v>346</v>
      </c>
      <c r="B349" t="s">
        <v>1491</v>
      </c>
      <c r="C349" t="s">
        <v>1492</v>
      </c>
      <c r="D349" t="s">
        <v>7</v>
      </c>
      <c r="E349" t="s">
        <v>1493</v>
      </c>
      <c r="F349" t="s">
        <v>1494</v>
      </c>
      <c r="G349" t="str">
        <f xml:space="preserve"> PROPER(_xlfn.CONCAT(Table1[[#This Row],[Title]]," ",Table1[[#This Row],[First Name]]," ",Table1[[#This Row],[Last Name]]))</f>
        <v>Mrs Latasha Terrell</v>
      </c>
      <c r="H349" t="str">
        <f>SUBSTITUTE(Table1[[#This Row],[Street]],"Road"," Road")</f>
        <v>Feather Row</v>
      </c>
      <c r="I349" t="str">
        <f>SUBSTITUTE(Table1[[#This Row],[Separate combined words ]],"?","")</f>
        <v>Feather Row</v>
      </c>
      <c r="J349" t="str">
        <f>TRIM(Table1[[#This Row],[Remove Question Mark "?"]])</f>
        <v>Feather Row</v>
      </c>
      <c r="K349" t="str">
        <f>PROPER(Table1[[#This Row],[Leading, Multiple &amp; Trailing spaces]])</f>
        <v>Feather Row</v>
      </c>
      <c r="L349" t="str">
        <f t="shared" si="5"/>
        <v>Feather Row</v>
      </c>
      <c r="M349" t="s">
        <v>1493</v>
      </c>
    </row>
    <row r="350" spans="1:13" x14ac:dyDescent="0.3">
      <c r="A350">
        <v>347</v>
      </c>
      <c r="B350" t="s">
        <v>1495</v>
      </c>
      <c r="C350" t="s">
        <v>1496</v>
      </c>
      <c r="D350" t="s">
        <v>71</v>
      </c>
      <c r="E350" t="s">
        <v>1497</v>
      </c>
      <c r="F350" t="s">
        <v>698</v>
      </c>
      <c r="G350" t="str">
        <f xml:space="preserve"> PROPER(_xlfn.CONCAT(Table1[[#This Row],[Title]]," ",Table1[[#This Row],[First Name]]," ",Table1[[#This Row],[Last Name]]))</f>
        <v>Ms Maura Marsh</v>
      </c>
      <c r="H350" t="str">
        <f>SUBSTITUTE(Table1[[#This Row],[Street]],"Road"," Road")</f>
        <v>Clarks Row</v>
      </c>
      <c r="I350" t="str">
        <f>SUBSTITUTE(Table1[[#This Row],[Separate combined words ]],"?","")</f>
        <v>Clarks Row</v>
      </c>
      <c r="J350" t="str">
        <f>TRIM(Table1[[#This Row],[Remove Question Mark "?"]])</f>
        <v>Clarks Row</v>
      </c>
      <c r="K350" t="str">
        <f>PROPER(Table1[[#This Row],[Leading, Multiple &amp; Trailing spaces]])</f>
        <v>Clarks Row</v>
      </c>
      <c r="L350" t="str">
        <f t="shared" si="5"/>
        <v>Clarks Row</v>
      </c>
      <c r="M350" t="s">
        <v>1497</v>
      </c>
    </row>
    <row r="351" spans="1:13" x14ac:dyDescent="0.3">
      <c r="A351">
        <v>348</v>
      </c>
      <c r="B351" t="s">
        <v>1498</v>
      </c>
      <c r="C351" t="s">
        <v>1499</v>
      </c>
      <c r="D351" t="s">
        <v>7</v>
      </c>
      <c r="E351" t="s">
        <v>1500</v>
      </c>
      <c r="F351" t="s">
        <v>1501</v>
      </c>
      <c r="G351" t="str">
        <f xml:space="preserve"> PROPER(_xlfn.CONCAT(Table1[[#This Row],[Title]]," ",Table1[[#This Row],[First Name]]," ",Table1[[#This Row],[Last Name]]))</f>
        <v>Mrs Gerda Mckinley</v>
      </c>
      <c r="H351" t="str">
        <f>SUBSTITUTE(Table1[[#This Row],[Street]],"Road"," Road")</f>
        <v>Victors Place</v>
      </c>
      <c r="I351" t="str">
        <f>SUBSTITUTE(Table1[[#This Row],[Separate combined words ]],"?","")</f>
        <v>Victors Place</v>
      </c>
      <c r="J351" t="str">
        <f>TRIM(Table1[[#This Row],[Remove Question Mark "?"]])</f>
        <v>Victors Place</v>
      </c>
      <c r="K351" t="str">
        <f>PROPER(Table1[[#This Row],[Leading, Multiple &amp; Trailing spaces]])</f>
        <v>Victors Place</v>
      </c>
      <c r="L351" t="str">
        <f t="shared" si="5"/>
        <v>Victors Place</v>
      </c>
      <c r="M351" t="s">
        <v>1500</v>
      </c>
    </row>
    <row r="352" spans="1:13" x14ac:dyDescent="0.3">
      <c r="A352">
        <v>349</v>
      </c>
      <c r="B352" t="s">
        <v>1502</v>
      </c>
      <c r="C352" t="s">
        <v>390</v>
      </c>
      <c r="D352" t="s">
        <v>18</v>
      </c>
      <c r="E352" t="s">
        <v>1503</v>
      </c>
      <c r="F352" t="s">
        <v>1504</v>
      </c>
      <c r="G352" t="str">
        <f xml:space="preserve"> PROPER(_xlfn.CONCAT(Table1[[#This Row],[Title]]," ",Table1[[#This Row],[First Name]]," ",Table1[[#This Row],[Last Name]]))</f>
        <v>Miss Marisolm Cain</v>
      </c>
      <c r="H352" t="str">
        <f>SUBSTITUTE(Table1[[#This Row],[Street]],"Road"," Road")</f>
        <v>Fordwych  Road</v>
      </c>
      <c r="I352" t="str">
        <f>SUBSTITUTE(Table1[[#This Row],[Separate combined words ]],"?","")</f>
        <v>Fordwych  Road</v>
      </c>
      <c r="J352" t="str">
        <f>TRIM(Table1[[#This Row],[Remove Question Mark "?"]])</f>
        <v>Fordwych Road</v>
      </c>
      <c r="K352" t="str">
        <f>PROPER(Table1[[#This Row],[Leading, Multiple &amp; Trailing spaces]])</f>
        <v>Fordwych Road</v>
      </c>
      <c r="L352" t="str">
        <f t="shared" si="5"/>
        <v>Fordwych Road</v>
      </c>
      <c r="M352" t="s">
        <v>1503</v>
      </c>
    </row>
    <row r="353" spans="1:13" x14ac:dyDescent="0.3">
      <c r="A353">
        <v>350</v>
      </c>
      <c r="B353" t="s">
        <v>631</v>
      </c>
      <c r="C353" t="s">
        <v>1505</v>
      </c>
      <c r="D353" t="s">
        <v>7</v>
      </c>
      <c r="E353" t="s">
        <v>1506</v>
      </c>
      <c r="F353" t="s">
        <v>1507</v>
      </c>
      <c r="G353" t="str">
        <f xml:space="preserve"> PROPER(_xlfn.CONCAT(Table1[[#This Row],[Title]]," ",Table1[[#This Row],[First Name]]," ",Table1[[#This Row],[Last Name]]))</f>
        <v>Mrs Ileana Fair</v>
      </c>
      <c r="H353" t="str">
        <f>SUBSTITUTE(Table1[[#This Row],[Street]],"Road"," Road")</f>
        <v>Brydges Street</v>
      </c>
      <c r="I353" t="str">
        <f>SUBSTITUTE(Table1[[#This Row],[Separate combined words ]],"?","")</f>
        <v>Brydges Street</v>
      </c>
      <c r="J353" t="str">
        <f>TRIM(Table1[[#This Row],[Remove Question Mark "?"]])</f>
        <v>Brydges Street</v>
      </c>
      <c r="K353" t="str">
        <f>PROPER(Table1[[#This Row],[Leading, Multiple &amp; Trailing spaces]])</f>
        <v>Brydges Street</v>
      </c>
      <c r="L353" t="str">
        <f t="shared" si="5"/>
        <v>Brydges Street</v>
      </c>
      <c r="M353" t="s">
        <v>1506</v>
      </c>
    </row>
    <row r="354" spans="1:13" x14ac:dyDescent="0.3">
      <c r="A354">
        <v>351</v>
      </c>
      <c r="B354" t="s">
        <v>1019</v>
      </c>
      <c r="C354" t="s">
        <v>1508</v>
      </c>
      <c r="D354" t="s">
        <v>71</v>
      </c>
      <c r="E354" t="s">
        <v>1509</v>
      </c>
      <c r="F354" t="s">
        <v>1510</v>
      </c>
      <c r="G354" t="str">
        <f xml:space="preserve"> PROPER(_xlfn.CONCAT(Table1[[#This Row],[Title]]," ",Table1[[#This Row],[First Name]]," ",Table1[[#This Row],[Last Name]]))</f>
        <v>Ms Yolanda Ibarra</v>
      </c>
      <c r="H354" t="str">
        <f>SUBSTITUTE(Table1[[#This Row],[Street]],"Road"," Road")</f>
        <v>Lime Street</v>
      </c>
      <c r="I354" t="str">
        <f>SUBSTITUTE(Table1[[#This Row],[Separate combined words ]],"?","")</f>
        <v>Lime Street</v>
      </c>
      <c r="J354" t="str">
        <f>TRIM(Table1[[#This Row],[Remove Question Mark "?"]])</f>
        <v>Lime Street</v>
      </c>
      <c r="K354" t="str">
        <f>PROPER(Table1[[#This Row],[Leading, Multiple &amp; Trailing spaces]])</f>
        <v>Lime Street</v>
      </c>
      <c r="L354" t="str">
        <f t="shared" si="5"/>
        <v>Lime Street</v>
      </c>
      <c r="M354" t="s">
        <v>1509</v>
      </c>
    </row>
    <row r="355" spans="1:13" x14ac:dyDescent="0.3">
      <c r="A355">
        <v>352</v>
      </c>
      <c r="B355" t="s">
        <v>1511</v>
      </c>
      <c r="C355" t="s">
        <v>1512</v>
      </c>
      <c r="D355" t="s">
        <v>71</v>
      </c>
      <c r="E355" t="s">
        <v>1513</v>
      </c>
      <c r="F355" t="s">
        <v>671</v>
      </c>
      <c r="G355" t="str">
        <f xml:space="preserve"> PROPER(_xlfn.CONCAT(Table1[[#This Row],[Title]]," ",Table1[[#This Row],[First Name]]," ",Table1[[#This Row],[Last Name]]))</f>
        <v>Ms Kacie Colvin</v>
      </c>
      <c r="H355" t="str">
        <f>SUBSTITUTE(Table1[[#This Row],[Street]],"Road"," Road")</f>
        <v>Cobdon Street</v>
      </c>
      <c r="I355" t="str">
        <f>SUBSTITUTE(Table1[[#This Row],[Separate combined words ]],"?","")</f>
        <v>Cobdon Street</v>
      </c>
      <c r="J355" t="str">
        <f>TRIM(Table1[[#This Row],[Remove Question Mark "?"]])</f>
        <v>Cobdon Street</v>
      </c>
      <c r="K355" t="str">
        <f>PROPER(Table1[[#This Row],[Leading, Multiple &amp; Trailing spaces]])</f>
        <v>Cobdon Street</v>
      </c>
      <c r="L355" t="str">
        <f t="shared" si="5"/>
        <v>Cobdon Street</v>
      </c>
      <c r="M355" t="s">
        <v>1513</v>
      </c>
    </row>
    <row r="356" spans="1:13" x14ac:dyDescent="0.3">
      <c r="A356">
        <v>353</v>
      </c>
      <c r="B356" t="s">
        <v>1514</v>
      </c>
      <c r="C356" t="s">
        <v>1515</v>
      </c>
      <c r="D356" t="s">
        <v>7</v>
      </c>
      <c r="E356" t="s">
        <v>1516</v>
      </c>
      <c r="F356" t="s">
        <v>713</v>
      </c>
      <c r="G356" t="str">
        <f xml:space="preserve"> PROPER(_xlfn.CONCAT(Table1[[#This Row],[Title]]," ",Table1[[#This Row],[First Name]]," ",Table1[[#This Row],[Last Name]]))</f>
        <v>Mrs Sang Prater</v>
      </c>
      <c r="H356" t="str">
        <f>SUBSTITUTE(Table1[[#This Row],[Street]],"Road"," Road")</f>
        <v>Fludyer Street</v>
      </c>
      <c r="I356" t="str">
        <f>SUBSTITUTE(Table1[[#This Row],[Separate combined words ]],"?","")</f>
        <v>Fludyer Street</v>
      </c>
      <c r="J356" t="str">
        <f>TRIM(Table1[[#This Row],[Remove Question Mark "?"]])</f>
        <v>Fludyer Street</v>
      </c>
      <c r="K356" t="str">
        <f>PROPER(Table1[[#This Row],[Leading, Multiple &amp; Trailing spaces]])</f>
        <v>Fludyer Street</v>
      </c>
      <c r="L356" t="str">
        <f t="shared" si="5"/>
        <v>Fludyer Street</v>
      </c>
      <c r="M356" t="s">
        <v>1516</v>
      </c>
    </row>
    <row r="357" spans="1:13" x14ac:dyDescent="0.3">
      <c r="A357">
        <v>354</v>
      </c>
      <c r="B357" t="s">
        <v>1391</v>
      </c>
      <c r="C357" t="s">
        <v>1517</v>
      </c>
      <c r="D357" t="s">
        <v>318</v>
      </c>
      <c r="E357" t="s">
        <v>1518</v>
      </c>
      <c r="F357" t="s">
        <v>1519</v>
      </c>
      <c r="G357" t="str">
        <f xml:space="preserve"> PROPER(_xlfn.CONCAT(Table1[[#This Row],[Title]]," ",Table1[[#This Row],[First Name]]," ",Table1[[#This Row],[Last Name]]))</f>
        <v>Dr Charity Bradshaw</v>
      </c>
      <c r="H357" t="str">
        <f>SUBSTITUTE(Table1[[#This Row],[Street]],"Road"," Road")</f>
        <v>Sailors Home</v>
      </c>
      <c r="I357" t="str">
        <f>SUBSTITUTE(Table1[[#This Row],[Separate combined words ]],"?","")</f>
        <v>Sailors Home</v>
      </c>
      <c r="J357" t="str">
        <f>TRIM(Table1[[#This Row],[Remove Question Mark "?"]])</f>
        <v>Sailors Home</v>
      </c>
      <c r="K357" t="str">
        <f>PROPER(Table1[[#This Row],[Leading, Multiple &amp; Trailing spaces]])</f>
        <v>Sailors Home</v>
      </c>
      <c r="L357" t="str">
        <f t="shared" si="5"/>
        <v>Sailors Home</v>
      </c>
      <c r="M357" t="s">
        <v>1518</v>
      </c>
    </row>
    <row r="358" spans="1:13" x14ac:dyDescent="0.3">
      <c r="A358">
        <v>355</v>
      </c>
      <c r="B358" t="s">
        <v>1520</v>
      </c>
      <c r="C358" t="s">
        <v>1521</v>
      </c>
      <c r="D358" t="s">
        <v>18</v>
      </c>
      <c r="E358" t="s">
        <v>1522</v>
      </c>
      <c r="F358" t="s">
        <v>45</v>
      </c>
      <c r="G358" t="str">
        <f xml:space="preserve"> PROPER(_xlfn.CONCAT(Table1[[#This Row],[Title]]," ",Table1[[#This Row],[First Name]]," ",Table1[[#This Row],[Last Name]]))</f>
        <v>Miss Mark Sargent</v>
      </c>
      <c r="H358" t="str">
        <f>SUBSTITUTE(Table1[[#This Row],[Street]],"Road"," Road")</f>
        <v>Leopold Street</v>
      </c>
      <c r="I358" t="str">
        <f>SUBSTITUTE(Table1[[#This Row],[Separate combined words ]],"?","")</f>
        <v>Leopold Street</v>
      </c>
      <c r="J358" t="str">
        <f>TRIM(Table1[[#This Row],[Remove Question Mark "?"]])</f>
        <v>Leopold Street</v>
      </c>
      <c r="K358" t="str">
        <f>PROPER(Table1[[#This Row],[Leading, Multiple &amp; Trailing spaces]])</f>
        <v>Leopold Street</v>
      </c>
      <c r="L358" t="str">
        <f t="shared" si="5"/>
        <v>Leopold Street</v>
      </c>
      <c r="M358" t="s">
        <v>1522</v>
      </c>
    </row>
    <row r="359" spans="1:13" x14ac:dyDescent="0.3">
      <c r="A359">
        <v>356</v>
      </c>
      <c r="B359" t="s">
        <v>1523</v>
      </c>
      <c r="C359" t="s">
        <v>207</v>
      </c>
      <c r="D359" t="s">
        <v>18</v>
      </c>
      <c r="E359" t="s">
        <v>1524</v>
      </c>
      <c r="F359" t="s">
        <v>1525</v>
      </c>
      <c r="G359" t="str">
        <f xml:space="preserve"> PROPER(_xlfn.CONCAT(Table1[[#This Row],[Title]]," ",Table1[[#This Row],[First Name]]," ",Table1[[#This Row],[Last Name]]))</f>
        <v>Miss Shellie Flores</v>
      </c>
      <c r="H359" t="str">
        <f>SUBSTITUTE(Table1[[#This Row],[Street]],"Road"," Road")</f>
        <v>Tyrawley  Road</v>
      </c>
      <c r="I359" t="str">
        <f>SUBSTITUTE(Table1[[#This Row],[Separate combined words ]],"?","")</f>
        <v>Tyrawley  Road</v>
      </c>
      <c r="J359" t="str">
        <f>TRIM(Table1[[#This Row],[Remove Question Mark "?"]])</f>
        <v>Tyrawley Road</v>
      </c>
      <c r="K359" t="str">
        <f>PROPER(Table1[[#This Row],[Leading, Multiple &amp; Trailing spaces]])</f>
        <v>Tyrawley Road</v>
      </c>
      <c r="L359" t="str">
        <f t="shared" si="5"/>
        <v>Tyrawley Road</v>
      </c>
      <c r="M359" t="s">
        <v>1524</v>
      </c>
    </row>
    <row r="360" spans="1:13" x14ac:dyDescent="0.3">
      <c r="A360">
        <v>357</v>
      </c>
      <c r="B360" t="s">
        <v>710</v>
      </c>
      <c r="C360" t="s">
        <v>1526</v>
      </c>
      <c r="D360" t="s">
        <v>7</v>
      </c>
      <c r="E360" t="s">
        <v>1527</v>
      </c>
      <c r="F360" t="s">
        <v>1135</v>
      </c>
      <c r="G360" t="str">
        <f xml:space="preserve"> PROPER(_xlfn.CONCAT(Table1[[#This Row],[Title]]," ",Table1[[#This Row],[First Name]]," ",Table1[[#This Row],[Last Name]]))</f>
        <v>Mrs Danna Stanley</v>
      </c>
      <c r="H360" t="str">
        <f>SUBSTITUTE(Table1[[#This Row],[Street]],"Road"," Road")</f>
        <v>Falcon Place</v>
      </c>
      <c r="I360" t="str">
        <f>SUBSTITUTE(Table1[[#This Row],[Separate combined words ]],"?","")</f>
        <v>Falcon Place</v>
      </c>
      <c r="J360" t="str">
        <f>TRIM(Table1[[#This Row],[Remove Question Mark "?"]])</f>
        <v>Falcon Place</v>
      </c>
      <c r="K360" t="str">
        <f>PROPER(Table1[[#This Row],[Leading, Multiple &amp; Trailing spaces]])</f>
        <v>Falcon Place</v>
      </c>
      <c r="L360" t="str">
        <f t="shared" si="5"/>
        <v>Falcon Place</v>
      </c>
      <c r="M360" t="s">
        <v>1527</v>
      </c>
    </row>
    <row r="361" spans="1:13" x14ac:dyDescent="0.3">
      <c r="A361">
        <v>358</v>
      </c>
      <c r="B361" t="s">
        <v>1528</v>
      </c>
      <c r="C361" t="s">
        <v>1529</v>
      </c>
      <c r="D361" t="s">
        <v>18</v>
      </c>
      <c r="E361" t="s">
        <v>1530</v>
      </c>
      <c r="F361" t="s">
        <v>1531</v>
      </c>
      <c r="G361" t="str">
        <f xml:space="preserve"> PROPER(_xlfn.CONCAT(Table1[[#This Row],[Title]]," ",Table1[[#This Row],[First Name]]," ",Table1[[#This Row],[Last Name]]))</f>
        <v>Miss Wesley Owens</v>
      </c>
      <c r="H361" t="str">
        <f>SUBSTITUTE(Table1[[#This Row],[Street]],"Road"," Road")</f>
        <v>Gentry Gardens</v>
      </c>
      <c r="I361" t="str">
        <f>SUBSTITUTE(Table1[[#This Row],[Separate combined words ]],"?","")</f>
        <v>Gentry Gardens</v>
      </c>
      <c r="J361" t="str">
        <f>TRIM(Table1[[#This Row],[Remove Question Mark "?"]])</f>
        <v>Gentry Gardens</v>
      </c>
      <c r="K361" t="str">
        <f>PROPER(Table1[[#This Row],[Leading, Multiple &amp; Trailing spaces]])</f>
        <v>Gentry Gardens</v>
      </c>
      <c r="L361" t="str">
        <f t="shared" si="5"/>
        <v>Gentry Gardens</v>
      </c>
      <c r="M361" t="s">
        <v>1530</v>
      </c>
    </row>
    <row r="362" spans="1:13" x14ac:dyDescent="0.3">
      <c r="A362">
        <v>359</v>
      </c>
      <c r="B362" t="s">
        <v>573</v>
      </c>
      <c r="C362" t="s">
        <v>1532</v>
      </c>
      <c r="D362" t="s">
        <v>7</v>
      </c>
      <c r="E362" t="s">
        <v>1533</v>
      </c>
      <c r="F362" t="s">
        <v>1534</v>
      </c>
      <c r="G362" t="str">
        <f xml:space="preserve"> PROPER(_xlfn.CONCAT(Table1[[#This Row],[Title]]," ",Table1[[#This Row],[First Name]]," ",Table1[[#This Row],[Last Name]]))</f>
        <v>Mrs Janie Quintana</v>
      </c>
      <c r="H362" t="str">
        <f>SUBSTITUTE(Table1[[#This Row],[Street]],"Road"," Road")</f>
        <v>Redcross Square</v>
      </c>
      <c r="I362" t="str">
        <f>SUBSTITUTE(Table1[[#This Row],[Separate combined words ]],"?","")</f>
        <v>Redcross Square</v>
      </c>
      <c r="J362" t="str">
        <f>TRIM(Table1[[#This Row],[Remove Question Mark "?"]])</f>
        <v>Redcross Square</v>
      </c>
      <c r="K362" t="str">
        <f>PROPER(Table1[[#This Row],[Leading, Multiple &amp; Trailing spaces]])</f>
        <v>Redcross Square</v>
      </c>
      <c r="L362" t="str">
        <f t="shared" si="5"/>
        <v>Redcross Square</v>
      </c>
      <c r="M362" t="s">
        <v>1533</v>
      </c>
    </row>
    <row r="363" spans="1:13" x14ac:dyDescent="0.3">
      <c r="A363">
        <v>360</v>
      </c>
      <c r="B363" t="s">
        <v>1535</v>
      </c>
      <c r="C363" t="s">
        <v>1536</v>
      </c>
      <c r="D363" t="s">
        <v>18</v>
      </c>
      <c r="E363" t="s">
        <v>1537</v>
      </c>
      <c r="F363" t="s">
        <v>1538</v>
      </c>
      <c r="G363" t="str">
        <f xml:space="preserve"> PROPER(_xlfn.CONCAT(Table1[[#This Row],[Title]]," ",Table1[[#This Row],[First Name]]," ",Table1[[#This Row],[Last Name]]))</f>
        <v>Miss Leilani Hoffman</v>
      </c>
      <c r="H363" t="str">
        <f>SUBSTITUTE(Table1[[#This Row],[Street]],"Road"," Road")</f>
        <v>Chapel Side</v>
      </c>
      <c r="I363" t="str">
        <f>SUBSTITUTE(Table1[[#This Row],[Separate combined words ]],"?","")</f>
        <v>Chapel Side</v>
      </c>
      <c r="J363" t="str">
        <f>TRIM(Table1[[#This Row],[Remove Question Mark "?"]])</f>
        <v>Chapel Side</v>
      </c>
      <c r="K363" t="str">
        <f>PROPER(Table1[[#This Row],[Leading, Multiple &amp; Trailing spaces]])</f>
        <v>Chapel Side</v>
      </c>
      <c r="L363" t="str">
        <f t="shared" si="5"/>
        <v>Chapel Side</v>
      </c>
      <c r="M363" t="s">
        <v>1537</v>
      </c>
    </row>
    <row r="364" spans="1:13" x14ac:dyDescent="0.3">
      <c r="A364">
        <v>361</v>
      </c>
      <c r="B364" t="s">
        <v>1539</v>
      </c>
      <c r="C364" t="s">
        <v>1540</v>
      </c>
      <c r="D364" t="s">
        <v>7</v>
      </c>
      <c r="E364" t="s">
        <v>1541</v>
      </c>
      <c r="F364" t="s">
        <v>1542</v>
      </c>
      <c r="G364" t="str">
        <f xml:space="preserve"> PROPER(_xlfn.CONCAT(Table1[[#This Row],[Title]]," ",Table1[[#This Row],[First Name]]," ",Table1[[#This Row],[Last Name]]))</f>
        <v>Mrs Janee Bruner</v>
      </c>
      <c r="H364" t="str">
        <f>SUBSTITUTE(Table1[[#This Row],[Street]],"Road"," Road")</f>
        <v>Ferrestone  Road</v>
      </c>
      <c r="I364" t="str">
        <f>SUBSTITUTE(Table1[[#This Row],[Separate combined words ]],"?","")</f>
        <v>Ferrestone  Road</v>
      </c>
      <c r="J364" t="str">
        <f>TRIM(Table1[[#This Row],[Remove Question Mark "?"]])</f>
        <v>Ferrestone Road</v>
      </c>
      <c r="K364" t="str">
        <f>PROPER(Table1[[#This Row],[Leading, Multiple &amp; Trailing spaces]])</f>
        <v>Ferrestone Road</v>
      </c>
      <c r="L364" t="str">
        <f t="shared" si="5"/>
        <v>Ferrestone Road</v>
      </c>
      <c r="M364" t="s">
        <v>1541</v>
      </c>
    </row>
    <row r="365" spans="1:13" x14ac:dyDescent="0.3">
      <c r="A365">
        <v>362</v>
      </c>
      <c r="B365" t="s">
        <v>1543</v>
      </c>
      <c r="C365" t="s">
        <v>1544</v>
      </c>
      <c r="D365" t="s">
        <v>7</v>
      </c>
      <c r="E365" t="s">
        <v>1545</v>
      </c>
      <c r="F365" t="s">
        <v>595</v>
      </c>
      <c r="G365" t="str">
        <f xml:space="preserve"> PROPER(_xlfn.CONCAT(Table1[[#This Row],[Title]]," ",Table1[[#This Row],[First Name]]," ",Table1[[#This Row],[Last Name]]))</f>
        <v>Mrs Luciana Grayson</v>
      </c>
      <c r="H365" t="str">
        <f>SUBSTITUTE(Table1[[#This Row],[Street]],"Road"," Road")</f>
        <v>Hawthorne Street</v>
      </c>
      <c r="I365" t="str">
        <f>SUBSTITUTE(Table1[[#This Row],[Separate combined words ]],"?","")</f>
        <v>Hawthorne Street</v>
      </c>
      <c r="J365" t="str">
        <f>TRIM(Table1[[#This Row],[Remove Question Mark "?"]])</f>
        <v>Hawthorne Street</v>
      </c>
      <c r="K365" t="str">
        <f>PROPER(Table1[[#This Row],[Leading, Multiple &amp; Trailing spaces]])</f>
        <v>Hawthorne Street</v>
      </c>
      <c r="L365" t="str">
        <f t="shared" si="5"/>
        <v>Hawthorne Street</v>
      </c>
      <c r="M365" t="s">
        <v>1545</v>
      </c>
    </row>
    <row r="366" spans="1:13" x14ac:dyDescent="0.3">
      <c r="A366">
        <v>363</v>
      </c>
      <c r="B366" t="s">
        <v>659</v>
      </c>
      <c r="C366" t="s">
        <v>1546</v>
      </c>
      <c r="D366" t="s">
        <v>18</v>
      </c>
      <c r="E366" t="s">
        <v>1547</v>
      </c>
      <c r="F366" t="s">
        <v>1548</v>
      </c>
      <c r="G366" t="str">
        <f xml:space="preserve"> PROPER(_xlfn.CONCAT(Table1[[#This Row],[Title]]," ",Table1[[#This Row],[First Name]]," ",Table1[[#This Row],[Last Name]]))</f>
        <v>Miss Elise Porter</v>
      </c>
      <c r="H366" t="str">
        <f>SUBSTITUTE(Table1[[#This Row],[Street]],"Road"," Road")</f>
        <v>Basinghall Avenue</v>
      </c>
      <c r="I366" t="str">
        <f>SUBSTITUTE(Table1[[#This Row],[Separate combined words ]],"?","")</f>
        <v>Basinghall Avenue</v>
      </c>
      <c r="J366" t="str">
        <f>TRIM(Table1[[#This Row],[Remove Question Mark "?"]])</f>
        <v>Basinghall Avenue</v>
      </c>
      <c r="K366" t="str">
        <f>PROPER(Table1[[#This Row],[Leading, Multiple &amp; Trailing spaces]])</f>
        <v>Basinghall Avenue</v>
      </c>
      <c r="L366" t="str">
        <f t="shared" si="5"/>
        <v>Basinghall Avenue</v>
      </c>
      <c r="M366" t="s">
        <v>1547</v>
      </c>
    </row>
    <row r="367" spans="1:13" x14ac:dyDescent="0.3">
      <c r="A367">
        <v>364</v>
      </c>
      <c r="B367" t="s">
        <v>1549</v>
      </c>
      <c r="C367" t="s">
        <v>1550</v>
      </c>
      <c r="D367" t="s">
        <v>7</v>
      </c>
      <c r="E367" t="s">
        <v>1551</v>
      </c>
      <c r="F367" t="s">
        <v>451</v>
      </c>
      <c r="G367" t="str">
        <f xml:space="preserve"> PROPER(_xlfn.CONCAT(Table1[[#This Row],[Title]]," ",Table1[[#This Row],[First Name]]," ",Table1[[#This Row],[Last Name]]))</f>
        <v>Mrs Barbara Williamson</v>
      </c>
      <c r="H367" t="str">
        <f>SUBSTITUTE(Table1[[#This Row],[Street]],"Road"," Road")</f>
        <v>Featherstone Street</v>
      </c>
      <c r="I367" t="str">
        <f>SUBSTITUTE(Table1[[#This Row],[Separate combined words ]],"?","")</f>
        <v>Featherstone Street</v>
      </c>
      <c r="J367" t="str">
        <f>TRIM(Table1[[#This Row],[Remove Question Mark "?"]])</f>
        <v>Featherstone Street</v>
      </c>
      <c r="K367" t="str">
        <f>PROPER(Table1[[#This Row],[Leading, Multiple &amp; Trailing spaces]])</f>
        <v>Featherstone Street</v>
      </c>
      <c r="L367" t="str">
        <f t="shared" si="5"/>
        <v>Featherstone Street</v>
      </c>
      <c r="M367" t="s">
        <v>1551</v>
      </c>
    </row>
    <row r="368" spans="1:13" x14ac:dyDescent="0.3">
      <c r="A368">
        <v>365</v>
      </c>
      <c r="B368" t="s">
        <v>1552</v>
      </c>
      <c r="C368" t="s">
        <v>535</v>
      </c>
      <c r="D368" t="s">
        <v>18</v>
      </c>
      <c r="E368" t="s">
        <v>1553</v>
      </c>
      <c r="F368" t="s">
        <v>619</v>
      </c>
      <c r="G368" t="str">
        <f xml:space="preserve"> PROPER(_xlfn.CONCAT(Table1[[#This Row],[Title]]," ",Table1[[#This Row],[First Name]]," ",Table1[[#This Row],[Last Name]]))</f>
        <v>Miss Rocio Gibbons</v>
      </c>
      <c r="H368" t="str">
        <f>SUBSTITUTE(Table1[[#This Row],[Street]],"Road"," Road")</f>
        <v>Jersey  Road</v>
      </c>
      <c r="I368" t="str">
        <f>SUBSTITUTE(Table1[[#This Row],[Separate combined words ]],"?","")</f>
        <v>Jersey  Road</v>
      </c>
      <c r="J368" t="str">
        <f>TRIM(Table1[[#This Row],[Remove Question Mark "?"]])</f>
        <v>Jersey Road</v>
      </c>
      <c r="K368" t="str">
        <f>PROPER(Table1[[#This Row],[Leading, Multiple &amp; Trailing spaces]])</f>
        <v>Jersey Road</v>
      </c>
      <c r="L368" t="str">
        <f t="shared" si="5"/>
        <v>Jersey Road</v>
      </c>
      <c r="M368" t="s">
        <v>1553</v>
      </c>
    </row>
    <row r="369" spans="1:13" x14ac:dyDescent="0.3">
      <c r="A369">
        <v>366</v>
      </c>
      <c r="B369" t="s">
        <v>249</v>
      </c>
      <c r="C369" t="s">
        <v>1554</v>
      </c>
      <c r="D369" t="s">
        <v>7</v>
      </c>
      <c r="E369" t="s">
        <v>1555</v>
      </c>
      <c r="F369" t="s">
        <v>1556</v>
      </c>
      <c r="G369" t="str">
        <f xml:space="preserve"> PROPER(_xlfn.CONCAT(Table1[[#This Row],[Title]]," ",Table1[[#This Row],[First Name]]," ",Table1[[#This Row],[Last Name]]))</f>
        <v>Mrs Jeanetta Krause</v>
      </c>
      <c r="H369" t="str">
        <f>SUBSTITUTE(Table1[[#This Row],[Street]],"Road"," Road")</f>
        <v>Ida Street</v>
      </c>
      <c r="I369" t="str">
        <f>SUBSTITUTE(Table1[[#This Row],[Separate combined words ]],"?","")</f>
        <v>Ida Street</v>
      </c>
      <c r="J369" t="str">
        <f>TRIM(Table1[[#This Row],[Remove Question Mark "?"]])</f>
        <v>Ida Street</v>
      </c>
      <c r="K369" t="str">
        <f>PROPER(Table1[[#This Row],[Leading, Multiple &amp; Trailing spaces]])</f>
        <v>Ida Street</v>
      </c>
      <c r="L369" t="str">
        <f t="shared" si="5"/>
        <v>Ida Street</v>
      </c>
      <c r="M369" t="s">
        <v>1555</v>
      </c>
    </row>
    <row r="370" spans="1:13" x14ac:dyDescent="0.3">
      <c r="A370">
        <v>367</v>
      </c>
      <c r="B370" t="s">
        <v>1557</v>
      </c>
      <c r="C370" t="s">
        <v>1558</v>
      </c>
      <c r="D370" t="s">
        <v>7</v>
      </c>
      <c r="E370" t="s">
        <v>1559</v>
      </c>
      <c r="F370" t="s">
        <v>1560</v>
      </c>
      <c r="G370" t="str">
        <f xml:space="preserve"> PROPER(_xlfn.CONCAT(Table1[[#This Row],[Title]]," ",Table1[[#This Row],[First Name]]," ",Table1[[#This Row],[Last Name]]))</f>
        <v>Mrs Cindi Guidry</v>
      </c>
      <c r="H370" t="str">
        <f>SUBSTITUTE(Table1[[#This Row],[Street]],"Road"," Road")</f>
        <v>Cleveland Grove</v>
      </c>
      <c r="I370" t="str">
        <f>SUBSTITUTE(Table1[[#This Row],[Separate combined words ]],"?","")</f>
        <v>Cleveland Grove</v>
      </c>
      <c r="J370" t="str">
        <f>TRIM(Table1[[#This Row],[Remove Question Mark "?"]])</f>
        <v>Cleveland Grove</v>
      </c>
      <c r="K370" t="str">
        <f>PROPER(Table1[[#This Row],[Leading, Multiple &amp; Trailing spaces]])</f>
        <v>Cleveland Grove</v>
      </c>
      <c r="L370" t="str">
        <f t="shared" si="5"/>
        <v>Cleveland Grove</v>
      </c>
      <c r="M370" t="s">
        <v>1559</v>
      </c>
    </row>
    <row r="371" spans="1:13" x14ac:dyDescent="0.3">
      <c r="A371">
        <v>368</v>
      </c>
      <c r="B371" t="s">
        <v>135</v>
      </c>
      <c r="C371" t="s">
        <v>1561</v>
      </c>
      <c r="D371" t="s">
        <v>18</v>
      </c>
      <c r="E371" t="s">
        <v>1562</v>
      </c>
      <c r="F371" t="s">
        <v>690</v>
      </c>
      <c r="G371" t="str">
        <f xml:space="preserve"> PROPER(_xlfn.CONCAT(Table1[[#This Row],[Title]]," ",Table1[[#This Row],[First Name]]," ",Table1[[#This Row],[Last Name]]))</f>
        <v>Miss Margot Nguyen</v>
      </c>
      <c r="H371" t="str">
        <f>SUBSTITUTE(Table1[[#This Row],[Street]],"Road"," Road")</f>
        <v>Hannah Close</v>
      </c>
      <c r="I371" t="str">
        <f>SUBSTITUTE(Table1[[#This Row],[Separate combined words ]],"?","")</f>
        <v>Hannah Close</v>
      </c>
      <c r="J371" t="str">
        <f>TRIM(Table1[[#This Row],[Remove Question Mark "?"]])</f>
        <v>Hannah Close</v>
      </c>
      <c r="K371" t="str">
        <f>PROPER(Table1[[#This Row],[Leading, Multiple &amp; Trailing spaces]])</f>
        <v>Hannah Close</v>
      </c>
      <c r="L371" t="str">
        <f t="shared" si="5"/>
        <v>Hannah Close</v>
      </c>
      <c r="M371" t="s">
        <v>1562</v>
      </c>
    </row>
    <row r="372" spans="1:13" x14ac:dyDescent="0.3">
      <c r="A372">
        <v>369</v>
      </c>
      <c r="B372" t="s">
        <v>1563</v>
      </c>
      <c r="C372" t="s">
        <v>1564</v>
      </c>
      <c r="D372" t="s">
        <v>7</v>
      </c>
      <c r="E372" t="s">
        <v>1565</v>
      </c>
      <c r="F372" t="s">
        <v>1566</v>
      </c>
      <c r="G372" t="str">
        <f xml:space="preserve"> PROPER(_xlfn.CONCAT(Table1[[#This Row],[Title]]," ",Table1[[#This Row],[First Name]]," ",Table1[[#This Row],[Last Name]]))</f>
        <v>Mrs Tarra Cody</v>
      </c>
      <c r="H372" t="str">
        <f>SUBSTITUTE(Table1[[#This Row],[Street]],"Road"," Road")</f>
        <v>Iris Place</v>
      </c>
      <c r="I372" t="str">
        <f>SUBSTITUTE(Table1[[#This Row],[Separate combined words ]],"?","")</f>
        <v>Iris Place</v>
      </c>
      <c r="J372" t="str">
        <f>TRIM(Table1[[#This Row],[Remove Question Mark "?"]])</f>
        <v>Iris Place</v>
      </c>
      <c r="K372" t="str">
        <f>PROPER(Table1[[#This Row],[Leading, Multiple &amp; Trailing spaces]])</f>
        <v>Iris Place</v>
      </c>
      <c r="L372" t="str">
        <f t="shared" si="5"/>
        <v>Iris Place</v>
      </c>
      <c r="M372" t="s">
        <v>1565</v>
      </c>
    </row>
    <row r="373" spans="1:13" x14ac:dyDescent="0.3">
      <c r="A373">
        <v>370</v>
      </c>
      <c r="B373" t="s">
        <v>1567</v>
      </c>
      <c r="C373" t="s">
        <v>689</v>
      </c>
      <c r="D373" t="s">
        <v>7</v>
      </c>
      <c r="E373" t="s">
        <v>1568</v>
      </c>
      <c r="F373" t="s">
        <v>95</v>
      </c>
      <c r="G373" t="str">
        <f xml:space="preserve"> PROPER(_xlfn.CONCAT(Table1[[#This Row],[Title]]," ",Table1[[#This Row],[First Name]]," ",Table1[[#This Row],[Last Name]]))</f>
        <v>Mrs Sanjuana William</v>
      </c>
      <c r="H373" t="str">
        <f>SUBSTITUTE(Table1[[#This Row],[Street]],"Road"," Road")</f>
        <v>Highland Avenue</v>
      </c>
      <c r="I373" t="str">
        <f>SUBSTITUTE(Table1[[#This Row],[Separate combined words ]],"?","")</f>
        <v>Highland Avenue</v>
      </c>
      <c r="J373" t="str">
        <f>TRIM(Table1[[#This Row],[Remove Question Mark "?"]])</f>
        <v>Highland Avenue</v>
      </c>
      <c r="K373" t="str">
        <f>PROPER(Table1[[#This Row],[Leading, Multiple &amp; Trailing spaces]])</f>
        <v>Highland Avenue</v>
      </c>
      <c r="L373" t="str">
        <f t="shared" si="5"/>
        <v>Highland Avenue</v>
      </c>
      <c r="M373" t="s">
        <v>1568</v>
      </c>
    </row>
    <row r="374" spans="1:13" x14ac:dyDescent="0.3">
      <c r="A374">
        <v>371</v>
      </c>
      <c r="B374" t="s">
        <v>1569</v>
      </c>
      <c r="C374" t="s">
        <v>390</v>
      </c>
      <c r="D374" t="s">
        <v>7</v>
      </c>
      <c r="E374" t="s">
        <v>1570</v>
      </c>
      <c r="F374" t="s">
        <v>1571</v>
      </c>
      <c r="G374" t="str">
        <f xml:space="preserve"> PROPER(_xlfn.CONCAT(Table1[[#This Row],[Title]]," ",Table1[[#This Row],[First Name]]," ",Table1[[#This Row],[Last Name]]))</f>
        <v>Mrs Verdie Cain</v>
      </c>
      <c r="H374" t="str">
        <f>SUBSTITUTE(Table1[[#This Row],[Street]],"Road"," Road")</f>
        <v>Como  Road</v>
      </c>
      <c r="I374" t="str">
        <f>SUBSTITUTE(Table1[[#This Row],[Separate combined words ]],"?","")</f>
        <v>Como  Road</v>
      </c>
      <c r="J374" t="str">
        <f>TRIM(Table1[[#This Row],[Remove Question Mark "?"]])</f>
        <v>Como Road</v>
      </c>
      <c r="K374" t="str">
        <f>PROPER(Table1[[#This Row],[Leading, Multiple &amp; Trailing spaces]])</f>
        <v>Como Road</v>
      </c>
      <c r="L374" t="str">
        <f t="shared" si="5"/>
        <v>Como Road</v>
      </c>
      <c r="M374" t="s">
        <v>1570</v>
      </c>
    </row>
    <row r="375" spans="1:13" x14ac:dyDescent="0.3">
      <c r="A375">
        <v>372</v>
      </c>
      <c r="B375" t="s">
        <v>1572</v>
      </c>
      <c r="C375" t="s">
        <v>1573</v>
      </c>
      <c r="D375" t="s">
        <v>71</v>
      </c>
      <c r="E375" t="s">
        <v>1574</v>
      </c>
      <c r="F375" t="s">
        <v>1575</v>
      </c>
      <c r="G375" t="str">
        <f xml:space="preserve"> PROPER(_xlfn.CONCAT(Table1[[#This Row],[Title]]," ",Table1[[#This Row],[First Name]]," ",Table1[[#This Row],[Last Name]]))</f>
        <v>Ms Karie Rivera</v>
      </c>
      <c r="H375" t="str">
        <f>SUBSTITUTE(Table1[[#This Row],[Street]],"Road"," Road")</f>
        <v>Oldfield  Road</v>
      </c>
      <c r="I375" t="str">
        <f>SUBSTITUTE(Table1[[#This Row],[Separate combined words ]],"?","")</f>
        <v>Oldfield  Road</v>
      </c>
      <c r="J375" t="str">
        <f>TRIM(Table1[[#This Row],[Remove Question Mark "?"]])</f>
        <v>Oldfield Road</v>
      </c>
      <c r="K375" t="str">
        <f>PROPER(Table1[[#This Row],[Leading, Multiple &amp; Trailing spaces]])</f>
        <v>Oldfield Road</v>
      </c>
      <c r="L375" t="str">
        <f t="shared" si="5"/>
        <v>Oldfield Road</v>
      </c>
      <c r="M375" t="s">
        <v>1574</v>
      </c>
    </row>
    <row r="376" spans="1:13" x14ac:dyDescent="0.3">
      <c r="A376">
        <v>373</v>
      </c>
      <c r="B376" t="s">
        <v>1576</v>
      </c>
      <c r="C376" t="s">
        <v>1343</v>
      </c>
      <c r="D376" t="s">
        <v>7</v>
      </c>
      <c r="E376" t="s">
        <v>1577</v>
      </c>
      <c r="F376" t="s">
        <v>850</v>
      </c>
      <c r="G376" t="str">
        <f xml:space="preserve"> PROPER(_xlfn.CONCAT(Table1[[#This Row],[Title]]," ",Table1[[#This Row],[First Name]]," ",Table1[[#This Row],[Last Name]]))</f>
        <v>Mrs An Harmon</v>
      </c>
      <c r="H376" t="str">
        <f>SUBSTITUTE(Table1[[#This Row],[Street]],"Road"," Road")</f>
        <v>Bishopsgate</v>
      </c>
      <c r="I376" t="str">
        <f>SUBSTITUTE(Table1[[#This Row],[Separate combined words ]],"?","")</f>
        <v>Bishopsgate</v>
      </c>
      <c r="J376" t="str">
        <f>TRIM(Table1[[#This Row],[Remove Question Mark "?"]])</f>
        <v>Bishopsgate</v>
      </c>
      <c r="K376" t="str">
        <f>PROPER(Table1[[#This Row],[Leading, Multiple &amp; Trailing spaces]])</f>
        <v>Bishopsgate</v>
      </c>
      <c r="L376" t="str">
        <f t="shared" si="5"/>
        <v>Bishopsgate</v>
      </c>
      <c r="M376" t="s">
        <v>1577</v>
      </c>
    </row>
    <row r="377" spans="1:13" x14ac:dyDescent="0.3">
      <c r="A377">
        <v>374</v>
      </c>
      <c r="B377" t="s">
        <v>107</v>
      </c>
      <c r="C377" t="s">
        <v>1528</v>
      </c>
      <c r="D377" t="s">
        <v>7</v>
      </c>
      <c r="E377" t="s">
        <v>1578</v>
      </c>
      <c r="F377" t="s">
        <v>1579</v>
      </c>
      <c r="G377" t="str">
        <f xml:space="preserve"> PROPER(_xlfn.CONCAT(Table1[[#This Row],[Title]]," ",Table1[[#This Row],[First Name]]," ",Table1[[#This Row],[Last Name]]))</f>
        <v>Mrs Molly Wesley</v>
      </c>
      <c r="H377" t="str">
        <f>SUBSTITUTE(Table1[[#This Row],[Street]],"Road"," Road")</f>
        <v>Darwin  Road</v>
      </c>
      <c r="I377" t="str">
        <f>SUBSTITUTE(Table1[[#This Row],[Separate combined words ]],"?","")</f>
        <v>Darwin  Road</v>
      </c>
      <c r="J377" t="str">
        <f>TRIM(Table1[[#This Row],[Remove Question Mark "?"]])</f>
        <v>Darwin Road</v>
      </c>
      <c r="K377" t="str">
        <f>PROPER(Table1[[#This Row],[Leading, Multiple &amp; Trailing spaces]])</f>
        <v>Darwin Road</v>
      </c>
      <c r="L377" t="str">
        <f t="shared" si="5"/>
        <v>Darwin Road</v>
      </c>
      <c r="M377" t="s">
        <v>1578</v>
      </c>
    </row>
    <row r="378" spans="1:13" x14ac:dyDescent="0.3">
      <c r="A378">
        <v>375</v>
      </c>
      <c r="B378" t="s">
        <v>1580</v>
      </c>
      <c r="C378" t="s">
        <v>1581</v>
      </c>
      <c r="D378" t="s">
        <v>7</v>
      </c>
      <c r="E378" t="s">
        <v>1582</v>
      </c>
      <c r="F378" t="s">
        <v>1583</v>
      </c>
      <c r="G378" t="str">
        <f xml:space="preserve"> PROPER(_xlfn.CONCAT(Table1[[#This Row],[Title]]," ",Table1[[#This Row],[First Name]]," ",Table1[[#This Row],[Last Name]]))</f>
        <v>Mrs Marlana Wilkinson</v>
      </c>
      <c r="H378" t="str">
        <f>SUBSTITUTE(Table1[[#This Row],[Street]],"Road"," Road")</f>
        <v>Woodfield Lane</v>
      </c>
      <c r="I378" t="str">
        <f>SUBSTITUTE(Table1[[#This Row],[Separate combined words ]],"?","")</f>
        <v>Woodfield Lane</v>
      </c>
      <c r="J378" t="str">
        <f>TRIM(Table1[[#This Row],[Remove Question Mark "?"]])</f>
        <v>Woodfield Lane</v>
      </c>
      <c r="K378" t="str">
        <f>PROPER(Table1[[#This Row],[Leading, Multiple &amp; Trailing spaces]])</f>
        <v>Woodfield Lane</v>
      </c>
      <c r="L378" t="str">
        <f t="shared" si="5"/>
        <v>Woodfield Lane</v>
      </c>
      <c r="M378" t="s">
        <v>1582</v>
      </c>
    </row>
    <row r="379" spans="1:13" x14ac:dyDescent="0.3">
      <c r="A379">
        <v>376</v>
      </c>
      <c r="B379" t="s">
        <v>1584</v>
      </c>
      <c r="C379" t="s">
        <v>997</v>
      </c>
      <c r="D379" t="s">
        <v>7</v>
      </c>
      <c r="E379" t="s">
        <v>1585</v>
      </c>
      <c r="F379" t="s">
        <v>277</v>
      </c>
      <c r="G379" t="str">
        <f xml:space="preserve"> PROPER(_xlfn.CONCAT(Table1[[#This Row],[Title]]," ",Table1[[#This Row],[First Name]]," ",Table1[[#This Row],[Last Name]]))</f>
        <v>Mrs Maire Irwin</v>
      </c>
      <c r="H379" t="str">
        <f>SUBSTITUTE(Table1[[#This Row],[Street]],"Road"," Road")</f>
        <v>Arthur  Road</v>
      </c>
      <c r="I379" t="str">
        <f>SUBSTITUTE(Table1[[#This Row],[Separate combined words ]],"?","")</f>
        <v>Arthur  Road</v>
      </c>
      <c r="J379" t="str">
        <f>TRIM(Table1[[#This Row],[Remove Question Mark "?"]])</f>
        <v>Arthur Road</v>
      </c>
      <c r="K379" t="str">
        <f>PROPER(Table1[[#This Row],[Leading, Multiple &amp; Trailing spaces]])</f>
        <v>Arthur Road</v>
      </c>
      <c r="L379" t="str">
        <f t="shared" si="5"/>
        <v>Arthur Road</v>
      </c>
      <c r="M379" t="s">
        <v>1585</v>
      </c>
    </row>
    <row r="380" spans="1:13" x14ac:dyDescent="0.3">
      <c r="A380">
        <v>377</v>
      </c>
      <c r="B380" t="s">
        <v>1586</v>
      </c>
      <c r="C380" t="s">
        <v>1587</v>
      </c>
      <c r="D380" t="s">
        <v>18</v>
      </c>
      <c r="E380" t="s">
        <v>1588</v>
      </c>
      <c r="F380" t="s">
        <v>1589</v>
      </c>
      <c r="G380" t="str">
        <f xml:space="preserve"> PROPER(_xlfn.CONCAT(Table1[[#This Row],[Title]]," ",Table1[[#This Row],[First Name]]," ",Table1[[#This Row],[Last Name]]))</f>
        <v>Miss Brandi Pollard</v>
      </c>
      <c r="H380" t="str">
        <f>SUBSTITUTE(Table1[[#This Row],[Street]],"Road"," Road")</f>
        <v>Ogle Street</v>
      </c>
      <c r="I380" t="str">
        <f>SUBSTITUTE(Table1[[#This Row],[Separate combined words ]],"?","")</f>
        <v>Ogle Street</v>
      </c>
      <c r="J380" t="str">
        <f>TRIM(Table1[[#This Row],[Remove Question Mark "?"]])</f>
        <v>Ogle Street</v>
      </c>
      <c r="K380" t="str">
        <f>PROPER(Table1[[#This Row],[Leading, Multiple &amp; Trailing spaces]])</f>
        <v>Ogle Street</v>
      </c>
      <c r="L380" t="str">
        <f t="shared" si="5"/>
        <v>Ogle Street</v>
      </c>
      <c r="M380" t="s">
        <v>1588</v>
      </c>
    </row>
    <row r="381" spans="1:13" x14ac:dyDescent="0.3">
      <c r="A381">
        <v>378</v>
      </c>
      <c r="B381" t="s">
        <v>1590</v>
      </c>
      <c r="C381" t="s">
        <v>39</v>
      </c>
      <c r="D381" t="s">
        <v>18</v>
      </c>
      <c r="E381" t="s">
        <v>1591</v>
      </c>
      <c r="F381" t="s">
        <v>561</v>
      </c>
      <c r="G381" t="str">
        <f xml:space="preserve"> PROPER(_xlfn.CONCAT(Table1[[#This Row],[Title]]," ",Table1[[#This Row],[First Name]]," ",Table1[[#This Row],[Last Name]]))</f>
        <v>Miss Donya Anthony</v>
      </c>
      <c r="H381" t="str">
        <f>SUBSTITUTE(Table1[[#This Row],[Street]],"Road"," Road")</f>
        <v>Dane Street</v>
      </c>
      <c r="I381" t="str">
        <f>SUBSTITUTE(Table1[[#This Row],[Separate combined words ]],"?","")</f>
        <v>Dane Street</v>
      </c>
      <c r="J381" t="str">
        <f>TRIM(Table1[[#This Row],[Remove Question Mark "?"]])</f>
        <v>Dane Street</v>
      </c>
      <c r="K381" t="str">
        <f>PROPER(Table1[[#This Row],[Leading, Multiple &amp; Trailing spaces]])</f>
        <v>Dane Street</v>
      </c>
      <c r="L381" t="str">
        <f t="shared" si="5"/>
        <v>Dane Street</v>
      </c>
      <c r="M381" t="s">
        <v>1591</v>
      </c>
    </row>
    <row r="382" spans="1:13" x14ac:dyDescent="0.3">
      <c r="A382">
        <v>379</v>
      </c>
      <c r="B382" t="s">
        <v>1592</v>
      </c>
      <c r="C382" t="s">
        <v>1593</v>
      </c>
      <c r="D382" t="s">
        <v>18</v>
      </c>
      <c r="E382" t="s">
        <v>1594</v>
      </c>
      <c r="F382" t="s">
        <v>1237</v>
      </c>
      <c r="G382" t="str">
        <f xml:space="preserve"> PROPER(_xlfn.CONCAT(Table1[[#This Row],[Title]]," ",Table1[[#This Row],[First Name]]," ",Table1[[#This Row],[Last Name]]))</f>
        <v>Miss Stasia Koehler</v>
      </c>
      <c r="H382" t="str">
        <f>SUBSTITUTE(Table1[[#This Row],[Street]],"Road"," Road")</f>
        <v>Pheonix Terrace</v>
      </c>
      <c r="I382" t="str">
        <f>SUBSTITUTE(Table1[[#This Row],[Separate combined words ]],"?","")</f>
        <v>Pheonix Terrace</v>
      </c>
      <c r="J382" t="str">
        <f>TRIM(Table1[[#This Row],[Remove Question Mark "?"]])</f>
        <v>Pheonix Terrace</v>
      </c>
      <c r="K382" t="str">
        <f>PROPER(Table1[[#This Row],[Leading, Multiple &amp; Trailing spaces]])</f>
        <v>Pheonix Terrace</v>
      </c>
      <c r="L382" t="str">
        <f t="shared" si="5"/>
        <v>Pheonix Terrace</v>
      </c>
      <c r="M382" t="s">
        <v>1594</v>
      </c>
    </row>
    <row r="383" spans="1:13" x14ac:dyDescent="0.3">
      <c r="A383">
        <v>380</v>
      </c>
      <c r="B383" t="s">
        <v>1595</v>
      </c>
      <c r="C383" t="s">
        <v>1596</v>
      </c>
      <c r="D383" t="s">
        <v>7</v>
      </c>
      <c r="E383" t="s">
        <v>1597</v>
      </c>
      <c r="F383" t="s">
        <v>1598</v>
      </c>
      <c r="G383" t="str">
        <f xml:space="preserve"> PROPER(_xlfn.CONCAT(Table1[[#This Row],[Title]]," ",Table1[[#This Row],[First Name]]," ",Table1[[#This Row],[Last Name]]))</f>
        <v>Mrs Rebecka King</v>
      </c>
      <c r="H383" t="str">
        <f>SUBSTITUTE(Table1[[#This Row],[Street]],"Road"," Road")</f>
        <v>North Park</v>
      </c>
      <c r="I383" t="str">
        <f>SUBSTITUTE(Table1[[#This Row],[Separate combined words ]],"?","")</f>
        <v>North Park</v>
      </c>
      <c r="J383" t="str">
        <f>TRIM(Table1[[#This Row],[Remove Question Mark "?"]])</f>
        <v>North Park</v>
      </c>
      <c r="K383" t="str">
        <f>PROPER(Table1[[#This Row],[Leading, Multiple &amp; Trailing spaces]])</f>
        <v>North Park</v>
      </c>
      <c r="L383" t="str">
        <f t="shared" si="5"/>
        <v>North Park</v>
      </c>
      <c r="M383" t="s">
        <v>1597</v>
      </c>
    </row>
    <row r="384" spans="1:13" x14ac:dyDescent="0.3">
      <c r="A384">
        <v>381</v>
      </c>
      <c r="B384" t="s">
        <v>1599</v>
      </c>
      <c r="C384" t="s">
        <v>1600</v>
      </c>
      <c r="D384" t="s">
        <v>7</v>
      </c>
      <c r="E384" t="s">
        <v>1601</v>
      </c>
      <c r="F384" t="s">
        <v>512</v>
      </c>
      <c r="G384" t="str">
        <f xml:space="preserve"> PROPER(_xlfn.CONCAT(Table1[[#This Row],[Title]]," ",Table1[[#This Row],[First Name]]," ",Table1[[#This Row],[Last Name]]))</f>
        <v>Mrs Otelia Warren</v>
      </c>
      <c r="H384" t="str">
        <f>SUBSTITUTE(Table1[[#This Row],[Street]],"Road"," Road")</f>
        <v>New City</v>
      </c>
      <c r="I384" t="str">
        <f>SUBSTITUTE(Table1[[#This Row],[Separate combined words ]],"?","")</f>
        <v>New City</v>
      </c>
      <c r="J384" t="str">
        <f>TRIM(Table1[[#This Row],[Remove Question Mark "?"]])</f>
        <v>New City</v>
      </c>
      <c r="K384" t="str">
        <f>PROPER(Table1[[#This Row],[Leading, Multiple &amp; Trailing spaces]])</f>
        <v>New City</v>
      </c>
      <c r="L384" t="str">
        <f t="shared" si="5"/>
        <v>New City</v>
      </c>
      <c r="M384" t="s">
        <v>1601</v>
      </c>
    </row>
    <row r="385" spans="1:13" x14ac:dyDescent="0.3">
      <c r="A385">
        <v>382</v>
      </c>
      <c r="B385" t="s">
        <v>1602</v>
      </c>
      <c r="C385" t="s">
        <v>1603</v>
      </c>
      <c r="D385" t="s">
        <v>7</v>
      </c>
      <c r="E385" t="s">
        <v>1604</v>
      </c>
      <c r="F385" t="s">
        <v>1605</v>
      </c>
      <c r="G385" t="str">
        <f xml:space="preserve"> PROPER(_xlfn.CONCAT(Table1[[#This Row],[Title]]," ",Table1[[#This Row],[First Name]]," ",Table1[[#This Row],[Last Name]]))</f>
        <v>Mrs Alma Castaneda</v>
      </c>
      <c r="H385" t="str">
        <f>SUBSTITUTE(Table1[[#This Row],[Street]],"Road"," Road")</f>
        <v>Revensdon Street</v>
      </c>
      <c r="I385" t="str">
        <f>SUBSTITUTE(Table1[[#This Row],[Separate combined words ]],"?","")</f>
        <v>Revensdon Street</v>
      </c>
      <c r="J385" t="str">
        <f>TRIM(Table1[[#This Row],[Remove Question Mark "?"]])</f>
        <v>Revensdon Street</v>
      </c>
      <c r="K385" t="str">
        <f>PROPER(Table1[[#This Row],[Leading, Multiple &amp; Trailing spaces]])</f>
        <v>Revensdon Street</v>
      </c>
      <c r="L385" t="str">
        <f t="shared" si="5"/>
        <v>Revensdon Street</v>
      </c>
      <c r="M385" t="s">
        <v>1604</v>
      </c>
    </row>
    <row r="386" spans="1:13" x14ac:dyDescent="0.3">
      <c r="A386">
        <v>383</v>
      </c>
      <c r="B386" t="s">
        <v>1606</v>
      </c>
      <c r="C386" t="s">
        <v>1607</v>
      </c>
      <c r="D386" t="s">
        <v>18</v>
      </c>
      <c r="E386" t="s">
        <v>1608</v>
      </c>
      <c r="F386" t="s">
        <v>1609</v>
      </c>
      <c r="G386" t="str">
        <f xml:space="preserve"> PROPER(_xlfn.CONCAT(Table1[[#This Row],[Title]]," ",Table1[[#This Row],[First Name]]," ",Table1[[#This Row],[Last Name]]))</f>
        <v>Miss Minnie Silva</v>
      </c>
      <c r="H386" t="str">
        <f>SUBSTITUTE(Table1[[#This Row],[Street]],"Road"," Road")</f>
        <v>Hanging Sword</v>
      </c>
      <c r="I386" t="str">
        <f>SUBSTITUTE(Table1[[#This Row],[Separate combined words ]],"?","")</f>
        <v>Hanging Sword</v>
      </c>
      <c r="J386" t="str">
        <f>TRIM(Table1[[#This Row],[Remove Question Mark "?"]])</f>
        <v>Hanging Sword</v>
      </c>
      <c r="K386" t="str">
        <f>PROPER(Table1[[#This Row],[Leading, Multiple &amp; Trailing spaces]])</f>
        <v>Hanging Sword</v>
      </c>
      <c r="L386" t="str">
        <f t="shared" si="5"/>
        <v>Hanging Sword</v>
      </c>
      <c r="M386" t="s">
        <v>1608</v>
      </c>
    </row>
    <row r="387" spans="1:13" x14ac:dyDescent="0.3">
      <c r="A387">
        <v>384</v>
      </c>
      <c r="B387" t="s">
        <v>1610</v>
      </c>
      <c r="C387" t="s">
        <v>1611</v>
      </c>
      <c r="D387" t="s">
        <v>7</v>
      </c>
      <c r="E387" t="s">
        <v>1612</v>
      </c>
      <c r="F387" t="s">
        <v>1613</v>
      </c>
      <c r="G387" t="str">
        <f xml:space="preserve"> PROPER(_xlfn.CONCAT(Table1[[#This Row],[Title]]," ",Table1[[#This Row],[First Name]]," ",Table1[[#This Row],[Last Name]]))</f>
        <v>Mrs Keturah Penn</v>
      </c>
      <c r="H387" t="str">
        <f>SUBSTITUTE(Table1[[#This Row],[Street]],"Road"," Road")</f>
        <v>Gordon Avenue</v>
      </c>
      <c r="I387" t="str">
        <f>SUBSTITUTE(Table1[[#This Row],[Separate combined words ]],"?","")</f>
        <v>Gordon Avenue</v>
      </c>
      <c r="J387" t="str">
        <f>TRIM(Table1[[#This Row],[Remove Question Mark "?"]])</f>
        <v>Gordon Avenue</v>
      </c>
      <c r="K387" t="str">
        <f>PROPER(Table1[[#This Row],[Leading, Multiple &amp; Trailing spaces]])</f>
        <v>Gordon Avenue</v>
      </c>
      <c r="L387" t="str">
        <f t="shared" si="5"/>
        <v>Gordon Avenue</v>
      </c>
      <c r="M387" t="s">
        <v>1612</v>
      </c>
    </row>
    <row r="388" spans="1:13" x14ac:dyDescent="0.3">
      <c r="A388">
        <v>385</v>
      </c>
      <c r="B388" t="s">
        <v>1614</v>
      </c>
      <c r="C388" t="s">
        <v>1615</v>
      </c>
      <c r="D388" t="s">
        <v>18</v>
      </c>
      <c r="E388" t="s">
        <v>1616</v>
      </c>
      <c r="F388" t="s">
        <v>1283</v>
      </c>
      <c r="G388" t="str">
        <f xml:space="preserve"> PROPER(_xlfn.CONCAT(Table1[[#This Row],[Title]]," ",Table1[[#This Row],[First Name]]," ",Table1[[#This Row],[Last Name]]))</f>
        <v>Miss Melynda Everett</v>
      </c>
      <c r="H388" t="str">
        <f>SUBSTITUTE(Table1[[#This Row],[Street]],"Road"," Road")</f>
        <v>Archway  Road</v>
      </c>
      <c r="I388" t="str">
        <f>SUBSTITUTE(Table1[[#This Row],[Separate combined words ]],"?","")</f>
        <v>Archway  Road</v>
      </c>
      <c r="J388" t="str">
        <f>TRIM(Table1[[#This Row],[Remove Question Mark "?"]])</f>
        <v>Archway Road</v>
      </c>
      <c r="K388" t="str">
        <f>PROPER(Table1[[#This Row],[Leading, Multiple &amp; Trailing spaces]])</f>
        <v>Archway Road</v>
      </c>
      <c r="L388" t="str">
        <f t="shared" si="5"/>
        <v>Archway Road</v>
      </c>
      <c r="M388" t="s">
        <v>1616</v>
      </c>
    </row>
    <row r="389" spans="1:13" x14ac:dyDescent="0.3">
      <c r="A389">
        <v>386</v>
      </c>
      <c r="B389" t="s">
        <v>1617</v>
      </c>
      <c r="C389" t="s">
        <v>265</v>
      </c>
      <c r="D389" t="s">
        <v>7</v>
      </c>
      <c r="E389" t="s">
        <v>1618</v>
      </c>
      <c r="F389" t="s">
        <v>585</v>
      </c>
      <c r="G389" t="str">
        <f xml:space="preserve"> PROPER(_xlfn.CONCAT(Table1[[#This Row],[Title]]," ",Table1[[#This Row],[First Name]]," ",Table1[[#This Row],[Last Name]]))</f>
        <v>Mrs Dortha Abel</v>
      </c>
      <c r="H389" t="str">
        <f>SUBSTITUTE(Table1[[#This Row],[Street]],"Road"," Road")</f>
        <v>Knaresborough Place</v>
      </c>
      <c r="I389" t="str">
        <f>SUBSTITUTE(Table1[[#This Row],[Separate combined words ]],"?","")</f>
        <v>Knaresborough Place</v>
      </c>
      <c r="J389" t="str">
        <f>TRIM(Table1[[#This Row],[Remove Question Mark "?"]])</f>
        <v>Knaresborough Place</v>
      </c>
      <c r="K389" t="str">
        <f>PROPER(Table1[[#This Row],[Leading, Multiple &amp; Trailing spaces]])</f>
        <v>Knaresborough Place</v>
      </c>
      <c r="L389" t="str">
        <f t="shared" ref="L389:L452" si="6">TRIM(PROPER(SUBSTITUTE(SUBSTITUTE((E389),"?",""),"Road"," Road")))</f>
        <v>Knaresborough Place</v>
      </c>
      <c r="M389" t="s">
        <v>1618</v>
      </c>
    </row>
    <row r="390" spans="1:13" x14ac:dyDescent="0.3">
      <c r="A390">
        <v>387</v>
      </c>
      <c r="B390" t="s">
        <v>1619</v>
      </c>
      <c r="C390" t="s">
        <v>650</v>
      </c>
      <c r="D390" t="s">
        <v>7</v>
      </c>
      <c r="E390" t="s">
        <v>1620</v>
      </c>
      <c r="F390" t="s">
        <v>1230</v>
      </c>
      <c r="G390" t="str">
        <f xml:space="preserve"> PROPER(_xlfn.CONCAT(Table1[[#This Row],[Title]]," ",Table1[[#This Row],[First Name]]," ",Table1[[#This Row],[Last Name]]))</f>
        <v>Mrs Karissa Hyde</v>
      </c>
      <c r="H390" t="str">
        <f>SUBSTITUTE(Table1[[#This Row],[Street]],"Road"," Road")</f>
        <v>Hythe  Road</v>
      </c>
      <c r="I390" t="str">
        <f>SUBSTITUTE(Table1[[#This Row],[Separate combined words ]],"?","")</f>
        <v>Hythe  Road</v>
      </c>
      <c r="J390" t="str">
        <f>TRIM(Table1[[#This Row],[Remove Question Mark "?"]])</f>
        <v>Hythe Road</v>
      </c>
      <c r="K390" t="str">
        <f>PROPER(Table1[[#This Row],[Leading, Multiple &amp; Trailing spaces]])</f>
        <v>Hythe Road</v>
      </c>
      <c r="L390" t="str">
        <f t="shared" si="6"/>
        <v>Hythe Road</v>
      </c>
      <c r="M390" t="s">
        <v>1620</v>
      </c>
    </row>
    <row r="391" spans="1:13" x14ac:dyDescent="0.3">
      <c r="A391">
        <v>388</v>
      </c>
      <c r="B391" t="s">
        <v>775</v>
      </c>
      <c r="C391" t="s">
        <v>1621</v>
      </c>
      <c r="D391" t="s">
        <v>18</v>
      </c>
      <c r="E391" t="s">
        <v>1622</v>
      </c>
      <c r="F391" t="s">
        <v>1623</v>
      </c>
      <c r="G391" t="str">
        <f xml:space="preserve"> PROPER(_xlfn.CONCAT(Table1[[#This Row],[Title]]," ",Table1[[#This Row],[First Name]]," ",Table1[[#This Row],[Last Name]]))</f>
        <v>Miss Lurlene Bassett</v>
      </c>
      <c r="H391" t="str">
        <f>SUBSTITUTE(Table1[[#This Row],[Street]],"Road"," Road")</f>
        <v>Dilke Street</v>
      </c>
      <c r="I391" t="str">
        <f>SUBSTITUTE(Table1[[#This Row],[Separate combined words ]],"?","")</f>
        <v>Dilke Street</v>
      </c>
      <c r="J391" t="str">
        <f>TRIM(Table1[[#This Row],[Remove Question Mark "?"]])</f>
        <v>Dilke Street</v>
      </c>
      <c r="K391" t="str">
        <f>PROPER(Table1[[#This Row],[Leading, Multiple &amp; Trailing spaces]])</f>
        <v>Dilke Street</v>
      </c>
      <c r="L391" t="str">
        <f t="shared" si="6"/>
        <v>Dilke Street</v>
      </c>
      <c r="M391" t="s">
        <v>1622</v>
      </c>
    </row>
    <row r="392" spans="1:13" x14ac:dyDescent="0.3">
      <c r="A392">
        <v>389</v>
      </c>
      <c r="B392" t="s">
        <v>200</v>
      </c>
      <c r="C392" t="s">
        <v>1624</v>
      </c>
      <c r="D392" t="s">
        <v>7</v>
      </c>
      <c r="E392" t="s">
        <v>1625</v>
      </c>
      <c r="F392" t="s">
        <v>1626</v>
      </c>
      <c r="G392" t="str">
        <f xml:space="preserve"> PROPER(_xlfn.CONCAT(Table1[[#This Row],[Title]]," ",Table1[[#This Row],[First Name]]," ",Table1[[#This Row],[Last Name]]))</f>
        <v>Mrs Fredricka Barrera</v>
      </c>
      <c r="H392" t="str">
        <f>SUBSTITUTE(Table1[[#This Row],[Street]],"Road"," Road")</f>
        <v>Tylney Avenue</v>
      </c>
      <c r="I392" t="str">
        <f>SUBSTITUTE(Table1[[#This Row],[Separate combined words ]],"?","")</f>
        <v>Tylney Avenue</v>
      </c>
      <c r="J392" t="str">
        <f>TRIM(Table1[[#This Row],[Remove Question Mark "?"]])</f>
        <v>Tylney Avenue</v>
      </c>
      <c r="K392" t="str">
        <f>PROPER(Table1[[#This Row],[Leading, Multiple &amp; Trailing spaces]])</f>
        <v>Tylney Avenue</v>
      </c>
      <c r="L392" t="str">
        <f t="shared" si="6"/>
        <v>Tylney Avenue</v>
      </c>
      <c r="M392" t="s">
        <v>1625</v>
      </c>
    </row>
    <row r="393" spans="1:13" x14ac:dyDescent="0.3">
      <c r="A393">
        <v>390</v>
      </c>
      <c r="B393" t="s">
        <v>1627</v>
      </c>
      <c r="C393" t="s">
        <v>772</v>
      </c>
      <c r="D393" t="s">
        <v>18</v>
      </c>
      <c r="E393" t="s">
        <v>1628</v>
      </c>
      <c r="F393" t="s">
        <v>1629</v>
      </c>
      <c r="G393" t="str">
        <f xml:space="preserve"> PROPER(_xlfn.CONCAT(Table1[[#This Row],[Title]]," ",Table1[[#This Row],[First Name]]," ",Table1[[#This Row],[Last Name]]))</f>
        <v>Miss Gail Puckett</v>
      </c>
      <c r="H393" t="str">
        <f>SUBSTITUTE(Table1[[#This Row],[Street]],"Road"," Road")</f>
        <v>Dalemain Mews</v>
      </c>
      <c r="I393" t="str">
        <f>SUBSTITUTE(Table1[[#This Row],[Separate combined words ]],"?","")</f>
        <v>Dalemain Mews</v>
      </c>
      <c r="J393" t="str">
        <f>TRIM(Table1[[#This Row],[Remove Question Mark "?"]])</f>
        <v>Dalemain Mews</v>
      </c>
      <c r="K393" t="str">
        <f>PROPER(Table1[[#This Row],[Leading, Multiple &amp; Trailing spaces]])</f>
        <v>Dalemain Mews</v>
      </c>
      <c r="L393" t="str">
        <f t="shared" si="6"/>
        <v>Dalemain Mews</v>
      </c>
      <c r="M393" t="s">
        <v>1628</v>
      </c>
    </row>
    <row r="394" spans="1:13" x14ac:dyDescent="0.3">
      <c r="A394">
        <v>391</v>
      </c>
      <c r="B394" t="s">
        <v>1630</v>
      </c>
      <c r="C394" t="s">
        <v>665</v>
      </c>
      <c r="D394" t="s">
        <v>18</v>
      </c>
      <c r="E394" t="s">
        <v>1631</v>
      </c>
      <c r="F394" t="s">
        <v>1632</v>
      </c>
      <c r="G394" t="str">
        <f xml:space="preserve"> PROPER(_xlfn.CONCAT(Table1[[#This Row],[Title]]," ",Table1[[#This Row],[First Name]]," ",Table1[[#This Row],[Last Name]]))</f>
        <v>Miss Cristine Reyes</v>
      </c>
      <c r="H394" t="str">
        <f>SUBSTITUTE(Table1[[#This Row],[Street]],"Road"," Road")</f>
        <v>Bellendon  Road</v>
      </c>
      <c r="I394" t="str">
        <f>SUBSTITUTE(Table1[[#This Row],[Separate combined words ]],"?","")</f>
        <v>Bellendon  Road</v>
      </c>
      <c r="J394" t="str">
        <f>TRIM(Table1[[#This Row],[Remove Question Mark "?"]])</f>
        <v>Bellendon Road</v>
      </c>
      <c r="K394" t="str">
        <f>PROPER(Table1[[#This Row],[Leading, Multiple &amp; Trailing spaces]])</f>
        <v>Bellendon Road</v>
      </c>
      <c r="L394" t="str">
        <f t="shared" si="6"/>
        <v>Bellendon Road</v>
      </c>
      <c r="M394" t="s">
        <v>1631</v>
      </c>
    </row>
    <row r="395" spans="1:13" x14ac:dyDescent="0.3">
      <c r="A395">
        <v>392</v>
      </c>
      <c r="B395" t="s">
        <v>1633</v>
      </c>
      <c r="C395" t="s">
        <v>1634</v>
      </c>
      <c r="D395" t="s">
        <v>7</v>
      </c>
      <c r="E395" t="s">
        <v>215</v>
      </c>
      <c r="F395" t="s">
        <v>1635</v>
      </c>
      <c r="G395" t="str">
        <f xml:space="preserve"> PROPER(_xlfn.CONCAT(Table1[[#This Row],[Title]]," ",Table1[[#This Row],[First Name]]," ",Table1[[#This Row],[Last Name]]))</f>
        <v>Mrs Shawnna Hurt</v>
      </c>
      <c r="H395" t="str">
        <f>SUBSTITUTE(Table1[[#This Row],[Street]],"Road"," Road")</f>
        <v>Beech Street</v>
      </c>
      <c r="I395" t="str">
        <f>SUBSTITUTE(Table1[[#This Row],[Separate combined words ]],"?","")</f>
        <v>Beech Street</v>
      </c>
      <c r="J395" t="str">
        <f>TRIM(Table1[[#This Row],[Remove Question Mark "?"]])</f>
        <v>Beech Street</v>
      </c>
      <c r="K395" t="str">
        <f>PROPER(Table1[[#This Row],[Leading, Multiple &amp; Trailing spaces]])</f>
        <v>Beech Street</v>
      </c>
      <c r="L395" t="str">
        <f t="shared" si="6"/>
        <v>Beech Street</v>
      </c>
      <c r="M395" t="s">
        <v>215</v>
      </c>
    </row>
    <row r="396" spans="1:13" x14ac:dyDescent="0.3">
      <c r="A396">
        <v>393</v>
      </c>
      <c r="B396" t="s">
        <v>1614</v>
      </c>
      <c r="C396" t="s">
        <v>1636</v>
      </c>
      <c r="D396" t="s">
        <v>7</v>
      </c>
      <c r="E396" t="s">
        <v>1637</v>
      </c>
      <c r="F396" t="s">
        <v>1638</v>
      </c>
      <c r="G396" t="str">
        <f xml:space="preserve"> PROPER(_xlfn.CONCAT(Table1[[#This Row],[Title]]," ",Table1[[#This Row],[First Name]]," ",Table1[[#This Row],[Last Name]]))</f>
        <v>Mrs Melynda Ali</v>
      </c>
      <c r="H396" t="str">
        <f>SUBSTITUTE(Table1[[#This Row],[Street]],"Road"," Road")</f>
        <v>Westbourne Park</v>
      </c>
      <c r="I396" t="str">
        <f>SUBSTITUTE(Table1[[#This Row],[Separate combined words ]],"?","")</f>
        <v>Westbourne Park</v>
      </c>
      <c r="J396" t="str">
        <f>TRIM(Table1[[#This Row],[Remove Question Mark "?"]])</f>
        <v>Westbourne Park</v>
      </c>
      <c r="K396" t="str">
        <f>PROPER(Table1[[#This Row],[Leading, Multiple &amp; Trailing spaces]])</f>
        <v>Westbourne Park</v>
      </c>
      <c r="L396" t="str">
        <f t="shared" si="6"/>
        <v>Westbourne Park</v>
      </c>
      <c r="M396" t="s">
        <v>1637</v>
      </c>
    </row>
    <row r="397" spans="1:13" x14ac:dyDescent="0.3">
      <c r="A397">
        <v>394</v>
      </c>
      <c r="B397" t="s">
        <v>1639</v>
      </c>
      <c r="C397" t="s">
        <v>652</v>
      </c>
      <c r="D397" t="s">
        <v>7</v>
      </c>
      <c r="E397" t="s">
        <v>1640</v>
      </c>
      <c r="F397" t="s">
        <v>1641</v>
      </c>
      <c r="G397" t="str">
        <f xml:space="preserve"> PROPER(_xlfn.CONCAT(Table1[[#This Row],[Title]]," ",Table1[[#This Row],[First Name]]," ",Table1[[#This Row],[Last Name]]))</f>
        <v>Mrs Maurine Clay</v>
      </c>
      <c r="H397" t="str">
        <f>SUBSTITUTE(Table1[[#This Row],[Street]],"Road"," Road")</f>
        <v>Burtonhole Close</v>
      </c>
      <c r="I397" t="str">
        <f>SUBSTITUTE(Table1[[#This Row],[Separate combined words ]],"?","")</f>
        <v>Burtonhole Close</v>
      </c>
      <c r="J397" t="str">
        <f>TRIM(Table1[[#This Row],[Remove Question Mark "?"]])</f>
        <v>Burtonhole Close</v>
      </c>
      <c r="K397" t="str">
        <f>PROPER(Table1[[#This Row],[Leading, Multiple &amp; Trailing spaces]])</f>
        <v>Burtonhole Close</v>
      </c>
      <c r="L397" t="str">
        <f t="shared" si="6"/>
        <v>Burtonhole Close</v>
      </c>
      <c r="M397" t="s">
        <v>1640</v>
      </c>
    </row>
    <row r="398" spans="1:13" x14ac:dyDescent="0.3">
      <c r="A398">
        <v>395</v>
      </c>
      <c r="B398" t="s">
        <v>1642</v>
      </c>
      <c r="C398" t="s">
        <v>1643</v>
      </c>
      <c r="D398" t="s">
        <v>18</v>
      </c>
      <c r="E398" t="s">
        <v>1644</v>
      </c>
      <c r="F398" t="s">
        <v>1645</v>
      </c>
      <c r="G398" t="str">
        <f xml:space="preserve"> PROPER(_xlfn.CONCAT(Table1[[#This Row],[Title]]," ",Table1[[#This Row],[First Name]]," ",Table1[[#This Row],[Last Name]]))</f>
        <v>Miss Towanda Dooley</v>
      </c>
      <c r="H398" t="str">
        <f>SUBSTITUTE(Table1[[#This Row],[Street]],"Road"," Road")</f>
        <v>Pritchard Place</v>
      </c>
      <c r="I398" t="str">
        <f>SUBSTITUTE(Table1[[#This Row],[Separate combined words ]],"?","")</f>
        <v>Pritchard Place</v>
      </c>
      <c r="J398" t="str">
        <f>TRIM(Table1[[#This Row],[Remove Question Mark "?"]])</f>
        <v>Pritchard Place</v>
      </c>
      <c r="K398" t="str">
        <f>PROPER(Table1[[#This Row],[Leading, Multiple &amp; Trailing spaces]])</f>
        <v>Pritchard Place</v>
      </c>
      <c r="L398" t="str">
        <f t="shared" si="6"/>
        <v>Pritchard Place</v>
      </c>
      <c r="M398" t="s">
        <v>1644</v>
      </c>
    </row>
    <row r="399" spans="1:13" x14ac:dyDescent="0.3">
      <c r="A399">
        <v>396</v>
      </c>
      <c r="B399" t="s">
        <v>1646</v>
      </c>
      <c r="C399" t="s">
        <v>457</v>
      </c>
      <c r="D399" t="s">
        <v>7</v>
      </c>
      <c r="E399" t="s">
        <v>1647</v>
      </c>
      <c r="F399" t="s">
        <v>1648</v>
      </c>
      <c r="G399" t="str">
        <f xml:space="preserve"> PROPER(_xlfn.CONCAT(Table1[[#This Row],[Title]]," ",Table1[[#This Row],[First Name]]," ",Table1[[#This Row],[Last Name]]))</f>
        <v>Mrs Signe Ross</v>
      </c>
      <c r="H399" t="str">
        <f>SUBSTITUTE(Table1[[#This Row],[Street]],"Road"," Road")</f>
        <v>Raymond Avenue</v>
      </c>
      <c r="I399" t="str">
        <f>SUBSTITUTE(Table1[[#This Row],[Separate combined words ]],"?","")</f>
        <v>Raymond Avenue</v>
      </c>
      <c r="J399" t="str">
        <f>TRIM(Table1[[#This Row],[Remove Question Mark "?"]])</f>
        <v>Raymond Avenue</v>
      </c>
      <c r="K399" t="str">
        <f>PROPER(Table1[[#This Row],[Leading, Multiple &amp; Trailing spaces]])</f>
        <v>Raymond Avenue</v>
      </c>
      <c r="L399" t="str">
        <f t="shared" si="6"/>
        <v>Raymond Avenue</v>
      </c>
      <c r="M399" t="s">
        <v>1647</v>
      </c>
    </row>
    <row r="400" spans="1:13" x14ac:dyDescent="0.3">
      <c r="A400">
        <v>397</v>
      </c>
      <c r="B400" t="s">
        <v>1649</v>
      </c>
      <c r="C400" t="s">
        <v>1005</v>
      </c>
      <c r="D400" t="s">
        <v>7</v>
      </c>
      <c r="E400" t="s">
        <v>1650</v>
      </c>
      <c r="F400" t="s">
        <v>1651</v>
      </c>
      <c r="G400" t="str">
        <f xml:space="preserve"> PROPER(_xlfn.CONCAT(Table1[[#This Row],[Title]]," ",Table1[[#This Row],[First Name]]," ",Table1[[#This Row],[Last Name]]))</f>
        <v>Mrs Hedy Hansen</v>
      </c>
      <c r="H400" t="str">
        <f>SUBSTITUTE(Table1[[#This Row],[Street]],"Road"," Road")</f>
        <v>Truman Place</v>
      </c>
      <c r="I400" t="str">
        <f>SUBSTITUTE(Table1[[#This Row],[Separate combined words ]],"?","")</f>
        <v>Truman Place</v>
      </c>
      <c r="J400" t="str">
        <f>TRIM(Table1[[#This Row],[Remove Question Mark "?"]])</f>
        <v>Truman Place</v>
      </c>
      <c r="K400" t="str">
        <f>PROPER(Table1[[#This Row],[Leading, Multiple &amp; Trailing spaces]])</f>
        <v>Truman Place</v>
      </c>
      <c r="L400" t="str">
        <f t="shared" si="6"/>
        <v>Truman Place</v>
      </c>
      <c r="M400" t="s">
        <v>1650</v>
      </c>
    </row>
    <row r="401" spans="1:13" x14ac:dyDescent="0.3">
      <c r="A401">
        <v>398</v>
      </c>
      <c r="B401" t="s">
        <v>1652</v>
      </c>
      <c r="C401" t="s">
        <v>1653</v>
      </c>
      <c r="D401" t="s">
        <v>18</v>
      </c>
      <c r="E401" t="s">
        <v>1654</v>
      </c>
      <c r="F401" t="s">
        <v>186</v>
      </c>
      <c r="G401" t="str">
        <f xml:space="preserve"> PROPER(_xlfn.CONCAT(Table1[[#This Row],[Title]]," ",Table1[[#This Row],[First Name]]," ",Table1[[#This Row],[Last Name]]))</f>
        <v>Miss Myrtis Sams</v>
      </c>
      <c r="H401" t="str">
        <f>SUBSTITUTE(Table1[[#This Row],[Street]],"Road"," Road")</f>
        <v>Elgin Chambers</v>
      </c>
      <c r="I401" t="str">
        <f>SUBSTITUTE(Table1[[#This Row],[Separate combined words ]],"?","")</f>
        <v>Elgin Chambers</v>
      </c>
      <c r="J401" t="str">
        <f>TRIM(Table1[[#This Row],[Remove Question Mark "?"]])</f>
        <v>Elgin Chambers</v>
      </c>
      <c r="K401" t="str">
        <f>PROPER(Table1[[#This Row],[Leading, Multiple &amp; Trailing spaces]])</f>
        <v>Elgin Chambers</v>
      </c>
      <c r="L401" t="str">
        <f t="shared" si="6"/>
        <v>Elgin Chambers</v>
      </c>
      <c r="M401" t="s">
        <v>1654</v>
      </c>
    </row>
    <row r="402" spans="1:13" x14ac:dyDescent="0.3">
      <c r="A402">
        <v>399</v>
      </c>
      <c r="B402" t="s">
        <v>1655</v>
      </c>
      <c r="C402" t="s">
        <v>1276</v>
      </c>
      <c r="D402" t="s">
        <v>18</v>
      </c>
      <c r="E402" t="s">
        <v>1656</v>
      </c>
      <c r="F402" t="s">
        <v>1657</v>
      </c>
      <c r="G402" t="str">
        <f xml:space="preserve"> PROPER(_xlfn.CONCAT(Table1[[#This Row],[Title]]," ",Table1[[#This Row],[First Name]]," ",Table1[[#This Row],[Last Name]]))</f>
        <v>Miss Liliana Dillard</v>
      </c>
      <c r="H402" t="str">
        <f>SUBSTITUTE(Table1[[#This Row],[Street]],"Road"," Road")</f>
        <v>Ryecotes Mead</v>
      </c>
      <c r="I402" t="str">
        <f>SUBSTITUTE(Table1[[#This Row],[Separate combined words ]],"?","")</f>
        <v>Ryecotes Mead</v>
      </c>
      <c r="J402" t="str">
        <f>TRIM(Table1[[#This Row],[Remove Question Mark "?"]])</f>
        <v>Ryecotes Mead</v>
      </c>
      <c r="K402" t="str">
        <f>PROPER(Table1[[#This Row],[Leading, Multiple &amp; Trailing spaces]])</f>
        <v>Ryecotes Mead</v>
      </c>
      <c r="L402" t="str">
        <f t="shared" si="6"/>
        <v>Ryecotes Mead</v>
      </c>
      <c r="M402" t="s">
        <v>1656</v>
      </c>
    </row>
    <row r="403" spans="1:13" x14ac:dyDescent="0.3">
      <c r="A403">
        <v>400</v>
      </c>
      <c r="B403" t="s">
        <v>1658</v>
      </c>
      <c r="C403" t="s">
        <v>1659</v>
      </c>
      <c r="D403" t="s">
        <v>18</v>
      </c>
      <c r="E403" t="s">
        <v>1660</v>
      </c>
      <c r="F403" t="s">
        <v>1661</v>
      </c>
      <c r="G403" t="str">
        <f xml:space="preserve"> PROPER(_xlfn.CONCAT(Table1[[#This Row],[Title]]," ",Table1[[#This Row],[First Name]]," ",Table1[[#This Row],[Last Name]]))</f>
        <v>Miss Florrie Dumas</v>
      </c>
      <c r="H403" t="str">
        <f>SUBSTITUTE(Table1[[#This Row],[Street]],"Road"," Road")</f>
        <v>Wellington Cottages</v>
      </c>
      <c r="I403" t="str">
        <f>SUBSTITUTE(Table1[[#This Row],[Separate combined words ]],"?","")</f>
        <v>Wellington Cottages</v>
      </c>
      <c r="J403" t="str">
        <f>TRIM(Table1[[#This Row],[Remove Question Mark "?"]])</f>
        <v>Wellington Cottages</v>
      </c>
      <c r="K403" t="str">
        <f>PROPER(Table1[[#This Row],[Leading, Multiple &amp; Trailing spaces]])</f>
        <v>Wellington Cottages</v>
      </c>
      <c r="L403" t="str">
        <f t="shared" si="6"/>
        <v>Wellington Cottages</v>
      </c>
      <c r="M403" t="s">
        <v>1660</v>
      </c>
    </row>
    <row r="404" spans="1:13" x14ac:dyDescent="0.3">
      <c r="A404">
        <v>401</v>
      </c>
      <c r="B404" t="s">
        <v>663</v>
      </c>
      <c r="C404" t="s">
        <v>610</v>
      </c>
      <c r="D404" t="s">
        <v>18</v>
      </c>
      <c r="E404" t="s">
        <v>1662</v>
      </c>
      <c r="F404" t="s">
        <v>1663</v>
      </c>
      <c r="G404" t="str">
        <f xml:space="preserve"> PROPER(_xlfn.CONCAT(Table1[[#This Row],[Title]]," ",Table1[[#This Row],[First Name]]," ",Table1[[#This Row],[Last Name]]))</f>
        <v>Miss Anya Mcelroy</v>
      </c>
      <c r="H404" t="str">
        <f>SUBSTITUTE(Table1[[#This Row],[Street]],"Road"," Road")</f>
        <v>Bethel Mews</v>
      </c>
      <c r="I404" t="str">
        <f>SUBSTITUTE(Table1[[#This Row],[Separate combined words ]],"?","")</f>
        <v>Bethel Mews</v>
      </c>
      <c r="J404" t="str">
        <f>TRIM(Table1[[#This Row],[Remove Question Mark "?"]])</f>
        <v>Bethel Mews</v>
      </c>
      <c r="K404" t="str">
        <f>PROPER(Table1[[#This Row],[Leading, Multiple &amp; Trailing spaces]])</f>
        <v>Bethel Mews</v>
      </c>
      <c r="L404" t="str">
        <f t="shared" si="6"/>
        <v>Bethel Mews</v>
      </c>
      <c r="M404" t="s">
        <v>1662</v>
      </c>
    </row>
    <row r="405" spans="1:13" x14ac:dyDescent="0.3">
      <c r="A405">
        <v>402</v>
      </c>
      <c r="B405" t="s">
        <v>1664</v>
      </c>
      <c r="C405" t="s">
        <v>1665</v>
      </c>
      <c r="D405" t="s">
        <v>18</v>
      </c>
      <c r="E405" t="s">
        <v>1666</v>
      </c>
      <c r="F405" t="s">
        <v>1667</v>
      </c>
      <c r="G405" t="str">
        <f xml:space="preserve"> PROPER(_xlfn.CONCAT(Table1[[#This Row],[Title]]," ",Table1[[#This Row],[First Name]]," ",Table1[[#This Row],[Last Name]]))</f>
        <v>Miss Dorcas Belcher</v>
      </c>
      <c r="H405" t="str">
        <f>SUBSTITUTE(Table1[[#This Row],[Street]],"Road"," Road")</f>
        <v>Emgah Square</v>
      </c>
      <c r="I405" t="str">
        <f>SUBSTITUTE(Table1[[#This Row],[Separate combined words ]],"?","")</f>
        <v>Emgah Square</v>
      </c>
      <c r="J405" t="str">
        <f>TRIM(Table1[[#This Row],[Remove Question Mark "?"]])</f>
        <v>Emgah Square</v>
      </c>
      <c r="K405" t="str">
        <f>PROPER(Table1[[#This Row],[Leading, Multiple &amp; Trailing spaces]])</f>
        <v>Emgah Square</v>
      </c>
      <c r="L405" t="str">
        <f t="shared" si="6"/>
        <v>Emgah Square</v>
      </c>
      <c r="M405" t="s">
        <v>1666</v>
      </c>
    </row>
    <row r="406" spans="1:13" x14ac:dyDescent="0.3">
      <c r="A406">
        <v>403</v>
      </c>
      <c r="B406" t="s">
        <v>362</v>
      </c>
      <c r="C406" t="s">
        <v>1054</v>
      </c>
      <c r="D406" t="s">
        <v>18</v>
      </c>
      <c r="E406" t="s">
        <v>1668</v>
      </c>
      <c r="F406" t="s">
        <v>45</v>
      </c>
      <c r="G406" t="str">
        <f xml:space="preserve"> PROPER(_xlfn.CONCAT(Table1[[#This Row],[Title]]," ",Table1[[#This Row],[First Name]]," ",Table1[[#This Row],[Last Name]]))</f>
        <v>Miss Phylis Rosales</v>
      </c>
      <c r="H406" t="str">
        <f>SUBSTITUTE(Table1[[#This Row],[Street]],"Road"," Road")</f>
        <v>Tunworth Close</v>
      </c>
      <c r="I406" t="str">
        <f>SUBSTITUTE(Table1[[#This Row],[Separate combined words ]],"?","")</f>
        <v>Tunworth Close</v>
      </c>
      <c r="J406" t="str">
        <f>TRIM(Table1[[#This Row],[Remove Question Mark "?"]])</f>
        <v>Tunworth Close</v>
      </c>
      <c r="K406" t="str">
        <f>PROPER(Table1[[#This Row],[Leading, Multiple &amp; Trailing spaces]])</f>
        <v>Tunworth Close</v>
      </c>
      <c r="L406" t="str">
        <f t="shared" si="6"/>
        <v>Tunworth Close</v>
      </c>
      <c r="M406" t="s">
        <v>1668</v>
      </c>
    </row>
    <row r="407" spans="1:13" x14ac:dyDescent="0.3">
      <c r="A407">
        <v>404</v>
      </c>
      <c r="B407" t="s">
        <v>1669</v>
      </c>
      <c r="C407" t="s">
        <v>1670</v>
      </c>
      <c r="D407" t="s">
        <v>18</v>
      </c>
      <c r="E407" t="s">
        <v>1671</v>
      </c>
      <c r="F407" t="s">
        <v>1672</v>
      </c>
      <c r="G407" t="str">
        <f xml:space="preserve"> PROPER(_xlfn.CONCAT(Table1[[#This Row],[Title]]," ",Table1[[#This Row],[First Name]]," ",Table1[[#This Row],[Last Name]]))</f>
        <v>Miss Freeda Reynolds</v>
      </c>
      <c r="H407" t="str">
        <f>SUBSTITUTE(Table1[[#This Row],[Street]],"Road"," Road")</f>
        <v>Lodge Avenue</v>
      </c>
      <c r="I407" t="str">
        <f>SUBSTITUTE(Table1[[#This Row],[Separate combined words ]],"?","")</f>
        <v>Lodge Avenue</v>
      </c>
      <c r="J407" t="str">
        <f>TRIM(Table1[[#This Row],[Remove Question Mark "?"]])</f>
        <v>Lodge Avenue</v>
      </c>
      <c r="K407" t="str">
        <f>PROPER(Table1[[#This Row],[Leading, Multiple &amp; Trailing spaces]])</f>
        <v>Lodge Avenue</v>
      </c>
      <c r="L407" t="str">
        <f t="shared" si="6"/>
        <v>Lodge Avenue</v>
      </c>
      <c r="M407" t="s">
        <v>1671</v>
      </c>
    </row>
    <row r="408" spans="1:13" x14ac:dyDescent="0.3">
      <c r="A408">
        <v>405</v>
      </c>
      <c r="B408" t="s">
        <v>1673</v>
      </c>
      <c r="C408" t="s">
        <v>143</v>
      </c>
      <c r="D408" t="s">
        <v>18</v>
      </c>
      <c r="E408" t="s">
        <v>1674</v>
      </c>
      <c r="F408" t="s">
        <v>548</v>
      </c>
      <c r="G408" t="str">
        <f xml:space="preserve"> PROPER(_xlfn.CONCAT(Table1[[#This Row],[Title]]," ",Table1[[#This Row],[First Name]]," ",Table1[[#This Row],[Last Name]]))</f>
        <v>Miss Argentina Jack</v>
      </c>
      <c r="H408" t="str">
        <f>SUBSTITUTE(Table1[[#This Row],[Street]],"Road"," Road")</f>
        <v>Thornsett Terrace</v>
      </c>
      <c r="I408" t="str">
        <f>SUBSTITUTE(Table1[[#This Row],[Separate combined words ]],"?","")</f>
        <v>Thornsett Terrace</v>
      </c>
      <c r="J408" t="str">
        <f>TRIM(Table1[[#This Row],[Remove Question Mark "?"]])</f>
        <v>Thornsett Terrace</v>
      </c>
      <c r="K408" t="str">
        <f>PROPER(Table1[[#This Row],[Leading, Multiple &amp; Trailing spaces]])</f>
        <v>Thornsett Terrace</v>
      </c>
      <c r="L408" t="str">
        <f t="shared" si="6"/>
        <v>Thornsett Terrace</v>
      </c>
      <c r="M408" t="s">
        <v>1674</v>
      </c>
    </row>
    <row r="409" spans="1:13" x14ac:dyDescent="0.3">
      <c r="A409">
        <v>406</v>
      </c>
      <c r="B409" t="s">
        <v>1675</v>
      </c>
      <c r="C409" t="s">
        <v>1596</v>
      </c>
      <c r="D409" t="s">
        <v>18</v>
      </c>
      <c r="E409" t="s">
        <v>1676</v>
      </c>
      <c r="F409" t="s">
        <v>579</v>
      </c>
      <c r="G409" t="str">
        <f xml:space="preserve"> PROPER(_xlfn.CONCAT(Table1[[#This Row],[Title]]," ",Table1[[#This Row],[First Name]]," ",Table1[[#This Row],[Last Name]]))</f>
        <v>Miss Wava King</v>
      </c>
      <c r="H409" t="str">
        <f>SUBSTITUTE(Table1[[#This Row],[Street]],"Road"," Road")</f>
        <v>Pell Street</v>
      </c>
      <c r="I409" t="str">
        <f>SUBSTITUTE(Table1[[#This Row],[Separate combined words ]],"?","")</f>
        <v>Pell Street</v>
      </c>
      <c r="J409" t="str">
        <f>TRIM(Table1[[#This Row],[Remove Question Mark "?"]])</f>
        <v>Pell Street</v>
      </c>
      <c r="K409" t="str">
        <f>PROPER(Table1[[#This Row],[Leading, Multiple &amp; Trailing spaces]])</f>
        <v>Pell Street</v>
      </c>
      <c r="L409" t="str">
        <f t="shared" si="6"/>
        <v>Pell Street</v>
      </c>
      <c r="M409" t="s">
        <v>1676</v>
      </c>
    </row>
    <row r="410" spans="1:13" x14ac:dyDescent="0.3">
      <c r="A410">
        <v>407</v>
      </c>
      <c r="B410" t="s">
        <v>1677</v>
      </c>
      <c r="C410" t="s">
        <v>1678</v>
      </c>
      <c r="D410" t="s">
        <v>7</v>
      </c>
      <c r="E410" t="s">
        <v>1679</v>
      </c>
      <c r="F410" t="s">
        <v>725</v>
      </c>
      <c r="G410" t="str">
        <f xml:space="preserve"> PROPER(_xlfn.CONCAT(Table1[[#This Row],[Title]]," ",Table1[[#This Row],[First Name]]," ",Table1[[#This Row],[Last Name]]))</f>
        <v>Mrs Deanna Rasmussen</v>
      </c>
      <c r="H410" t="str">
        <f>SUBSTITUTE(Table1[[#This Row],[Street]],"Road"," Road")</f>
        <v>Mews Gleagall</v>
      </c>
      <c r="I410" t="str">
        <f>SUBSTITUTE(Table1[[#This Row],[Separate combined words ]],"?","")</f>
        <v>Mews Gleagall</v>
      </c>
      <c r="J410" t="str">
        <f>TRIM(Table1[[#This Row],[Remove Question Mark "?"]])</f>
        <v>Mews Gleagall</v>
      </c>
      <c r="K410" t="str">
        <f>PROPER(Table1[[#This Row],[Leading, Multiple &amp; Trailing spaces]])</f>
        <v>Mews Gleagall</v>
      </c>
      <c r="L410" t="str">
        <f t="shared" si="6"/>
        <v>Mews Gleagall</v>
      </c>
      <c r="M410" t="s">
        <v>1679</v>
      </c>
    </row>
    <row r="411" spans="1:13" x14ac:dyDescent="0.3">
      <c r="A411">
        <v>408</v>
      </c>
      <c r="B411" t="s">
        <v>1680</v>
      </c>
      <c r="C411" t="s">
        <v>455</v>
      </c>
      <c r="D411" t="s">
        <v>18</v>
      </c>
      <c r="E411" t="s">
        <v>1681</v>
      </c>
      <c r="F411" t="s">
        <v>1682</v>
      </c>
      <c r="G411" t="str">
        <f xml:space="preserve"> PROPER(_xlfn.CONCAT(Table1[[#This Row],[Title]]," ",Table1[[#This Row],[First Name]]," ",Table1[[#This Row],[Last Name]]))</f>
        <v>Miss Casandra Jolly</v>
      </c>
      <c r="H411" t="str">
        <f>SUBSTITUTE(Table1[[#This Row],[Street]],"Road"," Road")</f>
        <v>Broomfield Street</v>
      </c>
      <c r="I411" t="str">
        <f>SUBSTITUTE(Table1[[#This Row],[Separate combined words ]],"?","")</f>
        <v>Broomfield Street</v>
      </c>
      <c r="J411" t="str">
        <f>TRIM(Table1[[#This Row],[Remove Question Mark "?"]])</f>
        <v>Broomfield Street</v>
      </c>
      <c r="K411" t="str">
        <f>PROPER(Table1[[#This Row],[Leading, Multiple &amp; Trailing spaces]])</f>
        <v>Broomfield Street</v>
      </c>
      <c r="L411" t="str">
        <f t="shared" si="6"/>
        <v>Broomfield Street</v>
      </c>
      <c r="M411" t="s">
        <v>1681</v>
      </c>
    </row>
    <row r="412" spans="1:13" x14ac:dyDescent="0.3">
      <c r="A412">
        <v>409</v>
      </c>
      <c r="B412" t="s">
        <v>1096</v>
      </c>
      <c r="C412" t="s">
        <v>540</v>
      </c>
      <c r="D412" t="s">
        <v>7</v>
      </c>
      <c r="E412" t="s">
        <v>1683</v>
      </c>
      <c r="F412" t="s">
        <v>1635</v>
      </c>
      <c r="G412" t="str">
        <f xml:space="preserve"> PROPER(_xlfn.CONCAT(Table1[[#This Row],[Title]]," ",Table1[[#This Row],[First Name]]," ",Table1[[#This Row],[Last Name]]))</f>
        <v>Mrs Christi Stephens</v>
      </c>
      <c r="H412" t="str">
        <f>SUBSTITUTE(Table1[[#This Row],[Street]],"Road"," Road")</f>
        <v>Edenbridge Close</v>
      </c>
      <c r="I412" t="str">
        <f>SUBSTITUTE(Table1[[#This Row],[Separate combined words ]],"?","")</f>
        <v>Edenbridge Close</v>
      </c>
      <c r="J412" t="str">
        <f>TRIM(Table1[[#This Row],[Remove Question Mark "?"]])</f>
        <v>Edenbridge Close</v>
      </c>
      <c r="K412" t="str">
        <f>PROPER(Table1[[#This Row],[Leading, Multiple &amp; Trailing spaces]])</f>
        <v>Edenbridge Close</v>
      </c>
      <c r="L412" t="str">
        <f t="shared" si="6"/>
        <v>Edenbridge Close</v>
      </c>
      <c r="M412" t="s">
        <v>1683</v>
      </c>
    </row>
    <row r="413" spans="1:13" x14ac:dyDescent="0.3">
      <c r="A413">
        <v>410</v>
      </c>
      <c r="B413" t="s">
        <v>1684</v>
      </c>
      <c r="C413" t="s">
        <v>1685</v>
      </c>
      <c r="D413" t="s">
        <v>7</v>
      </c>
      <c r="E413" t="s">
        <v>1686</v>
      </c>
      <c r="F413" t="s">
        <v>1687</v>
      </c>
      <c r="G413" t="str">
        <f xml:space="preserve"> PROPER(_xlfn.CONCAT(Table1[[#This Row],[Title]]," ",Table1[[#This Row],[First Name]]," ",Table1[[#This Row],[Last Name]]))</f>
        <v>Mrs Dorene Polk</v>
      </c>
      <c r="H413" t="str">
        <f>SUBSTITUTE(Table1[[#This Row],[Street]],"Road"," Road")</f>
        <v>Hemingford Terrace</v>
      </c>
      <c r="I413" t="str">
        <f>SUBSTITUTE(Table1[[#This Row],[Separate combined words ]],"?","")</f>
        <v>Hemingford Terrace</v>
      </c>
      <c r="J413" t="str">
        <f>TRIM(Table1[[#This Row],[Remove Question Mark "?"]])</f>
        <v>Hemingford Terrace</v>
      </c>
      <c r="K413" t="str">
        <f>PROPER(Table1[[#This Row],[Leading, Multiple &amp; Trailing spaces]])</f>
        <v>Hemingford Terrace</v>
      </c>
      <c r="L413" t="str">
        <f t="shared" si="6"/>
        <v>Hemingford Terrace</v>
      </c>
      <c r="M413" t="s">
        <v>1686</v>
      </c>
    </row>
    <row r="414" spans="1:13" x14ac:dyDescent="0.3">
      <c r="A414">
        <v>411</v>
      </c>
      <c r="B414" t="s">
        <v>1688</v>
      </c>
      <c r="C414" t="s">
        <v>1689</v>
      </c>
      <c r="D414" t="s">
        <v>55</v>
      </c>
      <c r="E414" t="s">
        <v>1690</v>
      </c>
      <c r="F414" t="s">
        <v>1031</v>
      </c>
      <c r="G414" t="str">
        <f xml:space="preserve"> PROPER(_xlfn.CONCAT(Table1[[#This Row],[Title]]," ",Table1[[#This Row],[First Name]]," ",Table1[[#This Row],[Last Name]]))</f>
        <v>Prof Christeen Ferreira</v>
      </c>
      <c r="H414" t="str">
        <f>SUBSTITUTE(Table1[[#This Row],[Street]],"Road"," Road")</f>
        <v>Porters Place</v>
      </c>
      <c r="I414" t="str">
        <f>SUBSTITUTE(Table1[[#This Row],[Separate combined words ]],"?","")</f>
        <v>Porters Place</v>
      </c>
      <c r="J414" t="str">
        <f>TRIM(Table1[[#This Row],[Remove Question Mark "?"]])</f>
        <v>Porters Place</v>
      </c>
      <c r="K414" t="str">
        <f>PROPER(Table1[[#This Row],[Leading, Multiple &amp; Trailing spaces]])</f>
        <v>Porters Place</v>
      </c>
      <c r="L414" t="str">
        <f t="shared" si="6"/>
        <v>Porters Place</v>
      </c>
      <c r="M414" t="s">
        <v>1690</v>
      </c>
    </row>
    <row r="415" spans="1:13" x14ac:dyDescent="0.3">
      <c r="A415">
        <v>412</v>
      </c>
      <c r="B415" t="s">
        <v>807</v>
      </c>
      <c r="C415" t="s">
        <v>1691</v>
      </c>
      <c r="D415" t="s">
        <v>7</v>
      </c>
      <c r="E415" t="s">
        <v>1692</v>
      </c>
      <c r="F415" t="s">
        <v>890</v>
      </c>
      <c r="G415" t="str">
        <f xml:space="preserve"> PROPER(_xlfn.CONCAT(Table1[[#This Row],[Title]]," ",Table1[[#This Row],[First Name]]," ",Table1[[#This Row],[Last Name]]))</f>
        <v>Mrs Antonette Pierce</v>
      </c>
      <c r="H415" t="str">
        <f>SUBSTITUTE(Table1[[#This Row],[Street]],"Road"," Road")</f>
        <v>Hendre Cottages</v>
      </c>
      <c r="I415" t="str">
        <f>SUBSTITUTE(Table1[[#This Row],[Separate combined words ]],"?","")</f>
        <v>Hendre Cottages</v>
      </c>
      <c r="J415" t="str">
        <f>TRIM(Table1[[#This Row],[Remove Question Mark "?"]])</f>
        <v>Hendre Cottages</v>
      </c>
      <c r="K415" t="str">
        <f>PROPER(Table1[[#This Row],[Leading, Multiple &amp; Trailing spaces]])</f>
        <v>Hendre Cottages</v>
      </c>
      <c r="L415" t="str">
        <f t="shared" si="6"/>
        <v>Hendre Cottages</v>
      </c>
      <c r="M415" t="s">
        <v>1692</v>
      </c>
    </row>
    <row r="416" spans="1:13" x14ac:dyDescent="0.3">
      <c r="A416">
        <v>413</v>
      </c>
      <c r="B416" t="s">
        <v>1693</v>
      </c>
      <c r="C416" t="s">
        <v>440</v>
      </c>
      <c r="D416" t="s">
        <v>7</v>
      </c>
      <c r="E416" t="s">
        <v>1694</v>
      </c>
      <c r="F416" t="s">
        <v>1695</v>
      </c>
      <c r="G416" t="str">
        <f xml:space="preserve"> PROPER(_xlfn.CONCAT(Table1[[#This Row],[Title]]," ",Table1[[#This Row],[First Name]]," ",Table1[[#This Row],[Last Name]]))</f>
        <v>Mrs Reda Kent</v>
      </c>
      <c r="H416" t="str">
        <f>SUBSTITUTE(Table1[[#This Row],[Street]],"Road"," Road")</f>
        <v>Gerry Raffles</v>
      </c>
      <c r="I416" t="str">
        <f>SUBSTITUTE(Table1[[#This Row],[Separate combined words ]],"?","")</f>
        <v>Gerry Raffles</v>
      </c>
      <c r="J416" t="str">
        <f>TRIM(Table1[[#This Row],[Remove Question Mark "?"]])</f>
        <v>Gerry Raffles</v>
      </c>
      <c r="K416" t="str">
        <f>PROPER(Table1[[#This Row],[Leading, Multiple &amp; Trailing spaces]])</f>
        <v>Gerry Raffles</v>
      </c>
      <c r="L416" t="str">
        <f t="shared" si="6"/>
        <v>Gerry Raffles</v>
      </c>
      <c r="M416" t="s">
        <v>1694</v>
      </c>
    </row>
    <row r="417" spans="1:13" x14ac:dyDescent="0.3">
      <c r="A417">
        <v>414</v>
      </c>
      <c r="B417" t="s">
        <v>1696</v>
      </c>
      <c r="C417" t="s">
        <v>1697</v>
      </c>
      <c r="D417" t="s">
        <v>18</v>
      </c>
      <c r="E417" t="s">
        <v>1698</v>
      </c>
      <c r="F417" t="s">
        <v>655</v>
      </c>
      <c r="G417" t="str">
        <f xml:space="preserve"> PROPER(_xlfn.CONCAT(Table1[[#This Row],[Title]]," ",Table1[[#This Row],[First Name]]," ",Table1[[#This Row],[Last Name]]))</f>
        <v>Miss Chiquita Mclain</v>
      </c>
      <c r="H417" t="str">
        <f>SUBSTITUTE(Table1[[#This Row],[Street]],"Road"," Road")</f>
        <v>Hyndewood</v>
      </c>
      <c r="I417" t="str">
        <f>SUBSTITUTE(Table1[[#This Row],[Separate combined words ]],"?","")</f>
        <v>Hyndewood</v>
      </c>
      <c r="J417" t="str">
        <f>TRIM(Table1[[#This Row],[Remove Question Mark "?"]])</f>
        <v>Hyndewood</v>
      </c>
      <c r="K417" t="str">
        <f>PROPER(Table1[[#This Row],[Leading, Multiple &amp; Trailing spaces]])</f>
        <v>Hyndewood</v>
      </c>
      <c r="L417" t="str">
        <f t="shared" si="6"/>
        <v>Hyndewood</v>
      </c>
      <c r="M417" t="s">
        <v>1698</v>
      </c>
    </row>
    <row r="418" spans="1:13" x14ac:dyDescent="0.3">
      <c r="A418">
        <v>415</v>
      </c>
      <c r="B418" t="s">
        <v>1699</v>
      </c>
      <c r="C418" t="s">
        <v>1700</v>
      </c>
      <c r="D418" t="s">
        <v>7</v>
      </c>
      <c r="E418" t="s">
        <v>1701</v>
      </c>
      <c r="F418" t="s">
        <v>1702</v>
      </c>
      <c r="G418" t="str">
        <f xml:space="preserve"> PROPER(_xlfn.CONCAT(Table1[[#This Row],[Title]]," ",Table1[[#This Row],[First Name]]," ",Table1[[#This Row],[Last Name]]))</f>
        <v>Mrs Barb Caron</v>
      </c>
      <c r="H418" t="str">
        <f>SUBSTITUTE(Table1[[#This Row],[Street]],"Road"," Road")</f>
        <v>Thrale Almshouses</v>
      </c>
      <c r="I418" t="str">
        <f>SUBSTITUTE(Table1[[#This Row],[Separate combined words ]],"?","")</f>
        <v>Thrale Almshouses</v>
      </c>
      <c r="J418" t="str">
        <f>TRIM(Table1[[#This Row],[Remove Question Mark "?"]])</f>
        <v>Thrale Almshouses</v>
      </c>
      <c r="K418" t="str">
        <f>PROPER(Table1[[#This Row],[Leading, Multiple &amp; Trailing spaces]])</f>
        <v>Thrale Almshouses</v>
      </c>
      <c r="L418" t="str">
        <f t="shared" si="6"/>
        <v>Thrale Almshouses</v>
      </c>
      <c r="M418" t="s">
        <v>1701</v>
      </c>
    </row>
    <row r="419" spans="1:13" x14ac:dyDescent="0.3">
      <c r="A419">
        <v>416</v>
      </c>
      <c r="B419" t="s">
        <v>1703</v>
      </c>
      <c r="C419" t="s">
        <v>1704</v>
      </c>
      <c r="D419" t="s">
        <v>71</v>
      </c>
      <c r="E419" t="s">
        <v>1705</v>
      </c>
      <c r="F419" t="s">
        <v>1251</v>
      </c>
      <c r="G419" t="str">
        <f xml:space="preserve"> PROPER(_xlfn.CONCAT(Table1[[#This Row],[Title]]," ",Table1[[#This Row],[First Name]]," ",Table1[[#This Row],[Last Name]]))</f>
        <v>Ms Madelyn Esparza</v>
      </c>
      <c r="H419" t="str">
        <f>SUBSTITUTE(Table1[[#This Row],[Street]],"Road"," Road")</f>
        <v>White Church</v>
      </c>
      <c r="I419" t="str">
        <f>SUBSTITUTE(Table1[[#This Row],[Separate combined words ]],"?","")</f>
        <v>White Church</v>
      </c>
      <c r="J419" t="str">
        <f>TRIM(Table1[[#This Row],[Remove Question Mark "?"]])</f>
        <v>White Church</v>
      </c>
      <c r="K419" t="str">
        <f>PROPER(Table1[[#This Row],[Leading, Multiple &amp; Trailing spaces]])</f>
        <v>White Church</v>
      </c>
      <c r="L419" t="str">
        <f t="shared" si="6"/>
        <v>White Church</v>
      </c>
      <c r="M419" t="s">
        <v>1705</v>
      </c>
    </row>
    <row r="420" spans="1:13" x14ac:dyDescent="0.3">
      <c r="A420">
        <v>417</v>
      </c>
      <c r="B420" t="s">
        <v>1706</v>
      </c>
      <c r="C420" t="s">
        <v>1707</v>
      </c>
      <c r="D420" t="s">
        <v>71</v>
      </c>
      <c r="E420" t="s">
        <v>1708</v>
      </c>
      <c r="F420" t="s">
        <v>1709</v>
      </c>
      <c r="G420" t="str">
        <f xml:space="preserve"> PROPER(_xlfn.CONCAT(Table1[[#This Row],[Title]]," ",Table1[[#This Row],[First Name]]," ",Table1[[#This Row],[Last Name]]))</f>
        <v>Ms Dinah Sullivan</v>
      </c>
      <c r="H420" t="str">
        <f>SUBSTITUTE(Table1[[#This Row],[Street]],"Road"," Road")</f>
        <v>Radcliffe Avenue</v>
      </c>
      <c r="I420" t="str">
        <f>SUBSTITUTE(Table1[[#This Row],[Separate combined words ]],"?","")</f>
        <v>Radcliffe Avenue</v>
      </c>
      <c r="J420" t="str">
        <f>TRIM(Table1[[#This Row],[Remove Question Mark "?"]])</f>
        <v>Radcliffe Avenue</v>
      </c>
      <c r="K420" t="str">
        <f>PROPER(Table1[[#This Row],[Leading, Multiple &amp; Trailing spaces]])</f>
        <v>Radcliffe Avenue</v>
      </c>
      <c r="L420" t="str">
        <f t="shared" si="6"/>
        <v>Radcliffe Avenue</v>
      </c>
      <c r="M420" t="s">
        <v>1708</v>
      </c>
    </row>
    <row r="421" spans="1:13" x14ac:dyDescent="0.3">
      <c r="A421">
        <v>418</v>
      </c>
      <c r="B421" t="s">
        <v>1710</v>
      </c>
      <c r="C421" t="s">
        <v>1711</v>
      </c>
      <c r="D421" t="s">
        <v>7</v>
      </c>
      <c r="E421" t="s">
        <v>1712</v>
      </c>
      <c r="F421" t="s">
        <v>1713</v>
      </c>
      <c r="G421" t="str">
        <f xml:space="preserve"> PROPER(_xlfn.CONCAT(Table1[[#This Row],[Title]]," ",Table1[[#This Row],[First Name]]," ",Table1[[#This Row],[Last Name]]))</f>
        <v>Mrs Shawnta Higgins</v>
      </c>
      <c r="H421" t="str">
        <f>SUBSTITUTE(Table1[[#This Row],[Street]],"Road"," Road")</f>
        <v>Churston Mansions</v>
      </c>
      <c r="I421" t="str">
        <f>SUBSTITUTE(Table1[[#This Row],[Separate combined words ]],"?","")</f>
        <v>Churston Mansions</v>
      </c>
      <c r="J421" t="str">
        <f>TRIM(Table1[[#This Row],[Remove Question Mark "?"]])</f>
        <v>Churston Mansions</v>
      </c>
      <c r="K421" t="str">
        <f>PROPER(Table1[[#This Row],[Leading, Multiple &amp; Trailing spaces]])</f>
        <v>Churston Mansions</v>
      </c>
      <c r="L421" t="str">
        <f t="shared" si="6"/>
        <v>Churston Mansions</v>
      </c>
      <c r="M421" t="s">
        <v>1712</v>
      </c>
    </row>
    <row r="422" spans="1:13" x14ac:dyDescent="0.3">
      <c r="A422">
        <v>419</v>
      </c>
      <c r="B422" t="s">
        <v>1714</v>
      </c>
      <c r="C422" t="s">
        <v>1715</v>
      </c>
      <c r="D422" t="s">
        <v>18</v>
      </c>
      <c r="E422" t="s">
        <v>1716</v>
      </c>
      <c r="F422" t="s">
        <v>1651</v>
      </c>
      <c r="G422" t="str">
        <f xml:space="preserve"> PROPER(_xlfn.CONCAT(Table1[[#This Row],[Title]]," ",Table1[[#This Row],[First Name]]," ",Table1[[#This Row],[Last Name]]))</f>
        <v>Miss Melida Cartwright</v>
      </c>
      <c r="H422" t="str">
        <f>SUBSTITUTE(Table1[[#This Row],[Street]],"Road"," Road")</f>
        <v>Bowness Crescent</v>
      </c>
      <c r="I422" t="str">
        <f>SUBSTITUTE(Table1[[#This Row],[Separate combined words ]],"?","")</f>
        <v>Bowness Crescent</v>
      </c>
      <c r="J422" t="str">
        <f>TRIM(Table1[[#This Row],[Remove Question Mark "?"]])</f>
        <v>Bowness Crescent</v>
      </c>
      <c r="K422" t="str">
        <f>PROPER(Table1[[#This Row],[Leading, Multiple &amp; Trailing spaces]])</f>
        <v>Bowness Crescent</v>
      </c>
      <c r="L422" t="str">
        <f t="shared" si="6"/>
        <v>Bowness Crescent</v>
      </c>
      <c r="M422" t="s">
        <v>1716</v>
      </c>
    </row>
    <row r="423" spans="1:13" x14ac:dyDescent="0.3">
      <c r="A423">
        <v>420</v>
      </c>
      <c r="B423" t="s">
        <v>1717</v>
      </c>
      <c r="C423" t="s">
        <v>398</v>
      </c>
      <c r="D423" t="s">
        <v>18</v>
      </c>
      <c r="E423" t="s">
        <v>1718</v>
      </c>
      <c r="F423" t="s">
        <v>1247</v>
      </c>
      <c r="G423" t="str">
        <f xml:space="preserve"> PROPER(_xlfn.CONCAT(Table1[[#This Row],[Title]]," ",Table1[[#This Row],[First Name]]," ",Table1[[#This Row],[Last Name]]))</f>
        <v>Miss Vickie Barrow</v>
      </c>
      <c r="H423" t="str">
        <f>SUBSTITUTE(Table1[[#This Row],[Street]],"Road"," Road")</f>
        <v>Gleneagles Close</v>
      </c>
      <c r="I423" t="str">
        <f>SUBSTITUTE(Table1[[#This Row],[Separate combined words ]],"?","")</f>
        <v>Gleneagles Close</v>
      </c>
      <c r="J423" t="str">
        <f>TRIM(Table1[[#This Row],[Remove Question Mark "?"]])</f>
        <v>Gleneagles Close</v>
      </c>
      <c r="K423" t="str">
        <f>PROPER(Table1[[#This Row],[Leading, Multiple &amp; Trailing spaces]])</f>
        <v>Gleneagles Close</v>
      </c>
      <c r="L423" t="str">
        <f t="shared" si="6"/>
        <v>Gleneagles Close</v>
      </c>
      <c r="M423" t="s">
        <v>1718</v>
      </c>
    </row>
    <row r="424" spans="1:13" x14ac:dyDescent="0.3">
      <c r="A424">
        <v>421</v>
      </c>
      <c r="B424" t="s">
        <v>1719</v>
      </c>
      <c r="C424" t="s">
        <v>1720</v>
      </c>
      <c r="D424" t="s">
        <v>18</v>
      </c>
      <c r="E424" t="s">
        <v>1721</v>
      </c>
      <c r="F424" t="s">
        <v>1722</v>
      </c>
      <c r="G424" t="str">
        <f xml:space="preserve"> PROPER(_xlfn.CONCAT(Table1[[#This Row],[Title]]," ",Table1[[#This Row],[First Name]]," ",Table1[[#This Row],[Last Name]]))</f>
        <v>Miss Keri Kearney</v>
      </c>
      <c r="H424" t="str">
        <f>SUBSTITUTE(Table1[[#This Row],[Street]],"Road"," Road")</f>
        <v>Brailsford Villas</v>
      </c>
      <c r="I424" t="str">
        <f>SUBSTITUTE(Table1[[#This Row],[Separate combined words ]],"?","")</f>
        <v>Brailsford Villas</v>
      </c>
      <c r="J424" t="str">
        <f>TRIM(Table1[[#This Row],[Remove Question Mark "?"]])</f>
        <v>Brailsford Villas</v>
      </c>
      <c r="K424" t="str">
        <f>PROPER(Table1[[#This Row],[Leading, Multiple &amp; Trailing spaces]])</f>
        <v>Brailsford Villas</v>
      </c>
      <c r="L424" t="str">
        <f t="shared" si="6"/>
        <v>Brailsford Villas</v>
      </c>
      <c r="M424" t="s">
        <v>1721</v>
      </c>
    </row>
    <row r="425" spans="1:13" x14ac:dyDescent="0.3">
      <c r="A425">
        <v>422</v>
      </c>
      <c r="B425" t="s">
        <v>1723</v>
      </c>
      <c r="C425" t="s">
        <v>597</v>
      </c>
      <c r="D425" t="s">
        <v>7</v>
      </c>
      <c r="E425" t="s">
        <v>1724</v>
      </c>
      <c r="F425" t="s">
        <v>579</v>
      </c>
      <c r="G425" t="str">
        <f xml:space="preserve"> PROPER(_xlfn.CONCAT(Table1[[#This Row],[Title]]," ",Table1[[#This Row],[First Name]]," ",Table1[[#This Row],[Last Name]]))</f>
        <v>Mrs Zandra Bass</v>
      </c>
      <c r="H425" t="str">
        <f>SUBSTITUTE(Table1[[#This Row],[Street]],"Road"," Road")</f>
        <v>Voluntary Place</v>
      </c>
      <c r="I425" t="str">
        <f>SUBSTITUTE(Table1[[#This Row],[Separate combined words ]],"?","")</f>
        <v>Voluntary Place</v>
      </c>
      <c r="J425" t="str">
        <f>TRIM(Table1[[#This Row],[Remove Question Mark "?"]])</f>
        <v>Voluntary Place</v>
      </c>
      <c r="K425" t="str">
        <f>PROPER(Table1[[#This Row],[Leading, Multiple &amp; Trailing spaces]])</f>
        <v>Voluntary Place</v>
      </c>
      <c r="L425" t="str">
        <f t="shared" si="6"/>
        <v>Voluntary Place</v>
      </c>
      <c r="M425" t="s">
        <v>1724</v>
      </c>
    </row>
    <row r="426" spans="1:13" x14ac:dyDescent="0.3">
      <c r="A426">
        <v>423</v>
      </c>
      <c r="B426" t="s">
        <v>1725</v>
      </c>
      <c r="C426" t="s">
        <v>1517</v>
      </c>
      <c r="D426" t="s">
        <v>18</v>
      </c>
      <c r="E426" t="s">
        <v>1726</v>
      </c>
      <c r="F426" t="s">
        <v>1727</v>
      </c>
      <c r="G426" t="str">
        <f xml:space="preserve"> PROPER(_xlfn.CONCAT(Table1[[#This Row],[Title]]," ",Table1[[#This Row],[First Name]]," ",Table1[[#This Row],[Last Name]]))</f>
        <v>Miss Brianne Bradshaw</v>
      </c>
      <c r="H426" t="str">
        <f>SUBSTITUTE(Table1[[#This Row],[Street]],"Road"," Road")</f>
        <v>Childs Cottages</v>
      </c>
      <c r="I426" t="str">
        <f>SUBSTITUTE(Table1[[#This Row],[Separate combined words ]],"?","")</f>
        <v>Childs Cottages</v>
      </c>
      <c r="J426" t="str">
        <f>TRIM(Table1[[#This Row],[Remove Question Mark "?"]])</f>
        <v>Childs Cottages</v>
      </c>
      <c r="K426" t="str">
        <f>PROPER(Table1[[#This Row],[Leading, Multiple &amp; Trailing spaces]])</f>
        <v>Childs Cottages</v>
      </c>
      <c r="L426" t="str">
        <f t="shared" si="6"/>
        <v>Childs Cottages</v>
      </c>
      <c r="M426" t="s">
        <v>1726</v>
      </c>
    </row>
    <row r="427" spans="1:13" x14ac:dyDescent="0.3">
      <c r="A427">
        <v>424</v>
      </c>
      <c r="B427" t="s">
        <v>1728</v>
      </c>
      <c r="C427" t="s">
        <v>895</v>
      </c>
      <c r="D427" t="s">
        <v>71</v>
      </c>
      <c r="E427" t="s">
        <v>1729</v>
      </c>
      <c r="F427" t="s">
        <v>1730</v>
      </c>
      <c r="G427" t="str">
        <f xml:space="preserve"> PROPER(_xlfn.CONCAT(Table1[[#This Row],[Title]]," ",Table1[[#This Row],[First Name]]," ",Table1[[#This Row],[Last Name]]))</f>
        <v>Ms Mamie Marion</v>
      </c>
      <c r="H427" t="str">
        <f>SUBSTITUTE(Table1[[#This Row],[Street]],"Road"," Road")</f>
        <v>Barnabas  Road</v>
      </c>
      <c r="I427" t="str">
        <f>SUBSTITUTE(Table1[[#This Row],[Separate combined words ]],"?","")</f>
        <v>Barnabas  Road</v>
      </c>
      <c r="J427" t="str">
        <f>TRIM(Table1[[#This Row],[Remove Question Mark "?"]])</f>
        <v>Barnabas Road</v>
      </c>
      <c r="K427" t="str">
        <f>PROPER(Table1[[#This Row],[Leading, Multiple &amp; Trailing spaces]])</f>
        <v>Barnabas Road</v>
      </c>
      <c r="L427" t="str">
        <f t="shared" si="6"/>
        <v>Barnabas Road</v>
      </c>
      <c r="M427" t="s">
        <v>1729</v>
      </c>
    </row>
    <row r="428" spans="1:13" x14ac:dyDescent="0.3">
      <c r="A428">
        <v>425</v>
      </c>
      <c r="B428" t="s">
        <v>1731</v>
      </c>
      <c r="C428" t="s">
        <v>1732</v>
      </c>
      <c r="D428" t="s">
        <v>7</v>
      </c>
      <c r="E428" t="s">
        <v>1733</v>
      </c>
      <c r="F428" t="s">
        <v>562</v>
      </c>
      <c r="G428" t="str">
        <f xml:space="preserve"> PROPER(_xlfn.CONCAT(Table1[[#This Row],[Title]]," ",Table1[[#This Row],[First Name]]," ",Table1[[#This Row],[Last Name]]))</f>
        <v>Mrs Tami Powers</v>
      </c>
      <c r="H428" t="str">
        <f>SUBSTITUTE(Table1[[#This Row],[Street]],"Road"," Road")</f>
        <v>Salvin  Road</v>
      </c>
      <c r="I428" t="str">
        <f>SUBSTITUTE(Table1[[#This Row],[Separate combined words ]],"?","")</f>
        <v>Salvin  Road</v>
      </c>
      <c r="J428" t="str">
        <f>TRIM(Table1[[#This Row],[Remove Question Mark "?"]])</f>
        <v>Salvin Road</v>
      </c>
      <c r="K428" t="str">
        <f>PROPER(Table1[[#This Row],[Leading, Multiple &amp; Trailing spaces]])</f>
        <v>Salvin Road</v>
      </c>
      <c r="L428" t="str">
        <f t="shared" si="6"/>
        <v>Salvin Road</v>
      </c>
      <c r="M428" t="s">
        <v>1733</v>
      </c>
    </row>
    <row r="429" spans="1:13" x14ac:dyDescent="0.3">
      <c r="A429">
        <v>426</v>
      </c>
      <c r="B429" t="s">
        <v>1734</v>
      </c>
      <c r="C429" t="s">
        <v>1735</v>
      </c>
      <c r="D429" t="s">
        <v>18</v>
      </c>
      <c r="E429" t="s">
        <v>1736</v>
      </c>
      <c r="F429" t="s">
        <v>1737</v>
      </c>
      <c r="G429" t="str">
        <f xml:space="preserve"> PROPER(_xlfn.CONCAT(Table1[[#This Row],[Title]]," ",Table1[[#This Row],[First Name]]," ",Table1[[#This Row],[Last Name]]))</f>
        <v>Miss Micki Matthews</v>
      </c>
      <c r="H429" t="str">
        <f>SUBSTITUTE(Table1[[#This Row],[Street]],"Road"," Road")</f>
        <v>Johns Street</v>
      </c>
      <c r="I429" t="str">
        <f>SUBSTITUTE(Table1[[#This Row],[Separate combined words ]],"?","")</f>
        <v>Johns Street</v>
      </c>
      <c r="J429" t="str">
        <f>TRIM(Table1[[#This Row],[Remove Question Mark "?"]])</f>
        <v>Johns Street</v>
      </c>
      <c r="K429" t="str">
        <f>PROPER(Table1[[#This Row],[Leading, Multiple &amp; Trailing spaces]])</f>
        <v>Johns Street</v>
      </c>
      <c r="L429" t="str">
        <f t="shared" si="6"/>
        <v>Johns Street</v>
      </c>
      <c r="M429" t="s">
        <v>1736</v>
      </c>
    </row>
    <row r="430" spans="1:13" x14ac:dyDescent="0.3">
      <c r="A430">
        <v>427</v>
      </c>
      <c r="B430" t="s">
        <v>1738</v>
      </c>
      <c r="C430" t="s">
        <v>1739</v>
      </c>
      <c r="D430" t="s">
        <v>7</v>
      </c>
      <c r="E430" t="s">
        <v>1740</v>
      </c>
      <c r="F430" t="s">
        <v>1598</v>
      </c>
      <c r="G430" t="str">
        <f xml:space="preserve"> PROPER(_xlfn.CONCAT(Table1[[#This Row],[Title]]," ",Table1[[#This Row],[First Name]]," ",Table1[[#This Row],[Last Name]]))</f>
        <v>Mrs Laticia Norwood</v>
      </c>
      <c r="H430" t="str">
        <f>SUBSTITUTE(Table1[[#This Row],[Street]],"Road"," Road")</f>
        <v>Dolman Close</v>
      </c>
      <c r="I430" t="str">
        <f>SUBSTITUTE(Table1[[#This Row],[Separate combined words ]],"?","")</f>
        <v>Dolman Close</v>
      </c>
      <c r="J430" t="str">
        <f>TRIM(Table1[[#This Row],[Remove Question Mark "?"]])</f>
        <v>Dolman Close</v>
      </c>
      <c r="K430" t="str">
        <f>PROPER(Table1[[#This Row],[Leading, Multiple &amp; Trailing spaces]])</f>
        <v>Dolman Close</v>
      </c>
      <c r="L430" t="str">
        <f t="shared" si="6"/>
        <v>Dolman Close</v>
      </c>
      <c r="M430" t="s">
        <v>1740</v>
      </c>
    </row>
    <row r="431" spans="1:13" x14ac:dyDescent="0.3">
      <c r="A431">
        <v>428</v>
      </c>
      <c r="B431" t="s">
        <v>1741</v>
      </c>
      <c r="C431" t="s">
        <v>1742</v>
      </c>
      <c r="D431" t="s">
        <v>18</v>
      </c>
      <c r="E431" t="s">
        <v>1743</v>
      </c>
      <c r="F431" t="s">
        <v>1744</v>
      </c>
      <c r="G431" t="str">
        <f xml:space="preserve"> PROPER(_xlfn.CONCAT(Table1[[#This Row],[Title]]," ",Table1[[#This Row],[First Name]]," ",Table1[[#This Row],[Last Name]]))</f>
        <v>Miss Erna Harrell</v>
      </c>
      <c r="H431" t="str">
        <f>SUBSTITUTE(Table1[[#This Row],[Street]],"Road"," Road")</f>
        <v>Marlborough Place</v>
      </c>
      <c r="I431" t="str">
        <f>SUBSTITUTE(Table1[[#This Row],[Separate combined words ]],"?","")</f>
        <v>Marlborough Place</v>
      </c>
      <c r="J431" t="str">
        <f>TRIM(Table1[[#This Row],[Remove Question Mark "?"]])</f>
        <v>Marlborough Place</v>
      </c>
      <c r="K431" t="str">
        <f>PROPER(Table1[[#This Row],[Leading, Multiple &amp; Trailing spaces]])</f>
        <v>Marlborough Place</v>
      </c>
      <c r="L431" t="str">
        <f t="shared" si="6"/>
        <v>Marlborough Place</v>
      </c>
      <c r="M431" t="s">
        <v>1743</v>
      </c>
    </row>
    <row r="432" spans="1:13" x14ac:dyDescent="0.3">
      <c r="A432">
        <v>429</v>
      </c>
      <c r="B432" t="s">
        <v>1745</v>
      </c>
      <c r="C432" t="s">
        <v>746</v>
      </c>
      <c r="D432" t="s">
        <v>7</v>
      </c>
      <c r="E432" t="s">
        <v>1746</v>
      </c>
      <c r="F432" t="s">
        <v>700</v>
      </c>
      <c r="G432" t="str">
        <f xml:space="preserve"> PROPER(_xlfn.CONCAT(Table1[[#This Row],[Title]]," ",Table1[[#This Row],[First Name]]," ",Table1[[#This Row],[Last Name]]))</f>
        <v>Mrs Gricelda Gunn</v>
      </c>
      <c r="H432" t="str">
        <f>SUBSTITUTE(Table1[[#This Row],[Street]],"Road"," Road")</f>
        <v>Brockwell Park</v>
      </c>
      <c r="I432" t="str">
        <f>SUBSTITUTE(Table1[[#This Row],[Separate combined words ]],"?","")</f>
        <v>Brockwell Park</v>
      </c>
      <c r="J432" t="str">
        <f>TRIM(Table1[[#This Row],[Remove Question Mark "?"]])</f>
        <v>Brockwell Park</v>
      </c>
      <c r="K432" t="str">
        <f>PROPER(Table1[[#This Row],[Leading, Multiple &amp; Trailing spaces]])</f>
        <v>Brockwell Park</v>
      </c>
      <c r="L432" t="str">
        <f t="shared" si="6"/>
        <v>Brockwell Park</v>
      </c>
      <c r="M432" t="s">
        <v>1746</v>
      </c>
    </row>
    <row r="433" spans="1:13" x14ac:dyDescent="0.3">
      <c r="A433">
        <v>430</v>
      </c>
      <c r="B433" t="s">
        <v>1747</v>
      </c>
      <c r="C433" t="s">
        <v>1748</v>
      </c>
      <c r="D433" t="s">
        <v>18</v>
      </c>
      <c r="E433" t="s">
        <v>1749</v>
      </c>
      <c r="F433" t="s">
        <v>1750</v>
      </c>
      <c r="G433" t="str">
        <f xml:space="preserve"> PROPER(_xlfn.CONCAT(Table1[[#This Row],[Title]]," ",Table1[[#This Row],[First Name]]," ",Table1[[#This Row],[Last Name]]))</f>
        <v>Miss Jacquline Mccray</v>
      </c>
      <c r="H433" t="str">
        <f>SUBSTITUTE(Table1[[#This Row],[Street]],"Road"," Road")</f>
        <v>Middlesex Place</v>
      </c>
      <c r="I433" t="str">
        <f>SUBSTITUTE(Table1[[#This Row],[Separate combined words ]],"?","")</f>
        <v>Middlesex Place</v>
      </c>
      <c r="J433" t="str">
        <f>TRIM(Table1[[#This Row],[Remove Question Mark "?"]])</f>
        <v>Middlesex Place</v>
      </c>
      <c r="K433" t="str">
        <f>PROPER(Table1[[#This Row],[Leading, Multiple &amp; Trailing spaces]])</f>
        <v>Middlesex Place</v>
      </c>
      <c r="L433" t="str">
        <f t="shared" si="6"/>
        <v>Middlesex Place</v>
      </c>
      <c r="M433" t="s">
        <v>1749</v>
      </c>
    </row>
    <row r="434" spans="1:13" x14ac:dyDescent="0.3">
      <c r="A434">
        <v>431</v>
      </c>
      <c r="B434" t="s">
        <v>1751</v>
      </c>
      <c r="C434" t="s">
        <v>1752</v>
      </c>
      <c r="D434" t="s">
        <v>7</v>
      </c>
      <c r="E434" t="s">
        <v>1753</v>
      </c>
      <c r="F434" t="s">
        <v>1754</v>
      </c>
      <c r="G434" t="str">
        <f xml:space="preserve"> PROPER(_xlfn.CONCAT(Table1[[#This Row],[Title]]," ",Table1[[#This Row],[First Name]]," ",Table1[[#This Row],[Last Name]]))</f>
        <v>Mrs Portia Bergman</v>
      </c>
      <c r="H434" t="str">
        <f>SUBSTITUTE(Table1[[#This Row],[Street]],"Road"," Road")</f>
        <v>Fenchurch Avenue</v>
      </c>
      <c r="I434" t="str">
        <f>SUBSTITUTE(Table1[[#This Row],[Separate combined words ]],"?","")</f>
        <v>Fenchurch Avenue</v>
      </c>
      <c r="J434" t="str">
        <f>TRIM(Table1[[#This Row],[Remove Question Mark "?"]])</f>
        <v>Fenchurch Avenue</v>
      </c>
      <c r="K434" t="str">
        <f>PROPER(Table1[[#This Row],[Leading, Multiple &amp; Trailing spaces]])</f>
        <v>Fenchurch Avenue</v>
      </c>
      <c r="L434" t="str">
        <f t="shared" si="6"/>
        <v>Fenchurch Avenue</v>
      </c>
      <c r="M434" t="s">
        <v>1753</v>
      </c>
    </row>
    <row r="435" spans="1:13" x14ac:dyDescent="0.3">
      <c r="A435">
        <v>432</v>
      </c>
      <c r="B435" t="s">
        <v>1419</v>
      </c>
      <c r="C435" t="s">
        <v>420</v>
      </c>
      <c r="D435" t="s">
        <v>7</v>
      </c>
      <c r="E435" t="s">
        <v>1755</v>
      </c>
      <c r="F435" t="s">
        <v>1756</v>
      </c>
      <c r="G435" t="str">
        <f xml:space="preserve"> PROPER(_xlfn.CONCAT(Table1[[#This Row],[Title]]," ",Table1[[#This Row],[First Name]]," ",Table1[[#This Row],[Last Name]]))</f>
        <v>Mrs Carlyn Dickerson</v>
      </c>
      <c r="H435" t="str">
        <f>SUBSTITUTE(Table1[[#This Row],[Street]],"Road"," Road")</f>
        <v>Denham Yard</v>
      </c>
      <c r="I435" t="str">
        <f>SUBSTITUTE(Table1[[#This Row],[Separate combined words ]],"?","")</f>
        <v>Denham Yard</v>
      </c>
      <c r="J435" t="str">
        <f>TRIM(Table1[[#This Row],[Remove Question Mark "?"]])</f>
        <v>Denham Yard</v>
      </c>
      <c r="K435" t="str">
        <f>PROPER(Table1[[#This Row],[Leading, Multiple &amp; Trailing spaces]])</f>
        <v>Denham Yard</v>
      </c>
      <c r="L435" t="str">
        <f t="shared" si="6"/>
        <v>Denham Yard</v>
      </c>
      <c r="M435" t="s">
        <v>1755</v>
      </c>
    </row>
    <row r="436" spans="1:13" x14ac:dyDescent="0.3">
      <c r="A436">
        <v>433</v>
      </c>
      <c r="B436" t="s">
        <v>1757</v>
      </c>
      <c r="C436" t="s">
        <v>1758</v>
      </c>
      <c r="D436" t="s">
        <v>18</v>
      </c>
      <c r="E436" t="s">
        <v>1759</v>
      </c>
      <c r="F436" t="s">
        <v>633</v>
      </c>
      <c r="G436" t="str">
        <f xml:space="preserve"> PROPER(_xlfn.CONCAT(Table1[[#This Row],[Title]]," ",Table1[[#This Row],[First Name]]," ",Table1[[#This Row],[Last Name]]))</f>
        <v>Miss Masako Mckee</v>
      </c>
      <c r="H436" t="str">
        <f>SUBSTITUTE(Table1[[#This Row],[Street]],"Road"," Road")</f>
        <v>Bermondsey Trading</v>
      </c>
      <c r="I436" t="str">
        <f>SUBSTITUTE(Table1[[#This Row],[Separate combined words ]],"?","")</f>
        <v>Bermondsey Trading</v>
      </c>
      <c r="J436" t="str">
        <f>TRIM(Table1[[#This Row],[Remove Question Mark "?"]])</f>
        <v>Bermondsey Trading</v>
      </c>
      <c r="K436" t="str">
        <f>PROPER(Table1[[#This Row],[Leading, Multiple &amp; Trailing spaces]])</f>
        <v>Bermondsey Trading</v>
      </c>
      <c r="L436" t="str">
        <f t="shared" si="6"/>
        <v>Bermondsey Trading</v>
      </c>
      <c r="M436" t="s">
        <v>1759</v>
      </c>
    </row>
    <row r="437" spans="1:13" x14ac:dyDescent="0.3">
      <c r="A437">
        <v>434</v>
      </c>
      <c r="B437" t="s">
        <v>1760</v>
      </c>
      <c r="C437" t="s">
        <v>1761</v>
      </c>
      <c r="D437" t="s">
        <v>7</v>
      </c>
      <c r="E437" t="s">
        <v>1762</v>
      </c>
      <c r="F437" t="s">
        <v>1763</v>
      </c>
      <c r="G437" t="str">
        <f xml:space="preserve"> PROPER(_xlfn.CONCAT(Table1[[#This Row],[Title]]," ",Table1[[#This Row],[First Name]]," ",Table1[[#This Row],[Last Name]]))</f>
        <v>Mrs Gita Chacon</v>
      </c>
      <c r="H437" t="str">
        <f>SUBSTITUTE(Table1[[#This Row],[Street]],"Road"," Road")</f>
        <v>Kensington Palace</v>
      </c>
      <c r="I437" t="str">
        <f>SUBSTITUTE(Table1[[#This Row],[Separate combined words ]],"?","")</f>
        <v>Kensington Palace</v>
      </c>
      <c r="J437" t="str">
        <f>TRIM(Table1[[#This Row],[Remove Question Mark "?"]])</f>
        <v>Kensington Palace</v>
      </c>
      <c r="K437" t="str">
        <f>PROPER(Table1[[#This Row],[Leading, Multiple &amp; Trailing spaces]])</f>
        <v>Kensington Palace</v>
      </c>
      <c r="L437" t="str">
        <f t="shared" si="6"/>
        <v>Kensington Palace</v>
      </c>
      <c r="M437" t="s">
        <v>1762</v>
      </c>
    </row>
    <row r="438" spans="1:13" x14ac:dyDescent="0.3">
      <c r="A438">
        <v>435</v>
      </c>
      <c r="B438" t="s">
        <v>1764</v>
      </c>
      <c r="C438" t="s">
        <v>1765</v>
      </c>
      <c r="D438" t="s">
        <v>7</v>
      </c>
      <c r="E438" t="s">
        <v>1766</v>
      </c>
      <c r="F438" t="s">
        <v>1767</v>
      </c>
      <c r="G438" t="str">
        <f xml:space="preserve"> PROPER(_xlfn.CONCAT(Table1[[#This Row],[Title]]," ",Table1[[#This Row],[First Name]]," ",Table1[[#This Row],[Last Name]]))</f>
        <v>Mrs Ericka Curran</v>
      </c>
      <c r="H438" t="str">
        <f>SUBSTITUTE(Table1[[#This Row],[Street]],"Road"," Road")</f>
        <v>Offenham  Road</v>
      </c>
      <c r="I438" t="str">
        <f>SUBSTITUTE(Table1[[#This Row],[Separate combined words ]],"?","")</f>
        <v>Offenham  Road</v>
      </c>
      <c r="J438" t="str">
        <f>TRIM(Table1[[#This Row],[Remove Question Mark "?"]])</f>
        <v>Offenham Road</v>
      </c>
      <c r="K438" t="str">
        <f>PROPER(Table1[[#This Row],[Leading, Multiple &amp; Trailing spaces]])</f>
        <v>Offenham Road</v>
      </c>
      <c r="L438" t="str">
        <f t="shared" si="6"/>
        <v>Offenham Road</v>
      </c>
      <c r="M438" t="s">
        <v>1766</v>
      </c>
    </row>
    <row r="439" spans="1:13" x14ac:dyDescent="0.3">
      <c r="A439">
        <v>436</v>
      </c>
      <c r="B439" t="s">
        <v>1768</v>
      </c>
      <c r="C439" t="s">
        <v>603</v>
      </c>
      <c r="D439" t="s">
        <v>71</v>
      </c>
      <c r="E439" t="s">
        <v>1769</v>
      </c>
      <c r="F439" t="s">
        <v>1148</v>
      </c>
      <c r="G439" t="str">
        <f xml:space="preserve"> PROPER(_xlfn.CONCAT(Table1[[#This Row],[Title]]," ",Table1[[#This Row],[First Name]]," ",Table1[[#This Row],[Last Name]]))</f>
        <v>Ms Billy John</v>
      </c>
      <c r="H439" t="str">
        <f>SUBSTITUTE(Table1[[#This Row],[Street]],"Road"," Road")</f>
        <v>Lower Tyler</v>
      </c>
      <c r="I439" t="str">
        <f>SUBSTITUTE(Table1[[#This Row],[Separate combined words ]],"?","")</f>
        <v>Lower Tyler</v>
      </c>
      <c r="J439" t="str">
        <f>TRIM(Table1[[#This Row],[Remove Question Mark "?"]])</f>
        <v>Lower Tyler</v>
      </c>
      <c r="K439" t="str">
        <f>PROPER(Table1[[#This Row],[Leading, Multiple &amp; Trailing spaces]])</f>
        <v>Lower Tyler</v>
      </c>
      <c r="L439" t="str">
        <f t="shared" si="6"/>
        <v>Lower Tyler</v>
      </c>
      <c r="M439" t="s">
        <v>1769</v>
      </c>
    </row>
    <row r="440" spans="1:13" x14ac:dyDescent="0.3">
      <c r="A440">
        <v>437</v>
      </c>
      <c r="B440" t="s">
        <v>1770</v>
      </c>
      <c r="C440" t="s">
        <v>1771</v>
      </c>
      <c r="D440" t="s">
        <v>18</v>
      </c>
      <c r="E440" t="s">
        <v>1772</v>
      </c>
      <c r="F440" t="s">
        <v>509</v>
      </c>
      <c r="G440" t="str">
        <f xml:space="preserve"> PROPER(_xlfn.CONCAT(Table1[[#This Row],[Title]]," ",Table1[[#This Row],[First Name]]," ",Table1[[#This Row],[Last Name]]))</f>
        <v>Miss Candis Parham</v>
      </c>
      <c r="H440" t="str">
        <f>SUBSTITUTE(Table1[[#This Row],[Street]],"Road"," Road")</f>
        <v>Oronsay Walk</v>
      </c>
      <c r="I440" t="str">
        <f>SUBSTITUTE(Table1[[#This Row],[Separate combined words ]],"?","")</f>
        <v>Oronsay Walk</v>
      </c>
      <c r="J440" t="str">
        <f>TRIM(Table1[[#This Row],[Remove Question Mark "?"]])</f>
        <v>Oronsay Walk</v>
      </c>
      <c r="K440" t="str">
        <f>PROPER(Table1[[#This Row],[Leading, Multiple &amp; Trailing spaces]])</f>
        <v>Oronsay Walk</v>
      </c>
      <c r="L440" t="str">
        <f t="shared" si="6"/>
        <v>Oronsay Walk</v>
      </c>
      <c r="M440" t="s">
        <v>1772</v>
      </c>
    </row>
    <row r="441" spans="1:13" x14ac:dyDescent="0.3">
      <c r="A441">
        <v>438</v>
      </c>
      <c r="B441" t="s">
        <v>1773</v>
      </c>
      <c r="C441" t="s">
        <v>1774</v>
      </c>
      <c r="D441" t="s">
        <v>18</v>
      </c>
      <c r="E441" t="s">
        <v>1775</v>
      </c>
      <c r="F441" t="s">
        <v>995</v>
      </c>
      <c r="G441" t="str">
        <f xml:space="preserve"> PROPER(_xlfn.CONCAT(Table1[[#This Row],[Title]]," ",Table1[[#This Row],[First Name]]," ",Table1[[#This Row],[Last Name]]))</f>
        <v>Miss Zaida Decker</v>
      </c>
      <c r="H441" t="str">
        <f>SUBSTITUTE(Table1[[#This Row],[Street]],"Road"," Road")</f>
        <v>Ellerslie Gardens</v>
      </c>
      <c r="I441" t="str">
        <f>SUBSTITUTE(Table1[[#This Row],[Separate combined words ]],"?","")</f>
        <v>Ellerslie Gardens</v>
      </c>
      <c r="J441" t="str">
        <f>TRIM(Table1[[#This Row],[Remove Question Mark "?"]])</f>
        <v>Ellerslie Gardens</v>
      </c>
      <c r="K441" t="str">
        <f>PROPER(Table1[[#This Row],[Leading, Multiple &amp; Trailing spaces]])</f>
        <v>Ellerslie Gardens</v>
      </c>
      <c r="L441" t="str">
        <f t="shared" si="6"/>
        <v>Ellerslie Gardens</v>
      </c>
      <c r="M441" t="s">
        <v>1775</v>
      </c>
    </row>
    <row r="442" spans="1:13" x14ac:dyDescent="0.3">
      <c r="A442">
        <v>439</v>
      </c>
      <c r="B442" t="s">
        <v>1776</v>
      </c>
      <c r="C442" t="s">
        <v>1777</v>
      </c>
      <c r="D442" t="s">
        <v>7</v>
      </c>
      <c r="E442" t="s">
        <v>1778</v>
      </c>
      <c r="F442" t="s">
        <v>1779</v>
      </c>
      <c r="G442" t="str">
        <f xml:space="preserve"> PROPER(_xlfn.CONCAT(Table1[[#This Row],[Title]]," ",Table1[[#This Row],[First Name]]," ",Table1[[#This Row],[Last Name]]))</f>
        <v>Mrs Lan Metcalf</v>
      </c>
      <c r="H442" t="str">
        <f>SUBSTITUTE(Table1[[#This Row],[Street]],"Road"," Road")</f>
        <v>Greet Street</v>
      </c>
      <c r="I442" t="str">
        <f>SUBSTITUTE(Table1[[#This Row],[Separate combined words ]],"?","")</f>
        <v>Greet Street</v>
      </c>
      <c r="J442" t="str">
        <f>TRIM(Table1[[#This Row],[Remove Question Mark "?"]])</f>
        <v>Greet Street</v>
      </c>
      <c r="K442" t="str">
        <f>PROPER(Table1[[#This Row],[Leading, Multiple &amp; Trailing spaces]])</f>
        <v>Greet Street</v>
      </c>
      <c r="L442" t="str">
        <f t="shared" si="6"/>
        <v>Greet Street</v>
      </c>
      <c r="M442" t="s">
        <v>1778</v>
      </c>
    </row>
    <row r="443" spans="1:13" x14ac:dyDescent="0.3">
      <c r="A443">
        <v>440</v>
      </c>
      <c r="B443" t="s">
        <v>1780</v>
      </c>
      <c r="C443" t="s">
        <v>1781</v>
      </c>
      <c r="D443" t="s">
        <v>7</v>
      </c>
      <c r="E443" t="s">
        <v>1782</v>
      </c>
      <c r="F443" t="s">
        <v>1783</v>
      </c>
      <c r="G443" t="str">
        <f xml:space="preserve"> PROPER(_xlfn.CONCAT(Table1[[#This Row],[Title]]," ",Table1[[#This Row],[First Name]]," ",Table1[[#This Row],[Last Name]]))</f>
        <v>Mrs Micah Lockhart</v>
      </c>
      <c r="H443" t="str">
        <f>SUBSTITUTE(Table1[[#This Row],[Street]],"Road"," Road")</f>
        <v>Paul's Court</v>
      </c>
      <c r="I443" t="str">
        <f>SUBSTITUTE(Table1[[#This Row],[Separate combined words ]],"?","")</f>
        <v>Paul's Court</v>
      </c>
      <c r="J443" t="str">
        <f>TRIM(Table1[[#This Row],[Remove Question Mark "?"]])</f>
        <v>Paul's Court</v>
      </c>
      <c r="K443" t="str">
        <f>PROPER(Table1[[#This Row],[Leading, Multiple &amp; Trailing spaces]])</f>
        <v>Paul'S Court</v>
      </c>
      <c r="L443" t="str">
        <f t="shared" si="6"/>
        <v>Paul'S Court</v>
      </c>
      <c r="M443" t="s">
        <v>3432</v>
      </c>
    </row>
    <row r="444" spans="1:13" x14ac:dyDescent="0.3">
      <c r="A444">
        <v>441</v>
      </c>
      <c r="B444" t="s">
        <v>1784</v>
      </c>
      <c r="C444" t="s">
        <v>1785</v>
      </c>
      <c r="D444" t="s">
        <v>7</v>
      </c>
      <c r="E444" t="s">
        <v>1786</v>
      </c>
      <c r="F444" t="s">
        <v>1787</v>
      </c>
      <c r="G444" t="str">
        <f xml:space="preserve"> PROPER(_xlfn.CONCAT(Table1[[#This Row],[Title]]," ",Table1[[#This Row],[First Name]]," ",Table1[[#This Row],[Last Name]]))</f>
        <v>Mrs Jennefer Hopper</v>
      </c>
      <c r="H444" t="str">
        <f>SUBSTITUTE(Table1[[#This Row],[Street]],"Road"," Road")</f>
        <v>Kirby Estate</v>
      </c>
      <c r="I444" t="str">
        <f>SUBSTITUTE(Table1[[#This Row],[Separate combined words ]],"?","")</f>
        <v>Kirby Estate</v>
      </c>
      <c r="J444" t="str">
        <f>TRIM(Table1[[#This Row],[Remove Question Mark "?"]])</f>
        <v>Kirby Estate</v>
      </c>
      <c r="K444" t="str">
        <f>PROPER(Table1[[#This Row],[Leading, Multiple &amp; Trailing spaces]])</f>
        <v>Kirby Estate</v>
      </c>
      <c r="L444" t="str">
        <f t="shared" si="6"/>
        <v>Kirby Estate</v>
      </c>
      <c r="M444" t="s">
        <v>1786</v>
      </c>
    </row>
    <row r="445" spans="1:13" x14ac:dyDescent="0.3">
      <c r="A445">
        <v>442</v>
      </c>
      <c r="B445" t="s">
        <v>1788</v>
      </c>
      <c r="C445" t="s">
        <v>702</v>
      </c>
      <c r="D445" t="s">
        <v>18</v>
      </c>
      <c r="E445" t="s">
        <v>1789</v>
      </c>
      <c r="F445" t="s">
        <v>395</v>
      </c>
      <c r="G445" t="str">
        <f xml:space="preserve"> PROPER(_xlfn.CONCAT(Table1[[#This Row],[Title]]," ",Table1[[#This Row],[First Name]]," ",Table1[[#This Row],[Last Name]]))</f>
        <v>Miss Steffanie Lyons</v>
      </c>
      <c r="H445" t="str">
        <f>SUBSTITUTE(Table1[[#This Row],[Street]],"Road"," Road")</f>
        <v>Napoleon Court</v>
      </c>
      <c r="I445" t="str">
        <f>SUBSTITUTE(Table1[[#This Row],[Separate combined words ]],"?","")</f>
        <v>Napoleon Court</v>
      </c>
      <c r="J445" t="str">
        <f>TRIM(Table1[[#This Row],[Remove Question Mark "?"]])</f>
        <v>Napoleon Court</v>
      </c>
      <c r="K445" t="str">
        <f>PROPER(Table1[[#This Row],[Leading, Multiple &amp; Trailing spaces]])</f>
        <v>Napoleon Court</v>
      </c>
      <c r="L445" t="str">
        <f t="shared" si="6"/>
        <v>Napoleon Court</v>
      </c>
      <c r="M445" t="s">
        <v>1789</v>
      </c>
    </row>
    <row r="446" spans="1:13" x14ac:dyDescent="0.3">
      <c r="A446">
        <v>443</v>
      </c>
      <c r="B446" t="s">
        <v>126</v>
      </c>
      <c r="C446" t="s">
        <v>228</v>
      </c>
      <c r="D446" t="s">
        <v>18</v>
      </c>
      <c r="E446" t="s">
        <v>1790</v>
      </c>
      <c r="F446" t="s">
        <v>1791</v>
      </c>
      <c r="G446" t="str">
        <f xml:space="preserve"> PROPER(_xlfn.CONCAT(Table1[[#This Row],[Title]]," ",Table1[[#This Row],[First Name]]," ",Table1[[#This Row],[Last Name]]))</f>
        <v>Miss Donella England</v>
      </c>
      <c r="H446" t="str">
        <f>SUBSTITUTE(Table1[[#This Row],[Street]],"Road"," Road")</f>
        <v>Woodlawn Close</v>
      </c>
      <c r="I446" t="str">
        <f>SUBSTITUTE(Table1[[#This Row],[Separate combined words ]],"?","")</f>
        <v>Woodlawn Close</v>
      </c>
      <c r="J446" t="str">
        <f>TRIM(Table1[[#This Row],[Remove Question Mark "?"]])</f>
        <v>Woodlawn Close</v>
      </c>
      <c r="K446" t="str">
        <f>PROPER(Table1[[#This Row],[Leading, Multiple &amp; Trailing spaces]])</f>
        <v>Woodlawn Close</v>
      </c>
      <c r="L446" t="str">
        <f t="shared" si="6"/>
        <v>Woodlawn Close</v>
      </c>
      <c r="M446" t="s">
        <v>1790</v>
      </c>
    </row>
    <row r="447" spans="1:13" x14ac:dyDescent="0.3">
      <c r="A447">
        <v>444</v>
      </c>
      <c r="B447" t="s">
        <v>1792</v>
      </c>
      <c r="C447" t="s">
        <v>1793</v>
      </c>
      <c r="D447" t="s">
        <v>18</v>
      </c>
      <c r="E447" t="s">
        <v>1794</v>
      </c>
      <c r="F447" t="s">
        <v>1795</v>
      </c>
      <c r="G447" t="str">
        <f xml:space="preserve"> PROPER(_xlfn.CONCAT(Table1[[#This Row],[Title]]," ",Table1[[#This Row],[First Name]]," ",Table1[[#This Row],[Last Name]]))</f>
        <v>Miss Refugio Willis</v>
      </c>
      <c r="H447" t="str">
        <f>SUBSTITUTE(Table1[[#This Row],[Street]],"Road"," Road")</f>
        <v>Ashbourne Villas</v>
      </c>
      <c r="I447" t="str">
        <f>SUBSTITUTE(Table1[[#This Row],[Separate combined words ]],"?","")</f>
        <v>Ashbourne Villas</v>
      </c>
      <c r="J447" t="str">
        <f>TRIM(Table1[[#This Row],[Remove Question Mark "?"]])</f>
        <v>Ashbourne Villas</v>
      </c>
      <c r="K447" t="str">
        <f>PROPER(Table1[[#This Row],[Leading, Multiple &amp; Trailing spaces]])</f>
        <v>Ashbourne Villas</v>
      </c>
      <c r="L447" t="str">
        <f t="shared" si="6"/>
        <v>Ashbourne Villas</v>
      </c>
      <c r="M447" t="s">
        <v>1794</v>
      </c>
    </row>
    <row r="448" spans="1:13" x14ac:dyDescent="0.3">
      <c r="A448">
        <v>445</v>
      </c>
      <c r="B448" t="s">
        <v>1796</v>
      </c>
      <c r="C448" t="s">
        <v>1797</v>
      </c>
      <c r="D448" t="s">
        <v>18</v>
      </c>
      <c r="E448" t="s">
        <v>1798</v>
      </c>
      <c r="F448" t="s">
        <v>1799</v>
      </c>
      <c r="G448" t="str">
        <f xml:space="preserve"> PROPER(_xlfn.CONCAT(Table1[[#This Row],[Title]]," ",Table1[[#This Row],[First Name]]," ",Table1[[#This Row],[Last Name]]))</f>
        <v>Miss Nelle Miles</v>
      </c>
      <c r="H448" t="str">
        <f>SUBSTITUTE(Table1[[#This Row],[Street]],"Road"," Road")</f>
        <v>Dimson Crescent</v>
      </c>
      <c r="I448" t="str">
        <f>SUBSTITUTE(Table1[[#This Row],[Separate combined words ]],"?","")</f>
        <v>Dimson Crescent</v>
      </c>
      <c r="J448" t="str">
        <f>TRIM(Table1[[#This Row],[Remove Question Mark "?"]])</f>
        <v>Dimson Crescent</v>
      </c>
      <c r="K448" t="str">
        <f>PROPER(Table1[[#This Row],[Leading, Multiple &amp; Trailing spaces]])</f>
        <v>Dimson Crescent</v>
      </c>
      <c r="L448" t="str">
        <f t="shared" si="6"/>
        <v>Dimson Crescent</v>
      </c>
      <c r="M448" t="s">
        <v>1798</v>
      </c>
    </row>
    <row r="449" spans="1:13" x14ac:dyDescent="0.3">
      <c r="A449">
        <v>446</v>
      </c>
      <c r="B449" t="s">
        <v>1800</v>
      </c>
      <c r="C449" t="s">
        <v>1801</v>
      </c>
      <c r="D449" t="s">
        <v>18</v>
      </c>
      <c r="E449" t="s">
        <v>1802</v>
      </c>
      <c r="F449" t="s">
        <v>1803</v>
      </c>
      <c r="G449" t="str">
        <f xml:space="preserve"> PROPER(_xlfn.CONCAT(Table1[[#This Row],[Title]]," ",Table1[[#This Row],[First Name]]," ",Table1[[#This Row],[Last Name]]))</f>
        <v>Miss Marge Sprague</v>
      </c>
      <c r="H449" t="str">
        <f>SUBSTITUTE(Table1[[#This Row],[Street]],"Road"," Road")</f>
        <v>Barnes Alley</v>
      </c>
      <c r="I449" t="str">
        <f>SUBSTITUTE(Table1[[#This Row],[Separate combined words ]],"?","")</f>
        <v>Barnes Alley</v>
      </c>
      <c r="J449" t="str">
        <f>TRIM(Table1[[#This Row],[Remove Question Mark "?"]])</f>
        <v>Barnes Alley</v>
      </c>
      <c r="K449" t="str">
        <f>PROPER(Table1[[#This Row],[Leading, Multiple &amp; Trailing spaces]])</f>
        <v>Barnes Alley</v>
      </c>
      <c r="L449" t="str">
        <f t="shared" si="6"/>
        <v>Barnes Alley</v>
      </c>
      <c r="M449" t="s">
        <v>1802</v>
      </c>
    </row>
    <row r="450" spans="1:13" x14ac:dyDescent="0.3">
      <c r="A450">
        <v>447</v>
      </c>
      <c r="B450" t="s">
        <v>1804</v>
      </c>
      <c r="C450" t="s">
        <v>1805</v>
      </c>
      <c r="D450" t="s">
        <v>18</v>
      </c>
      <c r="E450" t="s">
        <v>1806</v>
      </c>
      <c r="F450" t="s">
        <v>878</v>
      </c>
      <c r="G450" t="str">
        <f xml:space="preserve"> PROPER(_xlfn.CONCAT(Table1[[#This Row],[Title]]," ",Table1[[#This Row],[First Name]]," ",Table1[[#This Row],[Last Name]]))</f>
        <v>Miss Ingrid Flowers</v>
      </c>
      <c r="H450" t="str">
        <f>SUBSTITUTE(Table1[[#This Row],[Street]],"Road"," Road")</f>
        <v>Pilsdon Close</v>
      </c>
      <c r="I450" t="str">
        <f>SUBSTITUTE(Table1[[#This Row],[Separate combined words ]],"?","")</f>
        <v>Pilsdon Close</v>
      </c>
      <c r="J450" t="str">
        <f>TRIM(Table1[[#This Row],[Remove Question Mark "?"]])</f>
        <v>Pilsdon Close</v>
      </c>
      <c r="K450" t="str">
        <f>PROPER(Table1[[#This Row],[Leading, Multiple &amp; Trailing spaces]])</f>
        <v>Pilsdon Close</v>
      </c>
      <c r="L450" t="str">
        <f t="shared" si="6"/>
        <v>Pilsdon Close</v>
      </c>
      <c r="M450" t="s">
        <v>1806</v>
      </c>
    </row>
    <row r="451" spans="1:13" x14ac:dyDescent="0.3">
      <c r="A451">
        <v>448</v>
      </c>
      <c r="B451" t="s">
        <v>1807</v>
      </c>
      <c r="C451" t="s">
        <v>1808</v>
      </c>
      <c r="D451" t="s">
        <v>18</v>
      </c>
      <c r="E451" t="s">
        <v>1809</v>
      </c>
      <c r="F451" t="s">
        <v>277</v>
      </c>
      <c r="G451" t="str">
        <f xml:space="preserve"> PROPER(_xlfn.CONCAT(Table1[[#This Row],[Title]]," ",Table1[[#This Row],[First Name]]," ",Table1[[#This Row],[Last Name]]))</f>
        <v>Miss Suzie Potts</v>
      </c>
      <c r="H451" t="str">
        <f>SUBSTITUTE(Table1[[#This Row],[Street]],"Road"," Road")</f>
        <v>Pekin Place</v>
      </c>
      <c r="I451" t="str">
        <f>SUBSTITUTE(Table1[[#This Row],[Separate combined words ]],"?","")</f>
        <v>Pekin Place</v>
      </c>
      <c r="J451" t="str">
        <f>TRIM(Table1[[#This Row],[Remove Question Mark "?"]])</f>
        <v>Pekin Place</v>
      </c>
      <c r="K451" t="str">
        <f>PROPER(Table1[[#This Row],[Leading, Multiple &amp; Trailing spaces]])</f>
        <v>Pekin Place</v>
      </c>
      <c r="L451" t="str">
        <f t="shared" si="6"/>
        <v>Pekin Place</v>
      </c>
      <c r="M451" t="s">
        <v>1809</v>
      </c>
    </row>
    <row r="452" spans="1:13" x14ac:dyDescent="0.3">
      <c r="A452">
        <v>449</v>
      </c>
      <c r="B452" t="s">
        <v>1810</v>
      </c>
      <c r="C452" t="s">
        <v>769</v>
      </c>
      <c r="D452" t="s">
        <v>7</v>
      </c>
      <c r="E452" t="s">
        <v>1811</v>
      </c>
      <c r="F452" t="s">
        <v>478</v>
      </c>
      <c r="G452" t="str">
        <f xml:space="preserve"> PROPER(_xlfn.CONCAT(Table1[[#This Row],[Title]]," ",Table1[[#This Row],[First Name]]," ",Table1[[#This Row],[Last Name]]))</f>
        <v>Mrs Yoko Holden</v>
      </c>
      <c r="H452" t="str">
        <f>SUBSTITUTE(Table1[[#This Row],[Street]],"Road"," Road")</f>
        <v>College Mews</v>
      </c>
      <c r="I452" t="str">
        <f>SUBSTITUTE(Table1[[#This Row],[Separate combined words ]],"?","")</f>
        <v>College Mews</v>
      </c>
      <c r="J452" t="str">
        <f>TRIM(Table1[[#This Row],[Remove Question Mark "?"]])</f>
        <v>College Mews</v>
      </c>
      <c r="K452" t="str">
        <f>PROPER(Table1[[#This Row],[Leading, Multiple &amp; Trailing spaces]])</f>
        <v>College Mews</v>
      </c>
      <c r="L452" t="str">
        <f t="shared" si="6"/>
        <v>College Mews</v>
      </c>
      <c r="M452" t="s">
        <v>1811</v>
      </c>
    </row>
    <row r="453" spans="1:13" x14ac:dyDescent="0.3">
      <c r="A453">
        <v>450</v>
      </c>
      <c r="B453" t="s">
        <v>1812</v>
      </c>
      <c r="C453" t="s">
        <v>1813</v>
      </c>
      <c r="D453" t="s">
        <v>7</v>
      </c>
      <c r="E453" t="s">
        <v>1814</v>
      </c>
      <c r="F453" t="s">
        <v>1815</v>
      </c>
      <c r="G453" t="str">
        <f xml:space="preserve"> PROPER(_xlfn.CONCAT(Table1[[#This Row],[Title]]," ",Table1[[#This Row],[First Name]]," ",Table1[[#This Row],[Last Name]]))</f>
        <v>Mrs Elvina Mcbride</v>
      </c>
      <c r="H453" t="str">
        <f>SUBSTITUTE(Table1[[#This Row],[Street]],"Road"," Road")</f>
        <v>Mabley Street</v>
      </c>
      <c r="I453" t="str">
        <f>SUBSTITUTE(Table1[[#This Row],[Separate combined words ]],"?","")</f>
        <v>Mabley Street</v>
      </c>
      <c r="J453" t="str">
        <f>TRIM(Table1[[#This Row],[Remove Question Mark "?"]])</f>
        <v>Mabley Street</v>
      </c>
      <c r="K453" t="str">
        <f>PROPER(Table1[[#This Row],[Leading, Multiple &amp; Trailing spaces]])</f>
        <v>Mabley Street</v>
      </c>
      <c r="L453" t="str">
        <f t="shared" ref="L453:L516" si="7">TRIM(PROPER(SUBSTITUTE(SUBSTITUTE((E453),"?",""),"Road"," Road")))</f>
        <v>Mabley Street</v>
      </c>
      <c r="M453" t="s">
        <v>1814</v>
      </c>
    </row>
    <row r="454" spans="1:13" x14ac:dyDescent="0.3">
      <c r="A454">
        <v>451</v>
      </c>
      <c r="B454" t="s">
        <v>1816</v>
      </c>
      <c r="C454" t="s">
        <v>1817</v>
      </c>
      <c r="D454" t="s">
        <v>7</v>
      </c>
      <c r="E454" t="s">
        <v>1818</v>
      </c>
      <c r="F454" t="s">
        <v>903</v>
      </c>
      <c r="G454" t="str">
        <f xml:space="preserve"> PROPER(_xlfn.CONCAT(Table1[[#This Row],[Title]]," ",Table1[[#This Row],[First Name]]," ",Table1[[#This Row],[Last Name]]))</f>
        <v>Mrs Vernita Messer</v>
      </c>
      <c r="H454" t="str">
        <f>SUBSTITUTE(Table1[[#This Row],[Street]],"Road"," Road")</f>
        <v>Chase Gardens</v>
      </c>
      <c r="I454" t="str">
        <f>SUBSTITUTE(Table1[[#This Row],[Separate combined words ]],"?","")</f>
        <v>Chase Gardens</v>
      </c>
      <c r="J454" t="str">
        <f>TRIM(Table1[[#This Row],[Remove Question Mark "?"]])</f>
        <v>Chase Gardens</v>
      </c>
      <c r="K454" t="str">
        <f>PROPER(Table1[[#This Row],[Leading, Multiple &amp; Trailing spaces]])</f>
        <v>Chase Gardens</v>
      </c>
      <c r="L454" t="str">
        <f t="shared" si="7"/>
        <v>Chase Gardens</v>
      </c>
      <c r="M454" t="s">
        <v>1818</v>
      </c>
    </row>
    <row r="455" spans="1:13" x14ac:dyDescent="0.3">
      <c r="A455">
        <v>452</v>
      </c>
      <c r="B455" t="s">
        <v>217</v>
      </c>
      <c r="C455" t="s">
        <v>1819</v>
      </c>
      <c r="D455" t="s">
        <v>7</v>
      </c>
      <c r="E455" t="s">
        <v>1820</v>
      </c>
      <c r="F455" t="s">
        <v>1302</v>
      </c>
      <c r="G455" t="str">
        <f xml:space="preserve"> PROPER(_xlfn.CONCAT(Table1[[#This Row],[Title]]," ",Table1[[#This Row],[First Name]]," ",Table1[[#This Row],[Last Name]]))</f>
        <v>Mrs Lea Weston</v>
      </c>
      <c r="H455" t="str">
        <f>SUBSTITUTE(Table1[[#This Row],[Street]],"Road"," Road")</f>
        <v>Windus  Road</v>
      </c>
      <c r="I455" t="str">
        <f>SUBSTITUTE(Table1[[#This Row],[Separate combined words ]],"?","")</f>
        <v>Windus  Road</v>
      </c>
      <c r="J455" t="str">
        <f>TRIM(Table1[[#This Row],[Remove Question Mark "?"]])</f>
        <v>Windus Road</v>
      </c>
      <c r="K455" t="str">
        <f>PROPER(Table1[[#This Row],[Leading, Multiple &amp; Trailing spaces]])</f>
        <v>Windus Road</v>
      </c>
      <c r="L455" t="str">
        <f t="shared" si="7"/>
        <v>Windus Road</v>
      </c>
      <c r="M455" t="s">
        <v>1820</v>
      </c>
    </row>
    <row r="456" spans="1:13" x14ac:dyDescent="0.3">
      <c r="A456">
        <v>453</v>
      </c>
      <c r="B456" t="s">
        <v>1821</v>
      </c>
      <c r="C456" t="s">
        <v>1822</v>
      </c>
      <c r="D456" t="s">
        <v>18</v>
      </c>
      <c r="E456" t="s">
        <v>1823</v>
      </c>
      <c r="F456" t="s">
        <v>1824</v>
      </c>
      <c r="G456" t="str">
        <f xml:space="preserve"> PROPER(_xlfn.CONCAT(Table1[[#This Row],[Title]]," ",Table1[[#This Row],[First Name]]," ",Table1[[#This Row],[Last Name]]))</f>
        <v>Miss Mildred Nieves</v>
      </c>
      <c r="H456" t="str">
        <f>SUBSTITUTE(Table1[[#This Row],[Street]],"Road"," Road")</f>
        <v>Orleston Mews</v>
      </c>
      <c r="I456" t="str">
        <f>SUBSTITUTE(Table1[[#This Row],[Separate combined words ]],"?","")</f>
        <v>Orleston Mews</v>
      </c>
      <c r="J456" t="str">
        <f>TRIM(Table1[[#This Row],[Remove Question Mark "?"]])</f>
        <v>Orleston Mews</v>
      </c>
      <c r="K456" t="str">
        <f>PROPER(Table1[[#This Row],[Leading, Multiple &amp; Trailing spaces]])</f>
        <v>Orleston Mews</v>
      </c>
      <c r="L456" t="str">
        <f t="shared" si="7"/>
        <v>Orleston Mews</v>
      </c>
      <c r="M456" t="s">
        <v>1823</v>
      </c>
    </row>
    <row r="457" spans="1:13" x14ac:dyDescent="0.3">
      <c r="A457">
        <v>454</v>
      </c>
      <c r="B457" t="s">
        <v>481</v>
      </c>
      <c r="C457" t="s">
        <v>1825</v>
      </c>
      <c r="D457" t="s">
        <v>18</v>
      </c>
      <c r="E457" t="s">
        <v>1826</v>
      </c>
      <c r="F457" t="s">
        <v>1827</v>
      </c>
      <c r="G457" t="str">
        <f xml:space="preserve"> PROPER(_xlfn.CONCAT(Table1[[#This Row],[Title]]," ",Table1[[#This Row],[First Name]]," ",Table1[[#This Row],[Last Name]]))</f>
        <v>Miss Shakira Major</v>
      </c>
      <c r="H457" t="str">
        <f>SUBSTITUTE(Table1[[#This Row],[Street]],"Road"," Road")</f>
        <v>Capitol Way</v>
      </c>
      <c r="I457" t="str">
        <f>SUBSTITUTE(Table1[[#This Row],[Separate combined words ]],"?","")</f>
        <v>Capitol Way</v>
      </c>
      <c r="J457" t="str">
        <f>TRIM(Table1[[#This Row],[Remove Question Mark "?"]])</f>
        <v>Capitol Way</v>
      </c>
      <c r="K457" t="str">
        <f>PROPER(Table1[[#This Row],[Leading, Multiple &amp; Trailing spaces]])</f>
        <v>Capitol Way</v>
      </c>
      <c r="L457" t="str">
        <f t="shared" si="7"/>
        <v>Capitol Way</v>
      </c>
      <c r="M457" t="s">
        <v>1826</v>
      </c>
    </row>
    <row r="458" spans="1:13" x14ac:dyDescent="0.3">
      <c r="A458">
        <v>455</v>
      </c>
      <c r="B458" t="s">
        <v>1828</v>
      </c>
      <c r="C458" t="s">
        <v>594</v>
      </c>
      <c r="D458" t="s">
        <v>18</v>
      </c>
      <c r="E458" t="s">
        <v>1829</v>
      </c>
      <c r="F458" t="s">
        <v>491</v>
      </c>
      <c r="G458" t="str">
        <f xml:space="preserve"> PROPER(_xlfn.CONCAT(Table1[[#This Row],[Title]]," ",Table1[[#This Row],[First Name]]," ",Table1[[#This Row],[Last Name]]))</f>
        <v>Miss Harold Boykin</v>
      </c>
      <c r="H458" t="str">
        <f>SUBSTITUTE(Table1[[#This Row],[Street]],"Road"," Road")</f>
        <v>Stalham Street</v>
      </c>
      <c r="I458" t="str">
        <f>SUBSTITUTE(Table1[[#This Row],[Separate combined words ]],"?","")</f>
        <v>Stalham Street</v>
      </c>
      <c r="J458" t="str">
        <f>TRIM(Table1[[#This Row],[Remove Question Mark "?"]])</f>
        <v>Stalham Street</v>
      </c>
      <c r="K458" t="str">
        <f>PROPER(Table1[[#This Row],[Leading, Multiple &amp; Trailing spaces]])</f>
        <v>Stalham Street</v>
      </c>
      <c r="L458" t="str">
        <f t="shared" si="7"/>
        <v>Stalham Street</v>
      </c>
      <c r="M458" t="s">
        <v>1829</v>
      </c>
    </row>
    <row r="459" spans="1:13" x14ac:dyDescent="0.3">
      <c r="A459">
        <v>456</v>
      </c>
      <c r="B459" t="s">
        <v>1830</v>
      </c>
      <c r="C459" t="s">
        <v>1831</v>
      </c>
      <c r="D459" t="s">
        <v>7</v>
      </c>
      <c r="E459" t="s">
        <v>1832</v>
      </c>
      <c r="F459" t="s">
        <v>410</v>
      </c>
      <c r="G459" t="str">
        <f xml:space="preserve"> PROPER(_xlfn.CONCAT(Table1[[#This Row],[Title]]," ",Table1[[#This Row],[First Name]]," ",Table1[[#This Row],[Last Name]]))</f>
        <v>Mrs Velma Mcdonough</v>
      </c>
      <c r="H459" t="str">
        <f>SUBSTITUTE(Table1[[#This Row],[Street]],"Road"," Road")</f>
        <v>The Sandhills</v>
      </c>
      <c r="I459" t="str">
        <f>SUBSTITUTE(Table1[[#This Row],[Separate combined words ]],"?","")</f>
        <v>The Sandhills</v>
      </c>
      <c r="J459" t="str">
        <f>TRIM(Table1[[#This Row],[Remove Question Mark "?"]])</f>
        <v>The Sandhills</v>
      </c>
      <c r="K459" t="str">
        <f>PROPER(Table1[[#This Row],[Leading, Multiple &amp; Trailing spaces]])</f>
        <v>The Sandhills</v>
      </c>
      <c r="L459" t="str">
        <f t="shared" si="7"/>
        <v>The Sandhills</v>
      </c>
      <c r="M459" t="s">
        <v>1832</v>
      </c>
    </row>
    <row r="460" spans="1:13" x14ac:dyDescent="0.3">
      <c r="A460">
        <v>457</v>
      </c>
      <c r="B460" t="s">
        <v>565</v>
      </c>
      <c r="C460" t="s">
        <v>1833</v>
      </c>
      <c r="D460" t="s">
        <v>18</v>
      </c>
      <c r="E460" t="s">
        <v>1834</v>
      </c>
      <c r="F460" t="s">
        <v>418</v>
      </c>
      <c r="G460" t="str">
        <f xml:space="preserve"> PROPER(_xlfn.CONCAT(Table1[[#This Row],[Title]]," ",Table1[[#This Row],[First Name]]," ",Table1[[#This Row],[Last Name]]))</f>
        <v>Miss Lecia Ewing</v>
      </c>
      <c r="H460" t="str">
        <f>SUBSTITUTE(Table1[[#This Row],[Street]],"Road"," Road")</f>
        <v>Lydden Grove</v>
      </c>
      <c r="I460" t="str">
        <f>SUBSTITUTE(Table1[[#This Row],[Separate combined words ]],"?","")</f>
        <v>Lydden Grove</v>
      </c>
      <c r="J460" t="str">
        <f>TRIM(Table1[[#This Row],[Remove Question Mark "?"]])</f>
        <v>Lydden Grove</v>
      </c>
      <c r="K460" t="str">
        <f>PROPER(Table1[[#This Row],[Leading, Multiple &amp; Trailing spaces]])</f>
        <v>Lydden Grove</v>
      </c>
      <c r="L460" t="str">
        <f t="shared" si="7"/>
        <v>Lydden Grove</v>
      </c>
      <c r="M460" t="s">
        <v>1834</v>
      </c>
    </row>
    <row r="461" spans="1:13" x14ac:dyDescent="0.3">
      <c r="A461">
        <v>458</v>
      </c>
      <c r="B461" t="s">
        <v>1835</v>
      </c>
      <c r="C461" t="s">
        <v>1836</v>
      </c>
      <c r="D461" t="s">
        <v>18</v>
      </c>
      <c r="E461" t="s">
        <v>1837</v>
      </c>
      <c r="F461" t="s">
        <v>1838</v>
      </c>
      <c r="G461" t="str">
        <f xml:space="preserve"> PROPER(_xlfn.CONCAT(Table1[[#This Row],[Title]]," ",Table1[[#This Row],[First Name]]," ",Table1[[#This Row],[Last Name]]))</f>
        <v>Miss Adelia Kirk</v>
      </c>
      <c r="H461" t="str">
        <f>SUBSTITUTE(Table1[[#This Row],[Street]],"Road"," Road")</f>
        <v>Cornflower Terrace</v>
      </c>
      <c r="I461" t="str">
        <f>SUBSTITUTE(Table1[[#This Row],[Separate combined words ]],"?","")</f>
        <v>Cornflower Terrace</v>
      </c>
      <c r="J461" t="str">
        <f>TRIM(Table1[[#This Row],[Remove Question Mark "?"]])</f>
        <v>Cornflower Terrace</v>
      </c>
      <c r="K461" t="str">
        <f>PROPER(Table1[[#This Row],[Leading, Multiple &amp; Trailing spaces]])</f>
        <v>Cornflower Terrace</v>
      </c>
      <c r="L461" t="str">
        <f t="shared" si="7"/>
        <v>Cornflower Terrace</v>
      </c>
      <c r="M461" t="s">
        <v>1837</v>
      </c>
    </row>
    <row r="462" spans="1:13" x14ac:dyDescent="0.3">
      <c r="A462">
        <v>459</v>
      </c>
      <c r="B462" t="s">
        <v>1839</v>
      </c>
      <c r="C462" t="s">
        <v>1840</v>
      </c>
      <c r="D462" t="s">
        <v>7</v>
      </c>
      <c r="E462" t="s">
        <v>1841</v>
      </c>
      <c r="F462" t="s">
        <v>1842</v>
      </c>
      <c r="G462" t="str">
        <f xml:space="preserve"> PROPER(_xlfn.CONCAT(Table1[[#This Row],[Title]]," ",Table1[[#This Row],[First Name]]," ",Table1[[#This Row],[Last Name]]))</f>
        <v>Mrs Rebeca Begay</v>
      </c>
      <c r="H462" t="str">
        <f>SUBSTITUTE(Table1[[#This Row],[Street]],"Road"," Road")</f>
        <v>Highbury Crescent</v>
      </c>
      <c r="I462" t="str">
        <f>SUBSTITUTE(Table1[[#This Row],[Separate combined words ]],"?","")</f>
        <v>Highbury Crescent</v>
      </c>
      <c r="J462" t="str">
        <f>TRIM(Table1[[#This Row],[Remove Question Mark "?"]])</f>
        <v>Highbury Crescent</v>
      </c>
      <c r="K462" t="str">
        <f>PROPER(Table1[[#This Row],[Leading, Multiple &amp; Trailing spaces]])</f>
        <v>Highbury Crescent</v>
      </c>
      <c r="L462" t="str">
        <f t="shared" si="7"/>
        <v>Highbury Crescent</v>
      </c>
      <c r="M462" t="s">
        <v>1841</v>
      </c>
    </row>
    <row r="463" spans="1:13" x14ac:dyDescent="0.3">
      <c r="A463">
        <v>460</v>
      </c>
      <c r="B463" t="s">
        <v>1843</v>
      </c>
      <c r="C463" t="s">
        <v>1844</v>
      </c>
      <c r="D463" t="s">
        <v>7</v>
      </c>
      <c r="E463" t="s">
        <v>1845</v>
      </c>
      <c r="F463" t="s">
        <v>358</v>
      </c>
      <c r="G463" t="str">
        <f xml:space="preserve"> PROPER(_xlfn.CONCAT(Table1[[#This Row],[Title]]," ",Table1[[#This Row],[First Name]]," ",Table1[[#This Row],[Last Name]]))</f>
        <v>Mrs Vanna Franklin</v>
      </c>
      <c r="H463" t="str">
        <f>SUBSTITUTE(Table1[[#This Row],[Street]],"Road"," Road")</f>
        <v>Molesford  Road</v>
      </c>
      <c r="I463" t="str">
        <f>SUBSTITUTE(Table1[[#This Row],[Separate combined words ]],"?","")</f>
        <v>Molesford  Road</v>
      </c>
      <c r="J463" t="str">
        <f>TRIM(Table1[[#This Row],[Remove Question Mark "?"]])</f>
        <v>Molesford Road</v>
      </c>
      <c r="K463" t="str">
        <f>PROPER(Table1[[#This Row],[Leading, Multiple &amp; Trailing spaces]])</f>
        <v>Molesford Road</v>
      </c>
      <c r="L463" t="str">
        <f t="shared" si="7"/>
        <v>Molesford Road</v>
      </c>
      <c r="M463" t="s">
        <v>1845</v>
      </c>
    </row>
    <row r="464" spans="1:13" x14ac:dyDescent="0.3">
      <c r="A464">
        <v>461</v>
      </c>
      <c r="B464" t="s">
        <v>1846</v>
      </c>
      <c r="C464" t="s">
        <v>1847</v>
      </c>
      <c r="D464" t="s">
        <v>7</v>
      </c>
      <c r="E464" t="s">
        <v>1848</v>
      </c>
      <c r="F464" t="s">
        <v>95</v>
      </c>
      <c r="G464" t="str">
        <f xml:space="preserve"> PROPER(_xlfn.CONCAT(Table1[[#This Row],[Title]]," ",Table1[[#This Row],[First Name]]," ",Table1[[#This Row],[Last Name]]))</f>
        <v>Mrs Octavia Collier</v>
      </c>
      <c r="H464" t="str">
        <f>SUBSTITUTE(Table1[[#This Row],[Street]],"Road"," Road")</f>
        <v>Torriano Terrace</v>
      </c>
      <c r="I464" t="str">
        <f>SUBSTITUTE(Table1[[#This Row],[Separate combined words ]],"?","")</f>
        <v>Torriano Terrace</v>
      </c>
      <c r="J464" t="str">
        <f>TRIM(Table1[[#This Row],[Remove Question Mark "?"]])</f>
        <v>Torriano Terrace</v>
      </c>
      <c r="K464" t="str">
        <f>PROPER(Table1[[#This Row],[Leading, Multiple &amp; Trailing spaces]])</f>
        <v>Torriano Terrace</v>
      </c>
      <c r="L464" t="str">
        <f t="shared" si="7"/>
        <v>Torriano Terrace</v>
      </c>
      <c r="M464" t="s">
        <v>1848</v>
      </c>
    </row>
    <row r="465" spans="1:13" x14ac:dyDescent="0.3">
      <c r="A465">
        <v>462</v>
      </c>
      <c r="B465" t="s">
        <v>1849</v>
      </c>
      <c r="C465" t="s">
        <v>1850</v>
      </c>
      <c r="D465" t="s">
        <v>318</v>
      </c>
      <c r="E465" t="s">
        <v>1851</v>
      </c>
      <c r="F465" t="s">
        <v>1852</v>
      </c>
      <c r="G465" t="str">
        <f xml:space="preserve"> PROPER(_xlfn.CONCAT(Table1[[#This Row],[Title]]," ",Table1[[#This Row],[First Name]]," ",Table1[[#This Row],[Last Name]]))</f>
        <v>Dr Gertie Duffy</v>
      </c>
      <c r="H465" t="str">
        <f>SUBSTITUTE(Table1[[#This Row],[Street]],"Road"," Road")</f>
        <v>Camden School</v>
      </c>
      <c r="I465" t="str">
        <f>SUBSTITUTE(Table1[[#This Row],[Separate combined words ]],"?","")</f>
        <v>Camden School</v>
      </c>
      <c r="J465" t="str">
        <f>TRIM(Table1[[#This Row],[Remove Question Mark "?"]])</f>
        <v>Camden School</v>
      </c>
      <c r="K465" t="str">
        <f>PROPER(Table1[[#This Row],[Leading, Multiple &amp; Trailing spaces]])</f>
        <v>Camden School</v>
      </c>
      <c r="L465" t="str">
        <f t="shared" si="7"/>
        <v>Camden School</v>
      </c>
      <c r="M465" t="s">
        <v>1851</v>
      </c>
    </row>
    <row r="466" spans="1:13" x14ac:dyDescent="0.3">
      <c r="A466">
        <v>463</v>
      </c>
      <c r="B466" t="s">
        <v>474</v>
      </c>
      <c r="C466" t="s">
        <v>1853</v>
      </c>
      <c r="D466" t="s">
        <v>7</v>
      </c>
      <c r="E466" t="s">
        <v>1854</v>
      </c>
      <c r="F466" t="s">
        <v>1855</v>
      </c>
      <c r="G466" t="str">
        <f xml:space="preserve"> PROPER(_xlfn.CONCAT(Table1[[#This Row],[Title]]," ",Table1[[#This Row],[First Name]]," ",Table1[[#This Row],[Last Name]]))</f>
        <v>Mrs Wanetta Tuttle</v>
      </c>
      <c r="H466" t="str">
        <f>SUBSTITUTE(Table1[[#This Row],[Street]],"Road"," Road")</f>
        <v>Merrow Street</v>
      </c>
      <c r="I466" t="str">
        <f>SUBSTITUTE(Table1[[#This Row],[Separate combined words ]],"?","")</f>
        <v>Merrow Street</v>
      </c>
      <c r="J466" t="str">
        <f>TRIM(Table1[[#This Row],[Remove Question Mark "?"]])</f>
        <v>Merrow Street</v>
      </c>
      <c r="K466" t="str">
        <f>PROPER(Table1[[#This Row],[Leading, Multiple &amp; Trailing spaces]])</f>
        <v>Merrow Street</v>
      </c>
      <c r="L466" t="str">
        <f t="shared" si="7"/>
        <v>Merrow Street</v>
      </c>
      <c r="M466" t="s">
        <v>1854</v>
      </c>
    </row>
    <row r="467" spans="1:13" x14ac:dyDescent="0.3">
      <c r="A467">
        <v>464</v>
      </c>
      <c r="B467" t="s">
        <v>444</v>
      </c>
      <c r="C467" t="s">
        <v>1856</v>
      </c>
      <c r="D467" t="s">
        <v>71</v>
      </c>
      <c r="E467" t="s">
        <v>604</v>
      </c>
      <c r="F467" t="s">
        <v>1415</v>
      </c>
      <c r="G467" t="str">
        <f xml:space="preserve"> PROPER(_xlfn.CONCAT(Table1[[#This Row],[Title]]," ",Table1[[#This Row],[First Name]]," ",Table1[[#This Row],[Last Name]]))</f>
        <v>Ms Charles Benton</v>
      </c>
      <c r="H467" t="str">
        <f>SUBSTITUTE(Table1[[#This Row],[Street]],"Road"," Road")</f>
        <v>Bovay Place</v>
      </c>
      <c r="I467" t="str">
        <f>SUBSTITUTE(Table1[[#This Row],[Separate combined words ]],"?","")</f>
        <v>Bovay Place</v>
      </c>
      <c r="J467" t="str">
        <f>TRIM(Table1[[#This Row],[Remove Question Mark "?"]])</f>
        <v>Bovay Place</v>
      </c>
      <c r="K467" t="str">
        <f>PROPER(Table1[[#This Row],[Leading, Multiple &amp; Trailing spaces]])</f>
        <v>Bovay Place</v>
      </c>
      <c r="L467" t="str">
        <f t="shared" si="7"/>
        <v>Bovay Place</v>
      </c>
      <c r="M467" t="s">
        <v>604</v>
      </c>
    </row>
    <row r="468" spans="1:13" x14ac:dyDescent="0.3">
      <c r="A468">
        <v>465</v>
      </c>
      <c r="B468" t="s">
        <v>1857</v>
      </c>
      <c r="C468" t="s">
        <v>435</v>
      </c>
      <c r="D468" t="s">
        <v>18</v>
      </c>
      <c r="E468" t="s">
        <v>1858</v>
      </c>
      <c r="F468" t="s">
        <v>451</v>
      </c>
      <c r="G468" t="str">
        <f xml:space="preserve"> PROPER(_xlfn.CONCAT(Table1[[#This Row],[Title]]," ",Table1[[#This Row],[First Name]]," ",Table1[[#This Row],[Last Name]]))</f>
        <v>Miss Cinda Blue</v>
      </c>
      <c r="H468" t="str">
        <f>SUBSTITUTE(Table1[[#This Row],[Street]],"Road"," Road")</f>
        <v>Coppetts Close</v>
      </c>
      <c r="I468" t="str">
        <f>SUBSTITUTE(Table1[[#This Row],[Separate combined words ]],"?","")</f>
        <v>Coppetts Close</v>
      </c>
      <c r="J468" t="str">
        <f>TRIM(Table1[[#This Row],[Remove Question Mark "?"]])</f>
        <v>Coppetts Close</v>
      </c>
      <c r="K468" t="str">
        <f>PROPER(Table1[[#This Row],[Leading, Multiple &amp; Trailing spaces]])</f>
        <v>Coppetts Close</v>
      </c>
      <c r="L468" t="str">
        <f t="shared" si="7"/>
        <v>Coppetts Close</v>
      </c>
      <c r="M468" t="s">
        <v>1858</v>
      </c>
    </row>
    <row r="469" spans="1:13" x14ac:dyDescent="0.3">
      <c r="A469">
        <v>466</v>
      </c>
      <c r="B469" t="s">
        <v>1859</v>
      </c>
      <c r="C469" t="s">
        <v>1860</v>
      </c>
      <c r="D469" t="s">
        <v>7</v>
      </c>
      <c r="E469" t="s">
        <v>1861</v>
      </c>
      <c r="F469" t="s">
        <v>1862</v>
      </c>
      <c r="G469" t="str">
        <f xml:space="preserve"> PROPER(_xlfn.CONCAT(Table1[[#This Row],[Title]]," ",Table1[[#This Row],[First Name]]," ",Table1[[#This Row],[Last Name]]))</f>
        <v>Mrs Juli Britton</v>
      </c>
      <c r="H469" t="str">
        <f>SUBSTITUTE(Table1[[#This Row],[Street]],"Road"," Road")</f>
        <v>Rockingham Street</v>
      </c>
      <c r="I469" t="str">
        <f>SUBSTITUTE(Table1[[#This Row],[Separate combined words ]],"?","")</f>
        <v>Rockingham Street</v>
      </c>
      <c r="J469" t="str">
        <f>TRIM(Table1[[#This Row],[Remove Question Mark "?"]])</f>
        <v>Rockingham Street</v>
      </c>
      <c r="K469" t="str">
        <f>PROPER(Table1[[#This Row],[Leading, Multiple &amp; Trailing spaces]])</f>
        <v>Rockingham Street</v>
      </c>
      <c r="L469" t="str">
        <f t="shared" si="7"/>
        <v>Rockingham Street</v>
      </c>
      <c r="M469" t="s">
        <v>1861</v>
      </c>
    </row>
    <row r="470" spans="1:13" x14ac:dyDescent="0.3">
      <c r="A470">
        <v>467</v>
      </c>
      <c r="B470" t="s">
        <v>1863</v>
      </c>
      <c r="C470" t="s">
        <v>1864</v>
      </c>
      <c r="D470" t="s">
        <v>18</v>
      </c>
      <c r="E470" t="s">
        <v>1865</v>
      </c>
      <c r="F470" t="s">
        <v>1415</v>
      </c>
      <c r="G470" t="str">
        <f xml:space="preserve"> PROPER(_xlfn.CONCAT(Table1[[#This Row],[Title]]," ",Table1[[#This Row],[First Name]]," ",Table1[[#This Row],[Last Name]]))</f>
        <v>Miss Ellan Healy</v>
      </c>
      <c r="H470" t="str">
        <f>SUBSTITUTE(Table1[[#This Row],[Street]],"Road"," Road")</f>
        <v>Cromer  Road</v>
      </c>
      <c r="I470" t="str">
        <f>SUBSTITUTE(Table1[[#This Row],[Separate combined words ]],"?","")</f>
        <v>Cromer  Road</v>
      </c>
      <c r="J470" t="str">
        <f>TRIM(Table1[[#This Row],[Remove Question Mark "?"]])</f>
        <v>Cromer Road</v>
      </c>
      <c r="K470" t="str">
        <f>PROPER(Table1[[#This Row],[Leading, Multiple &amp; Trailing spaces]])</f>
        <v>Cromer Road</v>
      </c>
      <c r="L470" t="str">
        <f t="shared" si="7"/>
        <v>Cromer Road</v>
      </c>
      <c r="M470" t="s">
        <v>1865</v>
      </c>
    </row>
    <row r="471" spans="1:13" x14ac:dyDescent="0.3">
      <c r="A471">
        <v>468</v>
      </c>
      <c r="B471" t="s">
        <v>396</v>
      </c>
      <c r="C471" t="s">
        <v>471</v>
      </c>
      <c r="D471" t="s">
        <v>7</v>
      </c>
      <c r="E471" t="s">
        <v>1866</v>
      </c>
      <c r="F471" t="s">
        <v>1867</v>
      </c>
      <c r="G471" t="str">
        <f xml:space="preserve"> PROPER(_xlfn.CONCAT(Table1[[#This Row],[Title]]," ",Table1[[#This Row],[First Name]]," ",Table1[[#This Row],[Last Name]]))</f>
        <v>Mrs In Samuel</v>
      </c>
      <c r="H471" t="str">
        <f>SUBSTITUTE(Table1[[#This Row],[Street]],"Road"," Road")</f>
        <v>High View</v>
      </c>
      <c r="I471" t="str">
        <f>SUBSTITUTE(Table1[[#This Row],[Separate combined words ]],"?","")</f>
        <v>High View</v>
      </c>
      <c r="J471" t="str">
        <f>TRIM(Table1[[#This Row],[Remove Question Mark "?"]])</f>
        <v>High View</v>
      </c>
      <c r="K471" t="str">
        <f>PROPER(Table1[[#This Row],[Leading, Multiple &amp; Trailing spaces]])</f>
        <v>High View</v>
      </c>
      <c r="L471" t="str">
        <f t="shared" si="7"/>
        <v>High View</v>
      </c>
      <c r="M471" t="s">
        <v>1866</v>
      </c>
    </row>
    <row r="472" spans="1:13" x14ac:dyDescent="0.3">
      <c r="A472">
        <v>469</v>
      </c>
      <c r="B472" t="s">
        <v>1868</v>
      </c>
      <c r="C472" t="s">
        <v>1869</v>
      </c>
      <c r="D472" t="s">
        <v>71</v>
      </c>
      <c r="E472" t="s">
        <v>1870</v>
      </c>
      <c r="F472" t="s">
        <v>49</v>
      </c>
      <c r="G472" t="str">
        <f xml:space="preserve"> PROPER(_xlfn.CONCAT(Table1[[#This Row],[Title]]," ",Table1[[#This Row],[First Name]]," ",Table1[[#This Row],[Last Name]]))</f>
        <v>Ms Constance Jacobsen</v>
      </c>
      <c r="H472" t="str">
        <f>SUBSTITUTE(Table1[[#This Row],[Street]],"Road"," Road")</f>
        <v>Clerkenwell Close</v>
      </c>
      <c r="I472" t="str">
        <f>SUBSTITUTE(Table1[[#This Row],[Separate combined words ]],"?","")</f>
        <v>Clerkenwell Close</v>
      </c>
      <c r="J472" t="str">
        <f>TRIM(Table1[[#This Row],[Remove Question Mark "?"]])</f>
        <v>Clerkenwell Close</v>
      </c>
      <c r="K472" t="str">
        <f>PROPER(Table1[[#This Row],[Leading, Multiple &amp; Trailing spaces]])</f>
        <v>Clerkenwell Close</v>
      </c>
      <c r="L472" t="str">
        <f t="shared" si="7"/>
        <v>Clerkenwell Close</v>
      </c>
      <c r="M472" t="s">
        <v>1870</v>
      </c>
    </row>
    <row r="473" spans="1:13" x14ac:dyDescent="0.3">
      <c r="A473">
        <v>470</v>
      </c>
      <c r="B473" t="s">
        <v>1871</v>
      </c>
      <c r="C473" t="s">
        <v>1872</v>
      </c>
      <c r="D473" t="s">
        <v>18</v>
      </c>
      <c r="E473" t="s">
        <v>1873</v>
      </c>
      <c r="F473" t="s">
        <v>222</v>
      </c>
      <c r="G473" t="str">
        <f xml:space="preserve"> PROPER(_xlfn.CONCAT(Table1[[#This Row],[Title]]," ",Table1[[#This Row],[First Name]]," ",Table1[[#This Row],[Last Name]]))</f>
        <v>Miss Lyndia Reid</v>
      </c>
      <c r="H473" t="str">
        <f>SUBSTITUTE(Table1[[#This Row],[Street]],"Road"," Road")</f>
        <v>St Gabriels</v>
      </c>
      <c r="I473" t="str">
        <f>SUBSTITUTE(Table1[[#This Row],[Separate combined words ]],"?","")</f>
        <v>St Gabriels</v>
      </c>
      <c r="J473" t="str">
        <f>TRIM(Table1[[#This Row],[Remove Question Mark "?"]])</f>
        <v>St Gabriels</v>
      </c>
      <c r="K473" t="str">
        <f>PROPER(Table1[[#This Row],[Leading, Multiple &amp; Trailing spaces]])</f>
        <v>St Gabriels</v>
      </c>
      <c r="L473" t="str">
        <f t="shared" si="7"/>
        <v>St Gabriels</v>
      </c>
      <c r="M473" t="s">
        <v>1873</v>
      </c>
    </row>
    <row r="474" spans="1:13" x14ac:dyDescent="0.3">
      <c r="A474">
        <v>471</v>
      </c>
      <c r="B474" t="s">
        <v>1839</v>
      </c>
      <c r="C474" t="s">
        <v>1874</v>
      </c>
      <c r="D474" t="s">
        <v>7</v>
      </c>
      <c r="E474" t="s">
        <v>1875</v>
      </c>
      <c r="F474" t="s">
        <v>1876</v>
      </c>
      <c r="G474" t="str">
        <f xml:space="preserve"> PROPER(_xlfn.CONCAT(Table1[[#This Row],[Title]]," ",Table1[[#This Row],[First Name]]," ",Table1[[#This Row],[Last Name]]))</f>
        <v>Mrs Rebeca Leblanc</v>
      </c>
      <c r="H474" t="str">
        <f>SUBSTITUTE(Table1[[#This Row],[Street]],"Road"," Road")</f>
        <v>Bobeys Cottages</v>
      </c>
      <c r="I474" t="str">
        <f>SUBSTITUTE(Table1[[#This Row],[Separate combined words ]],"?","")</f>
        <v>Bobeys Cottages</v>
      </c>
      <c r="J474" t="str">
        <f>TRIM(Table1[[#This Row],[Remove Question Mark "?"]])</f>
        <v>Bobeys Cottages</v>
      </c>
      <c r="K474" t="str">
        <f>PROPER(Table1[[#This Row],[Leading, Multiple &amp; Trailing spaces]])</f>
        <v>Bobeys Cottages</v>
      </c>
      <c r="L474" t="str">
        <f t="shared" si="7"/>
        <v>Bobeys Cottages</v>
      </c>
      <c r="M474" t="s">
        <v>1875</v>
      </c>
    </row>
    <row r="475" spans="1:13" x14ac:dyDescent="0.3">
      <c r="A475">
        <v>472</v>
      </c>
      <c r="B475" t="s">
        <v>1877</v>
      </c>
      <c r="C475" t="s">
        <v>665</v>
      </c>
      <c r="D475" t="s">
        <v>7</v>
      </c>
      <c r="E475" t="s">
        <v>1878</v>
      </c>
      <c r="F475" t="s">
        <v>1274</v>
      </c>
      <c r="G475" t="str">
        <f xml:space="preserve"> PROPER(_xlfn.CONCAT(Table1[[#This Row],[Title]]," ",Table1[[#This Row],[First Name]]," ",Table1[[#This Row],[Last Name]]))</f>
        <v>Mrs Georgianna Reyes</v>
      </c>
      <c r="H475" t="str">
        <f>SUBSTITUTE(Table1[[#This Row],[Street]],"Road"," Road")</f>
        <v>Howland Street</v>
      </c>
      <c r="I475" t="str">
        <f>SUBSTITUTE(Table1[[#This Row],[Separate combined words ]],"?","")</f>
        <v>Howland Street</v>
      </c>
      <c r="J475" t="str">
        <f>TRIM(Table1[[#This Row],[Remove Question Mark "?"]])</f>
        <v>Howland Street</v>
      </c>
      <c r="K475" t="str">
        <f>PROPER(Table1[[#This Row],[Leading, Multiple &amp; Trailing spaces]])</f>
        <v>Howland Street</v>
      </c>
      <c r="L475" t="str">
        <f t="shared" si="7"/>
        <v>Howland Street</v>
      </c>
      <c r="M475" t="s">
        <v>1878</v>
      </c>
    </row>
    <row r="476" spans="1:13" x14ac:dyDescent="0.3">
      <c r="A476">
        <v>473</v>
      </c>
      <c r="B476" t="s">
        <v>1879</v>
      </c>
      <c r="C476" t="s">
        <v>150</v>
      </c>
      <c r="D476" t="s">
        <v>7</v>
      </c>
      <c r="E476" t="s">
        <v>1880</v>
      </c>
      <c r="F476" t="s">
        <v>375</v>
      </c>
      <c r="G476" t="str">
        <f xml:space="preserve"> PROPER(_xlfn.CONCAT(Table1[[#This Row],[Title]]," ",Table1[[#This Row],[First Name]]," ",Table1[[#This Row],[Last Name]]))</f>
        <v>Mrs Genoveva Baker</v>
      </c>
      <c r="H476" t="str">
        <f>SUBSTITUTE(Table1[[#This Row],[Street]],"Road"," Road")</f>
        <v>Barnwood Close</v>
      </c>
      <c r="I476" t="str">
        <f>SUBSTITUTE(Table1[[#This Row],[Separate combined words ]],"?","")</f>
        <v>Barnwood Close</v>
      </c>
      <c r="J476" t="str">
        <f>TRIM(Table1[[#This Row],[Remove Question Mark "?"]])</f>
        <v>Barnwood Close</v>
      </c>
      <c r="K476" t="str">
        <f>PROPER(Table1[[#This Row],[Leading, Multiple &amp; Trailing spaces]])</f>
        <v>Barnwood Close</v>
      </c>
      <c r="L476" t="str">
        <f t="shared" si="7"/>
        <v>Barnwood Close</v>
      </c>
      <c r="M476" t="s">
        <v>1880</v>
      </c>
    </row>
    <row r="477" spans="1:13" x14ac:dyDescent="0.3">
      <c r="A477">
        <v>474</v>
      </c>
      <c r="B477" t="s">
        <v>1881</v>
      </c>
      <c r="C477" t="s">
        <v>1882</v>
      </c>
      <c r="D477" t="s">
        <v>7</v>
      </c>
      <c r="E477" t="s">
        <v>1883</v>
      </c>
      <c r="F477" t="s">
        <v>1884</v>
      </c>
      <c r="G477" t="str">
        <f xml:space="preserve"> PROPER(_xlfn.CONCAT(Table1[[#This Row],[Title]]," ",Table1[[#This Row],[First Name]]," ",Table1[[#This Row],[Last Name]]))</f>
        <v>Mrs Kathryn Vargas</v>
      </c>
      <c r="H477" t="str">
        <f>SUBSTITUTE(Table1[[#This Row],[Street]],"Road"," Road")</f>
        <v>Maverton  Road</v>
      </c>
      <c r="I477" t="str">
        <f>SUBSTITUTE(Table1[[#This Row],[Separate combined words ]],"?","")</f>
        <v>Maverton  Road</v>
      </c>
      <c r="J477" t="str">
        <f>TRIM(Table1[[#This Row],[Remove Question Mark "?"]])</f>
        <v>Maverton Road</v>
      </c>
      <c r="K477" t="str">
        <f>PROPER(Table1[[#This Row],[Leading, Multiple &amp; Trailing spaces]])</f>
        <v>Maverton Road</v>
      </c>
      <c r="L477" t="str">
        <f t="shared" si="7"/>
        <v>Maverton Road</v>
      </c>
      <c r="M477" t="s">
        <v>1883</v>
      </c>
    </row>
    <row r="478" spans="1:13" x14ac:dyDescent="0.3">
      <c r="A478">
        <v>475</v>
      </c>
      <c r="B478" t="s">
        <v>1885</v>
      </c>
      <c r="C478" t="s">
        <v>567</v>
      </c>
      <c r="D478" t="s">
        <v>18</v>
      </c>
      <c r="E478" t="s">
        <v>1886</v>
      </c>
      <c r="F478" t="s">
        <v>1887</v>
      </c>
      <c r="G478" t="str">
        <f xml:space="preserve"> PROPER(_xlfn.CONCAT(Table1[[#This Row],[Title]]," ",Table1[[#This Row],[First Name]]," ",Table1[[#This Row],[Last Name]]))</f>
        <v>Miss Shanda Staples</v>
      </c>
      <c r="H478" t="str">
        <f>SUBSTITUTE(Table1[[#This Row],[Street]],"Road"," Road")</f>
        <v>Daubeney Gardens</v>
      </c>
      <c r="I478" t="str">
        <f>SUBSTITUTE(Table1[[#This Row],[Separate combined words ]],"?","")</f>
        <v>Daubeney Gardens</v>
      </c>
      <c r="J478" t="str">
        <f>TRIM(Table1[[#This Row],[Remove Question Mark "?"]])</f>
        <v>Daubeney Gardens</v>
      </c>
      <c r="K478" t="str">
        <f>PROPER(Table1[[#This Row],[Leading, Multiple &amp; Trailing spaces]])</f>
        <v>Daubeney Gardens</v>
      </c>
      <c r="L478" t="str">
        <f t="shared" si="7"/>
        <v>Daubeney Gardens</v>
      </c>
      <c r="M478" t="s">
        <v>1886</v>
      </c>
    </row>
    <row r="479" spans="1:13" x14ac:dyDescent="0.3">
      <c r="A479">
        <v>476</v>
      </c>
      <c r="B479" t="s">
        <v>1888</v>
      </c>
      <c r="C479" t="s">
        <v>1889</v>
      </c>
      <c r="D479" t="s">
        <v>7</v>
      </c>
      <c r="E479" t="s">
        <v>1890</v>
      </c>
      <c r="F479" t="s">
        <v>470</v>
      </c>
      <c r="G479" t="str">
        <f xml:space="preserve"> PROPER(_xlfn.CONCAT(Table1[[#This Row],[Title]]," ",Table1[[#This Row],[First Name]]," ",Table1[[#This Row],[Last Name]]))</f>
        <v>Mrs Lashawn Clarke</v>
      </c>
      <c r="H479" t="str">
        <f>SUBSTITUTE(Table1[[#This Row],[Street]],"Road"," Road")</f>
        <v>Cholmondeley Avenue</v>
      </c>
      <c r="I479" t="str">
        <f>SUBSTITUTE(Table1[[#This Row],[Separate combined words ]],"?","")</f>
        <v>Cholmondeley Avenue</v>
      </c>
      <c r="J479" t="str">
        <f>TRIM(Table1[[#This Row],[Remove Question Mark "?"]])</f>
        <v>Cholmondeley Avenue</v>
      </c>
      <c r="K479" t="str">
        <f>PROPER(Table1[[#This Row],[Leading, Multiple &amp; Trailing spaces]])</f>
        <v>Cholmondeley Avenue</v>
      </c>
      <c r="L479" t="str">
        <f t="shared" si="7"/>
        <v>Cholmondeley Avenue</v>
      </c>
      <c r="M479" t="s">
        <v>1890</v>
      </c>
    </row>
    <row r="480" spans="1:13" x14ac:dyDescent="0.3">
      <c r="A480">
        <v>477</v>
      </c>
      <c r="B480" t="s">
        <v>1891</v>
      </c>
      <c r="C480" t="s">
        <v>1364</v>
      </c>
      <c r="D480" t="s">
        <v>18</v>
      </c>
      <c r="E480" t="s">
        <v>1892</v>
      </c>
      <c r="F480" t="s">
        <v>516</v>
      </c>
      <c r="G480" t="str">
        <f xml:space="preserve"> PROPER(_xlfn.CONCAT(Table1[[#This Row],[Title]]," ",Table1[[#This Row],[First Name]]," ",Table1[[#This Row],[Last Name]]))</f>
        <v>Miss Larue Cramer</v>
      </c>
      <c r="H480" t="str">
        <f>SUBSTITUTE(Table1[[#This Row],[Street]],"Road"," Road")</f>
        <v>Bolingbroke Grove</v>
      </c>
      <c r="I480" t="str">
        <f>SUBSTITUTE(Table1[[#This Row],[Separate combined words ]],"?","")</f>
        <v>Bolingbroke Grove</v>
      </c>
      <c r="J480" t="str">
        <f>TRIM(Table1[[#This Row],[Remove Question Mark "?"]])</f>
        <v>Bolingbroke Grove</v>
      </c>
      <c r="K480" t="str">
        <f>PROPER(Table1[[#This Row],[Leading, Multiple &amp; Trailing spaces]])</f>
        <v>Bolingbroke Grove</v>
      </c>
      <c r="L480" t="str">
        <f t="shared" si="7"/>
        <v>Bolingbroke Grove</v>
      </c>
      <c r="M480" t="s">
        <v>1892</v>
      </c>
    </row>
    <row r="481" spans="1:13" x14ac:dyDescent="0.3">
      <c r="A481">
        <v>478</v>
      </c>
      <c r="B481" t="s">
        <v>1893</v>
      </c>
      <c r="C481" t="s">
        <v>1894</v>
      </c>
      <c r="D481" t="s">
        <v>7</v>
      </c>
      <c r="E481" t="s">
        <v>1895</v>
      </c>
      <c r="F481" t="s">
        <v>1896</v>
      </c>
      <c r="G481" t="str">
        <f xml:space="preserve"> PROPER(_xlfn.CONCAT(Table1[[#This Row],[Title]]," ",Table1[[#This Row],[First Name]]," ",Table1[[#This Row],[Last Name]]))</f>
        <v>Mrs Edra Cline</v>
      </c>
      <c r="H481" t="str">
        <f>SUBSTITUTE(Table1[[#This Row],[Street]],"Road"," Road")</f>
        <v>Cross  Road</v>
      </c>
      <c r="I481" t="str">
        <f>SUBSTITUTE(Table1[[#This Row],[Separate combined words ]],"?","")</f>
        <v>Cross  Road</v>
      </c>
      <c r="J481" t="str">
        <f>TRIM(Table1[[#This Row],[Remove Question Mark "?"]])</f>
        <v>Cross Road</v>
      </c>
      <c r="K481" t="str">
        <f>PROPER(Table1[[#This Row],[Leading, Multiple &amp; Trailing spaces]])</f>
        <v>Cross Road</v>
      </c>
      <c r="L481" t="str">
        <f t="shared" si="7"/>
        <v>Cross Road</v>
      </c>
      <c r="M481" t="s">
        <v>1895</v>
      </c>
    </row>
    <row r="482" spans="1:13" x14ac:dyDescent="0.3">
      <c r="A482">
        <v>479</v>
      </c>
      <c r="B482" t="s">
        <v>1897</v>
      </c>
      <c r="C482" t="s">
        <v>477</v>
      </c>
      <c r="D482" t="s">
        <v>7</v>
      </c>
      <c r="E482" t="s">
        <v>1898</v>
      </c>
      <c r="F482" t="s">
        <v>428</v>
      </c>
      <c r="G482" t="str">
        <f xml:space="preserve"> PROPER(_xlfn.CONCAT(Table1[[#This Row],[Title]]," ",Table1[[#This Row],[First Name]]," ",Table1[[#This Row],[Last Name]]))</f>
        <v>Mrs Sallie Middleton</v>
      </c>
      <c r="H482" t="str">
        <f>SUBSTITUTE(Table1[[#This Row],[Street]],"Road"," Road")</f>
        <v>Morland  Road</v>
      </c>
      <c r="I482" t="str">
        <f>SUBSTITUTE(Table1[[#This Row],[Separate combined words ]],"?","")</f>
        <v>Morland  Road</v>
      </c>
      <c r="J482" t="str">
        <f>TRIM(Table1[[#This Row],[Remove Question Mark "?"]])</f>
        <v>Morland Road</v>
      </c>
      <c r="K482" t="str">
        <f>PROPER(Table1[[#This Row],[Leading, Multiple &amp; Trailing spaces]])</f>
        <v>Morland Road</v>
      </c>
      <c r="L482" t="str">
        <f t="shared" si="7"/>
        <v>Morland Road</v>
      </c>
      <c r="M482" t="s">
        <v>1898</v>
      </c>
    </row>
    <row r="483" spans="1:13" x14ac:dyDescent="0.3">
      <c r="A483">
        <v>480</v>
      </c>
      <c r="B483" t="s">
        <v>1899</v>
      </c>
      <c r="C483" t="s">
        <v>1900</v>
      </c>
      <c r="D483" t="s">
        <v>18</v>
      </c>
      <c r="E483" t="s">
        <v>1901</v>
      </c>
      <c r="F483" t="s">
        <v>1902</v>
      </c>
      <c r="G483" t="str">
        <f xml:space="preserve"> PROPER(_xlfn.CONCAT(Table1[[#This Row],[Title]]," ",Table1[[#This Row],[First Name]]," ",Table1[[#This Row],[Last Name]]))</f>
        <v>Miss Joannie Kessler</v>
      </c>
      <c r="H483" t="str">
        <f>SUBSTITUTE(Table1[[#This Row],[Street]],"Road"," Road")</f>
        <v>Felton Street</v>
      </c>
      <c r="I483" t="str">
        <f>SUBSTITUTE(Table1[[#This Row],[Separate combined words ]],"?","")</f>
        <v>Felton Street</v>
      </c>
      <c r="J483" t="str">
        <f>TRIM(Table1[[#This Row],[Remove Question Mark "?"]])</f>
        <v>Felton Street</v>
      </c>
      <c r="K483" t="str">
        <f>PROPER(Table1[[#This Row],[Leading, Multiple &amp; Trailing spaces]])</f>
        <v>Felton Street</v>
      </c>
      <c r="L483" t="str">
        <f t="shared" si="7"/>
        <v>Felton Street</v>
      </c>
      <c r="M483" t="s">
        <v>1901</v>
      </c>
    </row>
    <row r="484" spans="1:13" x14ac:dyDescent="0.3">
      <c r="A484">
        <v>481</v>
      </c>
      <c r="B484" t="s">
        <v>1903</v>
      </c>
      <c r="C484" t="s">
        <v>1904</v>
      </c>
      <c r="D484" t="s">
        <v>71</v>
      </c>
      <c r="E484" t="s">
        <v>1905</v>
      </c>
      <c r="F484" t="s">
        <v>882</v>
      </c>
      <c r="G484" t="str">
        <f xml:space="preserve"> PROPER(_xlfn.CONCAT(Table1[[#This Row],[Title]]," ",Table1[[#This Row],[First Name]]," ",Table1[[#This Row],[Last Name]]))</f>
        <v>Ms Ivette Ramsey</v>
      </c>
      <c r="H484" t="str">
        <f>SUBSTITUTE(Table1[[#This Row],[Street]],"Road"," Road")</f>
        <v>Cold Street</v>
      </c>
      <c r="I484" t="str">
        <f>SUBSTITUTE(Table1[[#This Row],[Separate combined words ]],"?","")</f>
        <v>Cold Street</v>
      </c>
      <c r="J484" t="str">
        <f>TRIM(Table1[[#This Row],[Remove Question Mark "?"]])</f>
        <v>Cold Street</v>
      </c>
      <c r="K484" t="str">
        <f>PROPER(Table1[[#This Row],[Leading, Multiple &amp; Trailing spaces]])</f>
        <v>Cold Street</v>
      </c>
      <c r="L484" t="str">
        <f t="shared" si="7"/>
        <v>Cold Street</v>
      </c>
      <c r="M484" t="s">
        <v>1905</v>
      </c>
    </row>
    <row r="485" spans="1:13" x14ac:dyDescent="0.3">
      <c r="A485">
        <v>482</v>
      </c>
      <c r="B485" t="s">
        <v>1906</v>
      </c>
      <c r="C485" t="s">
        <v>1907</v>
      </c>
      <c r="D485" t="s">
        <v>7</v>
      </c>
      <c r="E485" t="s">
        <v>1908</v>
      </c>
      <c r="F485" t="s">
        <v>1283</v>
      </c>
      <c r="G485" t="str">
        <f xml:space="preserve"> PROPER(_xlfn.CONCAT(Table1[[#This Row],[Title]]," ",Table1[[#This Row],[First Name]]," ",Table1[[#This Row],[Last Name]]))</f>
        <v>Mrs Tamisha Lassiter</v>
      </c>
      <c r="H485" t="str">
        <f>SUBSTITUTE(Table1[[#This Row],[Street]],"Road"," Road")</f>
        <v>Guildhouse Street</v>
      </c>
      <c r="I485" t="str">
        <f>SUBSTITUTE(Table1[[#This Row],[Separate combined words ]],"?","")</f>
        <v>Guildhouse Street</v>
      </c>
      <c r="J485" t="str">
        <f>TRIM(Table1[[#This Row],[Remove Question Mark "?"]])</f>
        <v>Guildhouse Street</v>
      </c>
      <c r="K485" t="str">
        <f>PROPER(Table1[[#This Row],[Leading, Multiple &amp; Trailing spaces]])</f>
        <v>Guildhouse Street</v>
      </c>
      <c r="L485" t="str">
        <f t="shared" si="7"/>
        <v>Guildhouse Street</v>
      </c>
      <c r="M485" t="s">
        <v>1908</v>
      </c>
    </row>
    <row r="486" spans="1:13" x14ac:dyDescent="0.3">
      <c r="A486">
        <v>483</v>
      </c>
      <c r="B486" t="s">
        <v>1909</v>
      </c>
      <c r="C486" t="s">
        <v>1910</v>
      </c>
      <c r="D486" t="s">
        <v>18</v>
      </c>
      <c r="E486" t="s">
        <v>1911</v>
      </c>
      <c r="F486" t="s">
        <v>148</v>
      </c>
      <c r="G486" t="str">
        <f xml:space="preserve"> PROPER(_xlfn.CONCAT(Table1[[#This Row],[Title]]," ",Table1[[#This Row],[First Name]]," ",Table1[[#This Row],[Last Name]]))</f>
        <v>Miss Ashlie Amos</v>
      </c>
      <c r="H486" t="str">
        <f>SUBSTITUTE(Table1[[#This Row],[Street]],"Road"," Road")</f>
        <v>Hersham Close</v>
      </c>
      <c r="I486" t="str">
        <f>SUBSTITUTE(Table1[[#This Row],[Separate combined words ]],"?","")</f>
        <v>Hersham Close</v>
      </c>
      <c r="J486" t="str">
        <f>TRIM(Table1[[#This Row],[Remove Question Mark "?"]])</f>
        <v>Hersham Close</v>
      </c>
      <c r="K486" t="str">
        <f>PROPER(Table1[[#This Row],[Leading, Multiple &amp; Trailing spaces]])</f>
        <v>Hersham Close</v>
      </c>
      <c r="L486" t="str">
        <f t="shared" si="7"/>
        <v>Hersham Close</v>
      </c>
      <c r="M486" t="s">
        <v>1911</v>
      </c>
    </row>
    <row r="487" spans="1:13" x14ac:dyDescent="0.3">
      <c r="A487">
        <v>484</v>
      </c>
      <c r="B487" t="s">
        <v>1912</v>
      </c>
      <c r="C487" t="s">
        <v>1913</v>
      </c>
      <c r="D487" t="s">
        <v>7</v>
      </c>
      <c r="E487" t="s">
        <v>1914</v>
      </c>
      <c r="F487" t="s">
        <v>1548</v>
      </c>
      <c r="G487" t="str">
        <f xml:space="preserve"> PROPER(_xlfn.CONCAT(Table1[[#This Row],[Title]]," ",Table1[[#This Row],[First Name]]," ",Table1[[#This Row],[Last Name]]))</f>
        <v>Mrs Tobie Sherman</v>
      </c>
      <c r="H487" t="str">
        <f>SUBSTITUTE(Table1[[#This Row],[Street]],"Road"," Road")</f>
        <v>Spaniards Close</v>
      </c>
      <c r="I487" t="str">
        <f>SUBSTITUTE(Table1[[#This Row],[Separate combined words ]],"?","")</f>
        <v>Spaniards Close</v>
      </c>
      <c r="J487" t="str">
        <f>TRIM(Table1[[#This Row],[Remove Question Mark "?"]])</f>
        <v>Spaniards Close</v>
      </c>
      <c r="K487" t="str">
        <f>PROPER(Table1[[#This Row],[Leading, Multiple &amp; Trailing spaces]])</f>
        <v>Spaniards Close</v>
      </c>
      <c r="L487" t="str">
        <f t="shared" si="7"/>
        <v>Spaniards Close</v>
      </c>
      <c r="M487" t="s">
        <v>1914</v>
      </c>
    </row>
    <row r="488" spans="1:13" x14ac:dyDescent="0.3">
      <c r="A488">
        <v>485</v>
      </c>
      <c r="B488" t="s">
        <v>1915</v>
      </c>
      <c r="C488" t="s">
        <v>1856</v>
      </c>
      <c r="D488" t="s">
        <v>18</v>
      </c>
      <c r="E488" t="s">
        <v>1916</v>
      </c>
      <c r="F488" t="s">
        <v>426</v>
      </c>
      <c r="G488" t="str">
        <f xml:space="preserve"> PROPER(_xlfn.CONCAT(Table1[[#This Row],[Title]]," ",Table1[[#This Row],[First Name]]," ",Table1[[#This Row],[Last Name]]))</f>
        <v>Miss Sindy Benton</v>
      </c>
      <c r="H488" t="str">
        <f>SUBSTITUTE(Table1[[#This Row],[Street]],"Road"," Road")</f>
        <v>Frankland  Road</v>
      </c>
      <c r="I488" t="str">
        <f>SUBSTITUTE(Table1[[#This Row],[Separate combined words ]],"?","")</f>
        <v>Frankland  Road</v>
      </c>
      <c r="J488" t="str">
        <f>TRIM(Table1[[#This Row],[Remove Question Mark "?"]])</f>
        <v>Frankland Road</v>
      </c>
      <c r="K488" t="str">
        <f>PROPER(Table1[[#This Row],[Leading, Multiple &amp; Trailing spaces]])</f>
        <v>Frankland Road</v>
      </c>
      <c r="L488" t="str">
        <f t="shared" si="7"/>
        <v>Frankland Road</v>
      </c>
      <c r="M488" t="s">
        <v>1916</v>
      </c>
    </row>
    <row r="489" spans="1:13" x14ac:dyDescent="0.3">
      <c r="A489">
        <v>486</v>
      </c>
      <c r="B489" t="s">
        <v>1917</v>
      </c>
      <c r="C489" t="s">
        <v>1276</v>
      </c>
      <c r="D489" t="s">
        <v>7</v>
      </c>
      <c r="E489" t="s">
        <v>1918</v>
      </c>
      <c r="F489" t="s">
        <v>713</v>
      </c>
      <c r="G489" t="str">
        <f xml:space="preserve"> PROPER(_xlfn.CONCAT(Table1[[#This Row],[Title]]," ",Table1[[#This Row],[First Name]]," ",Table1[[#This Row],[Last Name]]))</f>
        <v>Mrs Melisa Dillard</v>
      </c>
      <c r="H489" t="str">
        <f>SUBSTITUTE(Table1[[#This Row],[Street]],"Road"," Road")</f>
        <v>Osier Street</v>
      </c>
      <c r="I489" t="str">
        <f>SUBSTITUTE(Table1[[#This Row],[Separate combined words ]],"?","")</f>
        <v>Osier Street</v>
      </c>
      <c r="J489" t="str">
        <f>TRIM(Table1[[#This Row],[Remove Question Mark "?"]])</f>
        <v>Osier Street</v>
      </c>
      <c r="K489" t="str">
        <f>PROPER(Table1[[#This Row],[Leading, Multiple &amp; Trailing spaces]])</f>
        <v>Osier Street</v>
      </c>
      <c r="L489" t="str">
        <f t="shared" si="7"/>
        <v>Osier Street</v>
      </c>
      <c r="M489" t="s">
        <v>1918</v>
      </c>
    </row>
    <row r="490" spans="1:13" x14ac:dyDescent="0.3">
      <c r="A490">
        <v>487</v>
      </c>
      <c r="B490" t="s">
        <v>1919</v>
      </c>
      <c r="C490" t="s">
        <v>1920</v>
      </c>
      <c r="D490" t="s">
        <v>18</v>
      </c>
      <c r="E490" t="s">
        <v>1921</v>
      </c>
      <c r="F490" t="s">
        <v>1922</v>
      </c>
      <c r="G490" t="str">
        <f xml:space="preserve"> PROPER(_xlfn.CONCAT(Table1[[#This Row],[Title]]," ",Table1[[#This Row],[First Name]]," ",Table1[[#This Row],[Last Name]]))</f>
        <v>Miss Christiana Ogden</v>
      </c>
      <c r="H490" t="str">
        <f>SUBSTITUTE(Table1[[#This Row],[Street]],"Road"," Road")</f>
        <v>Roy Place</v>
      </c>
      <c r="I490" t="str">
        <f>SUBSTITUTE(Table1[[#This Row],[Separate combined words ]],"?","")</f>
        <v>Roy Place</v>
      </c>
      <c r="J490" t="str">
        <f>TRIM(Table1[[#This Row],[Remove Question Mark "?"]])</f>
        <v>Roy Place</v>
      </c>
      <c r="K490" t="str">
        <f>PROPER(Table1[[#This Row],[Leading, Multiple &amp; Trailing spaces]])</f>
        <v>Roy Place</v>
      </c>
      <c r="L490" t="str">
        <f t="shared" si="7"/>
        <v>Roy Place</v>
      </c>
      <c r="M490" t="s">
        <v>1921</v>
      </c>
    </row>
    <row r="491" spans="1:13" x14ac:dyDescent="0.3">
      <c r="A491">
        <v>488</v>
      </c>
      <c r="B491" t="s">
        <v>1923</v>
      </c>
      <c r="C491" t="s">
        <v>1924</v>
      </c>
      <c r="D491" t="s">
        <v>7</v>
      </c>
      <c r="E491" t="s">
        <v>1925</v>
      </c>
      <c r="F491" t="s">
        <v>365</v>
      </c>
      <c r="G491" t="str">
        <f xml:space="preserve"> PROPER(_xlfn.CONCAT(Table1[[#This Row],[Title]]," ",Table1[[#This Row],[First Name]]," ",Table1[[#This Row],[Last Name]]))</f>
        <v>Mrs Velia Whitt</v>
      </c>
      <c r="H491" t="str">
        <f>SUBSTITUTE(Table1[[#This Row],[Street]],"Road"," Road")</f>
        <v>Edna Street</v>
      </c>
      <c r="I491" t="str">
        <f>SUBSTITUTE(Table1[[#This Row],[Separate combined words ]],"?","")</f>
        <v>Edna Street</v>
      </c>
      <c r="J491" t="str">
        <f>TRIM(Table1[[#This Row],[Remove Question Mark "?"]])</f>
        <v>Edna Street</v>
      </c>
      <c r="K491" t="str">
        <f>PROPER(Table1[[#This Row],[Leading, Multiple &amp; Trailing spaces]])</f>
        <v>Edna Street</v>
      </c>
      <c r="L491" t="str">
        <f t="shared" si="7"/>
        <v>Edna Street</v>
      </c>
      <c r="M491" t="s">
        <v>1925</v>
      </c>
    </row>
    <row r="492" spans="1:13" x14ac:dyDescent="0.3">
      <c r="A492">
        <v>489</v>
      </c>
      <c r="B492" t="s">
        <v>1926</v>
      </c>
      <c r="C492" t="s">
        <v>1927</v>
      </c>
      <c r="D492" t="s">
        <v>7</v>
      </c>
      <c r="E492" t="s">
        <v>1928</v>
      </c>
      <c r="F492" t="s">
        <v>421</v>
      </c>
      <c r="G492" t="str">
        <f xml:space="preserve"> PROPER(_xlfn.CONCAT(Table1[[#This Row],[Title]]," ",Table1[[#This Row],[First Name]]," ",Table1[[#This Row],[Last Name]]))</f>
        <v>Mrs Bernardine Molina</v>
      </c>
      <c r="H492" t="str">
        <f>SUBSTITUTE(Table1[[#This Row],[Street]],"Road"," Road")</f>
        <v>Beachfield  Road</v>
      </c>
      <c r="I492" t="str">
        <f>SUBSTITUTE(Table1[[#This Row],[Separate combined words ]],"?","")</f>
        <v>Beachfield  Road</v>
      </c>
      <c r="J492" t="str">
        <f>TRIM(Table1[[#This Row],[Remove Question Mark "?"]])</f>
        <v>Beachfield Road</v>
      </c>
      <c r="K492" t="str">
        <f>PROPER(Table1[[#This Row],[Leading, Multiple &amp; Trailing spaces]])</f>
        <v>Beachfield Road</v>
      </c>
      <c r="L492" t="str">
        <f t="shared" si="7"/>
        <v>Beachfield Road</v>
      </c>
      <c r="M492" t="s">
        <v>1928</v>
      </c>
    </row>
    <row r="493" spans="1:13" x14ac:dyDescent="0.3">
      <c r="A493">
        <v>490</v>
      </c>
      <c r="B493" t="s">
        <v>1929</v>
      </c>
      <c r="C493" t="s">
        <v>394</v>
      </c>
      <c r="D493" t="s">
        <v>7</v>
      </c>
      <c r="E493" t="s">
        <v>1930</v>
      </c>
      <c r="F493" t="s">
        <v>1931</v>
      </c>
      <c r="G493" t="str">
        <f xml:space="preserve"> PROPER(_xlfn.CONCAT(Table1[[#This Row],[Title]]," ",Table1[[#This Row],[First Name]]," ",Table1[[#This Row],[Last Name]]))</f>
        <v>Mrs Vivian Marcum</v>
      </c>
      <c r="H493" t="str">
        <f>SUBSTITUTE(Table1[[#This Row],[Street]],"Road"," Road")</f>
        <v>Bolwell Street</v>
      </c>
      <c r="I493" t="str">
        <f>SUBSTITUTE(Table1[[#This Row],[Separate combined words ]],"?","")</f>
        <v>Bolwell Street</v>
      </c>
      <c r="J493" t="str">
        <f>TRIM(Table1[[#This Row],[Remove Question Mark "?"]])</f>
        <v>Bolwell Street</v>
      </c>
      <c r="K493" t="str">
        <f>PROPER(Table1[[#This Row],[Leading, Multiple &amp; Trailing spaces]])</f>
        <v>Bolwell Street</v>
      </c>
      <c r="L493" t="str">
        <f t="shared" si="7"/>
        <v>Bolwell Street</v>
      </c>
      <c r="M493" t="s">
        <v>1930</v>
      </c>
    </row>
    <row r="494" spans="1:13" x14ac:dyDescent="0.3">
      <c r="A494">
        <v>491</v>
      </c>
      <c r="B494" t="s">
        <v>1932</v>
      </c>
      <c r="C494" t="s">
        <v>1933</v>
      </c>
      <c r="D494" t="s">
        <v>18</v>
      </c>
      <c r="E494" t="s">
        <v>1934</v>
      </c>
      <c r="F494" t="s">
        <v>463</v>
      </c>
      <c r="G494" t="str">
        <f xml:space="preserve"> PROPER(_xlfn.CONCAT(Table1[[#This Row],[Title]]," ",Table1[[#This Row],[First Name]]," ",Table1[[#This Row],[Last Name]]))</f>
        <v>Miss Ira Dillon</v>
      </c>
      <c r="H494" t="str">
        <f>SUBSTITUTE(Table1[[#This Row],[Street]],"Road"," Road")</f>
        <v>Admiral Walk</v>
      </c>
      <c r="I494" t="str">
        <f>SUBSTITUTE(Table1[[#This Row],[Separate combined words ]],"?","")</f>
        <v>Admiral Walk</v>
      </c>
      <c r="J494" t="str">
        <f>TRIM(Table1[[#This Row],[Remove Question Mark "?"]])</f>
        <v>Admiral Walk</v>
      </c>
      <c r="K494" t="str">
        <f>PROPER(Table1[[#This Row],[Leading, Multiple &amp; Trailing spaces]])</f>
        <v>Admiral Walk</v>
      </c>
      <c r="L494" t="str">
        <f t="shared" si="7"/>
        <v>Admiral Walk</v>
      </c>
      <c r="M494" t="s">
        <v>1934</v>
      </c>
    </row>
    <row r="495" spans="1:13" x14ac:dyDescent="0.3">
      <c r="A495">
        <v>492</v>
      </c>
      <c r="B495" t="s">
        <v>190</v>
      </c>
      <c r="C495" t="s">
        <v>1935</v>
      </c>
      <c r="D495" t="s">
        <v>7</v>
      </c>
      <c r="E495" t="s">
        <v>1936</v>
      </c>
      <c r="F495" t="s">
        <v>1937</v>
      </c>
      <c r="G495" t="str">
        <f xml:space="preserve"> PROPER(_xlfn.CONCAT(Table1[[#This Row],[Title]]," ",Table1[[#This Row],[First Name]]," ",Table1[[#This Row],[Last Name]]))</f>
        <v>Mrs Josefina Crocker</v>
      </c>
      <c r="H495" t="str">
        <f>SUBSTITUTE(Table1[[#This Row],[Street]],"Road"," Road")</f>
        <v>Mardyke Street</v>
      </c>
      <c r="I495" t="str">
        <f>SUBSTITUTE(Table1[[#This Row],[Separate combined words ]],"?","")</f>
        <v>Mardyke Street</v>
      </c>
      <c r="J495" t="str">
        <f>TRIM(Table1[[#This Row],[Remove Question Mark "?"]])</f>
        <v>Mardyke Street</v>
      </c>
      <c r="K495" t="str">
        <f>PROPER(Table1[[#This Row],[Leading, Multiple &amp; Trailing spaces]])</f>
        <v>Mardyke Street</v>
      </c>
      <c r="L495" t="str">
        <f t="shared" si="7"/>
        <v>Mardyke Street</v>
      </c>
      <c r="M495" t="s">
        <v>1936</v>
      </c>
    </row>
    <row r="496" spans="1:13" x14ac:dyDescent="0.3">
      <c r="A496">
        <v>493</v>
      </c>
      <c r="B496" t="s">
        <v>1938</v>
      </c>
      <c r="C496" t="s">
        <v>1573</v>
      </c>
      <c r="D496" t="s">
        <v>18</v>
      </c>
      <c r="E496" t="s">
        <v>1939</v>
      </c>
      <c r="F496" t="s">
        <v>1940</v>
      </c>
      <c r="G496" t="str">
        <f xml:space="preserve"> PROPER(_xlfn.CONCAT(Table1[[#This Row],[Title]]," ",Table1[[#This Row],[First Name]]," ",Table1[[#This Row],[Last Name]]))</f>
        <v>Miss Karly Rivera</v>
      </c>
      <c r="H496" t="str">
        <f>SUBSTITUTE(Table1[[#This Row],[Street]],"Road"," Road")</f>
        <v>William Barefoot</v>
      </c>
      <c r="I496" t="str">
        <f>SUBSTITUTE(Table1[[#This Row],[Separate combined words ]],"?","")</f>
        <v>William Barefoot</v>
      </c>
      <c r="J496" t="str">
        <f>TRIM(Table1[[#This Row],[Remove Question Mark "?"]])</f>
        <v>William Barefoot</v>
      </c>
      <c r="K496" t="str">
        <f>PROPER(Table1[[#This Row],[Leading, Multiple &amp; Trailing spaces]])</f>
        <v>William Barefoot</v>
      </c>
      <c r="L496" t="str">
        <f t="shared" si="7"/>
        <v>William Barefoot</v>
      </c>
      <c r="M496" t="s">
        <v>1939</v>
      </c>
    </row>
    <row r="497" spans="1:13" x14ac:dyDescent="0.3">
      <c r="A497">
        <v>494</v>
      </c>
      <c r="B497" t="s">
        <v>1303</v>
      </c>
      <c r="C497" t="s">
        <v>1941</v>
      </c>
      <c r="D497" t="s">
        <v>55</v>
      </c>
      <c r="E497" t="s">
        <v>1942</v>
      </c>
      <c r="F497" t="s">
        <v>1943</v>
      </c>
      <c r="G497" t="str">
        <f xml:space="preserve"> PROPER(_xlfn.CONCAT(Table1[[#This Row],[Title]]," ",Table1[[#This Row],[First Name]]," ",Table1[[#This Row],[Last Name]]))</f>
        <v>Prof Ida Hebert</v>
      </c>
      <c r="H497" t="str">
        <f>SUBSTITUTE(Table1[[#This Row],[Street]],"Road"," Road")</f>
        <v>Orleans  Road</v>
      </c>
      <c r="I497" t="str">
        <f>SUBSTITUTE(Table1[[#This Row],[Separate combined words ]],"?","")</f>
        <v>Orleans  Road</v>
      </c>
      <c r="J497" t="str">
        <f>TRIM(Table1[[#This Row],[Remove Question Mark "?"]])</f>
        <v>Orleans Road</v>
      </c>
      <c r="K497" t="str">
        <f>PROPER(Table1[[#This Row],[Leading, Multiple &amp; Trailing spaces]])</f>
        <v>Orleans Road</v>
      </c>
      <c r="L497" t="str">
        <f t="shared" si="7"/>
        <v>Orleans Road</v>
      </c>
      <c r="M497" t="s">
        <v>1942</v>
      </c>
    </row>
    <row r="498" spans="1:13" x14ac:dyDescent="0.3">
      <c r="A498">
        <v>495</v>
      </c>
      <c r="B498" t="s">
        <v>1944</v>
      </c>
      <c r="C498" t="s">
        <v>1945</v>
      </c>
      <c r="D498" t="s">
        <v>18</v>
      </c>
      <c r="E498" t="s">
        <v>1946</v>
      </c>
      <c r="F498" t="s">
        <v>1947</v>
      </c>
      <c r="G498" t="str">
        <f xml:space="preserve"> PROPER(_xlfn.CONCAT(Table1[[#This Row],[Title]]," ",Table1[[#This Row],[First Name]]," ",Table1[[#This Row],[Last Name]]))</f>
        <v>Miss Jessica Youngblood</v>
      </c>
      <c r="H498" t="str">
        <f>SUBSTITUTE(Table1[[#This Row],[Street]],"Road"," Road")</f>
        <v>Gaitskell  Road</v>
      </c>
      <c r="I498" t="str">
        <f>SUBSTITUTE(Table1[[#This Row],[Separate combined words ]],"?","")</f>
        <v>Gaitskell  Road</v>
      </c>
      <c r="J498" t="str">
        <f>TRIM(Table1[[#This Row],[Remove Question Mark "?"]])</f>
        <v>Gaitskell Road</v>
      </c>
      <c r="K498" t="str">
        <f>PROPER(Table1[[#This Row],[Leading, Multiple &amp; Trailing spaces]])</f>
        <v>Gaitskell Road</v>
      </c>
      <c r="L498" t="str">
        <f t="shared" si="7"/>
        <v>Gaitskell Road</v>
      </c>
      <c r="M498" t="s">
        <v>1946</v>
      </c>
    </row>
    <row r="499" spans="1:13" x14ac:dyDescent="0.3">
      <c r="A499">
        <v>496</v>
      </c>
      <c r="B499" t="s">
        <v>1028</v>
      </c>
      <c r="C499" t="s">
        <v>1074</v>
      </c>
      <c r="D499" t="s">
        <v>18</v>
      </c>
      <c r="E499" t="s">
        <v>1948</v>
      </c>
      <c r="F499" t="s">
        <v>1949</v>
      </c>
      <c r="G499" t="str">
        <f xml:space="preserve"> PROPER(_xlfn.CONCAT(Table1[[#This Row],[Title]]," ",Table1[[#This Row],[First Name]]," ",Table1[[#This Row],[Last Name]]))</f>
        <v>Miss Kelsey Stacy</v>
      </c>
      <c r="H499" t="str">
        <f>SUBSTITUTE(Table1[[#This Row],[Street]],"Road"," Road")</f>
        <v>Coralline Walk</v>
      </c>
      <c r="I499" t="str">
        <f>SUBSTITUTE(Table1[[#This Row],[Separate combined words ]],"?","")</f>
        <v>Coralline Walk</v>
      </c>
      <c r="J499" t="str">
        <f>TRIM(Table1[[#This Row],[Remove Question Mark "?"]])</f>
        <v>Coralline Walk</v>
      </c>
      <c r="K499" t="str">
        <f>PROPER(Table1[[#This Row],[Leading, Multiple &amp; Trailing spaces]])</f>
        <v>Coralline Walk</v>
      </c>
      <c r="L499" t="str">
        <f t="shared" si="7"/>
        <v>Coralline Walk</v>
      </c>
      <c r="M499" t="s">
        <v>1948</v>
      </c>
    </row>
    <row r="500" spans="1:13" x14ac:dyDescent="0.3">
      <c r="A500">
        <v>497</v>
      </c>
      <c r="B500" t="s">
        <v>1950</v>
      </c>
      <c r="C500" t="s">
        <v>1951</v>
      </c>
      <c r="D500" t="s">
        <v>18</v>
      </c>
      <c r="E500" t="s">
        <v>1952</v>
      </c>
      <c r="F500" t="s">
        <v>534</v>
      </c>
      <c r="G500" t="str">
        <f xml:space="preserve"> PROPER(_xlfn.CONCAT(Table1[[#This Row],[Title]]," ",Table1[[#This Row],[First Name]]," ",Table1[[#This Row],[Last Name]]))</f>
        <v>Miss Audry Munson</v>
      </c>
      <c r="H500" t="str">
        <f>SUBSTITUTE(Table1[[#This Row],[Street]],"Road"," Road")</f>
        <v>Delamere Terrace</v>
      </c>
      <c r="I500" t="str">
        <f>SUBSTITUTE(Table1[[#This Row],[Separate combined words ]],"?","")</f>
        <v>Delamere Terrace</v>
      </c>
      <c r="J500" t="str">
        <f>TRIM(Table1[[#This Row],[Remove Question Mark "?"]])</f>
        <v>Delamere Terrace</v>
      </c>
      <c r="K500" t="str">
        <f>PROPER(Table1[[#This Row],[Leading, Multiple &amp; Trailing spaces]])</f>
        <v>Delamere Terrace</v>
      </c>
      <c r="L500" t="str">
        <f t="shared" si="7"/>
        <v>Delamere Terrace</v>
      </c>
      <c r="M500" t="s">
        <v>1952</v>
      </c>
    </row>
    <row r="501" spans="1:13" x14ac:dyDescent="0.3">
      <c r="A501">
        <v>498</v>
      </c>
      <c r="B501" t="s">
        <v>1953</v>
      </c>
      <c r="C501" t="s">
        <v>1954</v>
      </c>
      <c r="D501" t="s">
        <v>7</v>
      </c>
      <c r="E501" t="s">
        <v>1955</v>
      </c>
      <c r="F501" t="s">
        <v>1956</v>
      </c>
      <c r="G501" t="str">
        <f xml:space="preserve"> PROPER(_xlfn.CONCAT(Table1[[#This Row],[Title]]," ",Table1[[#This Row],[First Name]]," ",Table1[[#This Row],[Last Name]]))</f>
        <v>Mrs Terina Farley</v>
      </c>
      <c r="H501" t="str">
        <f>SUBSTITUTE(Table1[[#This Row],[Street]],"Road"," Road")</f>
        <v>Strachan Place</v>
      </c>
      <c r="I501" t="str">
        <f>SUBSTITUTE(Table1[[#This Row],[Separate combined words ]],"?","")</f>
        <v>Strachan Place</v>
      </c>
      <c r="J501" t="str">
        <f>TRIM(Table1[[#This Row],[Remove Question Mark "?"]])</f>
        <v>Strachan Place</v>
      </c>
      <c r="K501" t="str">
        <f>PROPER(Table1[[#This Row],[Leading, Multiple &amp; Trailing spaces]])</f>
        <v>Strachan Place</v>
      </c>
      <c r="L501" t="str">
        <f t="shared" si="7"/>
        <v>Strachan Place</v>
      </c>
      <c r="M501" t="s">
        <v>1955</v>
      </c>
    </row>
    <row r="502" spans="1:13" x14ac:dyDescent="0.3">
      <c r="A502">
        <v>499</v>
      </c>
      <c r="B502" t="s">
        <v>1899</v>
      </c>
      <c r="C502" t="s">
        <v>1957</v>
      </c>
      <c r="D502" t="s">
        <v>18</v>
      </c>
      <c r="E502" t="s">
        <v>1958</v>
      </c>
      <c r="F502" t="s">
        <v>897</v>
      </c>
      <c r="G502" t="str">
        <f xml:space="preserve"> PROPER(_xlfn.CONCAT(Table1[[#This Row],[Title]]," ",Table1[[#This Row],[First Name]]," ",Table1[[#This Row],[Last Name]]))</f>
        <v>Miss Joannie Biggs</v>
      </c>
      <c r="H502" t="str">
        <f>SUBSTITUTE(Table1[[#This Row],[Street]],"Road"," Road")</f>
        <v>Gosterwood Street</v>
      </c>
      <c r="I502" t="str">
        <f>SUBSTITUTE(Table1[[#This Row],[Separate combined words ]],"?","")</f>
        <v>Gosterwood Street</v>
      </c>
      <c r="J502" t="str">
        <f>TRIM(Table1[[#This Row],[Remove Question Mark "?"]])</f>
        <v>Gosterwood Street</v>
      </c>
      <c r="K502" t="str">
        <f>PROPER(Table1[[#This Row],[Leading, Multiple &amp; Trailing spaces]])</f>
        <v>Gosterwood Street</v>
      </c>
      <c r="L502" t="str">
        <f t="shared" si="7"/>
        <v>Gosterwood Street</v>
      </c>
      <c r="M502" t="s">
        <v>1958</v>
      </c>
    </row>
    <row r="503" spans="1:13" x14ac:dyDescent="0.3">
      <c r="A503">
        <v>500</v>
      </c>
      <c r="B503" t="s">
        <v>1959</v>
      </c>
      <c r="C503" t="s">
        <v>1960</v>
      </c>
      <c r="D503" t="s">
        <v>18</v>
      </c>
      <c r="E503" t="s">
        <v>1961</v>
      </c>
      <c r="F503" t="s">
        <v>1962</v>
      </c>
      <c r="G503" t="str">
        <f xml:space="preserve"> PROPER(_xlfn.CONCAT(Table1[[#This Row],[Title]]," ",Table1[[#This Row],[First Name]]," ",Table1[[#This Row],[Last Name]]))</f>
        <v>Miss Rachelle Howard</v>
      </c>
      <c r="H503" t="str">
        <f>SUBSTITUTE(Table1[[#This Row],[Street]],"Road"," Road")</f>
        <v>Wemyss  Road</v>
      </c>
      <c r="I503" t="str">
        <f>SUBSTITUTE(Table1[[#This Row],[Separate combined words ]],"?","")</f>
        <v>Wemyss  Road</v>
      </c>
      <c r="J503" t="str">
        <f>TRIM(Table1[[#This Row],[Remove Question Mark "?"]])</f>
        <v>Wemyss Road</v>
      </c>
      <c r="K503" t="str">
        <f>PROPER(Table1[[#This Row],[Leading, Multiple &amp; Trailing spaces]])</f>
        <v>Wemyss Road</v>
      </c>
      <c r="L503" t="str">
        <f t="shared" si="7"/>
        <v>Wemyss Road</v>
      </c>
      <c r="M503" t="s">
        <v>1961</v>
      </c>
    </row>
    <row r="504" spans="1:13" x14ac:dyDescent="0.3">
      <c r="A504">
        <v>501</v>
      </c>
      <c r="B504" t="s">
        <v>1963</v>
      </c>
      <c r="C504" t="s">
        <v>477</v>
      </c>
      <c r="D504" t="s">
        <v>71</v>
      </c>
      <c r="E504" t="s">
        <v>1964</v>
      </c>
      <c r="F504" t="s">
        <v>514</v>
      </c>
      <c r="G504" t="str">
        <f xml:space="preserve"> PROPER(_xlfn.CONCAT(Table1[[#This Row],[Title]]," ",Table1[[#This Row],[First Name]]," ",Table1[[#This Row],[Last Name]]))</f>
        <v>Ms Deloras Middleton</v>
      </c>
      <c r="H504" t="str">
        <f>SUBSTITUTE(Table1[[#This Row],[Street]],"Road"," Road")</f>
        <v>Commonwealth Avenue</v>
      </c>
      <c r="I504" t="str">
        <f>SUBSTITUTE(Table1[[#This Row],[Separate combined words ]],"?","")</f>
        <v>Commonwealth Avenue</v>
      </c>
      <c r="J504" t="str">
        <f>TRIM(Table1[[#This Row],[Remove Question Mark "?"]])</f>
        <v>Commonwealth Avenue</v>
      </c>
      <c r="K504" t="str">
        <f>PROPER(Table1[[#This Row],[Leading, Multiple &amp; Trailing spaces]])</f>
        <v>Commonwealth Avenue</v>
      </c>
      <c r="L504" t="str">
        <f t="shared" si="7"/>
        <v>Commonwealth Avenue</v>
      </c>
      <c r="M504" t="s">
        <v>1964</v>
      </c>
    </row>
    <row r="505" spans="1:13" x14ac:dyDescent="0.3">
      <c r="A505">
        <v>502</v>
      </c>
      <c r="B505" t="s">
        <v>1965</v>
      </c>
      <c r="C505" t="s">
        <v>933</v>
      </c>
      <c r="D505" t="s">
        <v>18</v>
      </c>
      <c r="E505" t="s">
        <v>1966</v>
      </c>
      <c r="F505" t="s">
        <v>1967</v>
      </c>
      <c r="G505" t="str">
        <f xml:space="preserve"> PROPER(_xlfn.CONCAT(Table1[[#This Row],[Title]]," ",Table1[[#This Row],[First Name]]," ",Table1[[#This Row],[Last Name]]))</f>
        <v>Miss Mariella Crenshaw</v>
      </c>
      <c r="H505" t="str">
        <f>SUBSTITUTE(Table1[[#This Row],[Street]],"Road"," Road")</f>
        <v>Ardent Close</v>
      </c>
      <c r="I505" t="str">
        <f>SUBSTITUTE(Table1[[#This Row],[Separate combined words ]],"?","")</f>
        <v>Ardent Close</v>
      </c>
      <c r="J505" t="str">
        <f>TRIM(Table1[[#This Row],[Remove Question Mark "?"]])</f>
        <v>Ardent Close</v>
      </c>
      <c r="K505" t="str">
        <f>PROPER(Table1[[#This Row],[Leading, Multiple &amp; Trailing spaces]])</f>
        <v>Ardent Close</v>
      </c>
      <c r="L505" t="str">
        <f t="shared" si="7"/>
        <v>Ardent Close</v>
      </c>
      <c r="M505" t="s">
        <v>1966</v>
      </c>
    </row>
    <row r="506" spans="1:13" x14ac:dyDescent="0.3">
      <c r="A506">
        <v>503</v>
      </c>
      <c r="B506" t="s">
        <v>1968</v>
      </c>
      <c r="C506" t="s">
        <v>1969</v>
      </c>
      <c r="D506" t="s">
        <v>7</v>
      </c>
      <c r="E506" t="s">
        <v>1970</v>
      </c>
      <c r="F506" t="s">
        <v>1971</v>
      </c>
      <c r="G506" t="str">
        <f xml:space="preserve"> PROPER(_xlfn.CONCAT(Table1[[#This Row],[Title]]," ",Table1[[#This Row],[First Name]]," ",Table1[[#This Row],[Last Name]]))</f>
        <v>Mrs Cristen Gustafson</v>
      </c>
      <c r="H506" t="str">
        <f>SUBSTITUTE(Table1[[#This Row],[Street]],"Road"," Road")</f>
        <v>Hollingbourne  Road</v>
      </c>
      <c r="I506" t="str">
        <f>SUBSTITUTE(Table1[[#This Row],[Separate combined words ]],"?","")</f>
        <v>Hollingbourne  Road</v>
      </c>
      <c r="J506" t="str">
        <f>TRIM(Table1[[#This Row],[Remove Question Mark "?"]])</f>
        <v>Hollingbourne Road</v>
      </c>
      <c r="K506" t="str">
        <f>PROPER(Table1[[#This Row],[Leading, Multiple &amp; Trailing spaces]])</f>
        <v>Hollingbourne Road</v>
      </c>
      <c r="L506" t="str">
        <f t="shared" si="7"/>
        <v>Hollingbourne Road</v>
      </c>
      <c r="M506" t="s">
        <v>1970</v>
      </c>
    </row>
    <row r="507" spans="1:13" x14ac:dyDescent="0.3">
      <c r="A507">
        <v>504</v>
      </c>
      <c r="B507" t="s">
        <v>1972</v>
      </c>
      <c r="C507" t="s">
        <v>1017</v>
      </c>
      <c r="D507" t="s">
        <v>7</v>
      </c>
      <c r="E507" t="s">
        <v>1973</v>
      </c>
      <c r="F507" t="s">
        <v>1974</v>
      </c>
      <c r="G507" t="str">
        <f xml:space="preserve"> PROPER(_xlfn.CONCAT(Table1[[#This Row],[Title]]," ",Table1[[#This Row],[First Name]]," ",Table1[[#This Row],[Last Name]]))</f>
        <v>Mrs Dalene Jefferson</v>
      </c>
      <c r="H507" t="str">
        <f>SUBSTITUTE(Table1[[#This Row],[Street]],"Road"," Road")</f>
        <v>Collyer Collages</v>
      </c>
      <c r="I507" t="str">
        <f>SUBSTITUTE(Table1[[#This Row],[Separate combined words ]],"?","")</f>
        <v>Collyer Collages</v>
      </c>
      <c r="J507" t="str">
        <f>TRIM(Table1[[#This Row],[Remove Question Mark "?"]])</f>
        <v>Collyer Collages</v>
      </c>
      <c r="K507" t="str">
        <f>PROPER(Table1[[#This Row],[Leading, Multiple &amp; Trailing spaces]])</f>
        <v>Collyer Collages</v>
      </c>
      <c r="L507" t="str">
        <f t="shared" si="7"/>
        <v>Collyer Collages</v>
      </c>
      <c r="M507" t="s">
        <v>1973</v>
      </c>
    </row>
    <row r="508" spans="1:13" x14ac:dyDescent="0.3">
      <c r="A508">
        <v>505</v>
      </c>
      <c r="B508" t="s">
        <v>1975</v>
      </c>
      <c r="C508" t="s">
        <v>1976</v>
      </c>
      <c r="D508" t="s">
        <v>7</v>
      </c>
      <c r="E508" t="s">
        <v>1977</v>
      </c>
      <c r="F508" t="s">
        <v>550</v>
      </c>
      <c r="G508" t="str">
        <f xml:space="preserve"> PROPER(_xlfn.CONCAT(Table1[[#This Row],[Title]]," ",Table1[[#This Row],[First Name]]," ",Table1[[#This Row],[Last Name]]))</f>
        <v>Mrs Hsiu Wooten</v>
      </c>
      <c r="H508" t="str">
        <f>SUBSTITUTE(Table1[[#This Row],[Street]],"Road"," Road")</f>
        <v>Parker's Buildings</v>
      </c>
      <c r="I508" t="str">
        <f>SUBSTITUTE(Table1[[#This Row],[Separate combined words ]],"?","")</f>
        <v>Parker's Buildings</v>
      </c>
      <c r="J508" t="str">
        <f>TRIM(Table1[[#This Row],[Remove Question Mark "?"]])</f>
        <v>Parker's Buildings</v>
      </c>
      <c r="K508" t="str">
        <f>PROPER(Table1[[#This Row],[Leading, Multiple &amp; Trailing spaces]])</f>
        <v>Parker'S Buildings</v>
      </c>
      <c r="L508" t="str">
        <f t="shared" si="7"/>
        <v>Parker'S Buildings</v>
      </c>
      <c r="M508" t="s">
        <v>3433</v>
      </c>
    </row>
    <row r="509" spans="1:13" x14ac:dyDescent="0.3">
      <c r="A509">
        <v>506</v>
      </c>
      <c r="B509" t="s">
        <v>347</v>
      </c>
      <c r="C509" t="s">
        <v>1978</v>
      </c>
      <c r="D509" t="s">
        <v>318</v>
      </c>
      <c r="E509" t="s">
        <v>1979</v>
      </c>
      <c r="F509" t="s">
        <v>1971</v>
      </c>
      <c r="G509" t="str">
        <f xml:space="preserve"> PROPER(_xlfn.CONCAT(Table1[[#This Row],[Title]]," ",Table1[[#This Row],[First Name]]," ",Table1[[#This Row],[Last Name]]))</f>
        <v>Dr Jadwiga Gamble</v>
      </c>
      <c r="H509" t="str">
        <f>SUBSTITUTE(Table1[[#This Row],[Street]],"Road"," Road")</f>
        <v>Belfour Street</v>
      </c>
      <c r="I509" t="str">
        <f>SUBSTITUTE(Table1[[#This Row],[Separate combined words ]],"?","")</f>
        <v>Belfour Street</v>
      </c>
      <c r="J509" t="str">
        <f>TRIM(Table1[[#This Row],[Remove Question Mark "?"]])</f>
        <v>Belfour Street</v>
      </c>
      <c r="K509" t="str">
        <f>PROPER(Table1[[#This Row],[Leading, Multiple &amp; Trailing spaces]])</f>
        <v>Belfour Street</v>
      </c>
      <c r="L509" t="str">
        <f t="shared" si="7"/>
        <v>Belfour Street</v>
      </c>
      <c r="M509" t="s">
        <v>1979</v>
      </c>
    </row>
    <row r="510" spans="1:13" x14ac:dyDescent="0.3">
      <c r="A510">
        <v>507</v>
      </c>
      <c r="B510" t="s">
        <v>1980</v>
      </c>
      <c r="C510" t="s">
        <v>1981</v>
      </c>
      <c r="D510" t="s">
        <v>18</v>
      </c>
      <c r="E510" t="s">
        <v>1982</v>
      </c>
      <c r="F510" t="s">
        <v>615</v>
      </c>
      <c r="G510" t="str">
        <f xml:space="preserve"> PROPER(_xlfn.CONCAT(Table1[[#This Row],[Title]]," ",Table1[[#This Row],[First Name]]," ",Table1[[#This Row],[Last Name]]))</f>
        <v>Miss Marline Shaver</v>
      </c>
      <c r="H510" t="str">
        <f>SUBSTITUTE(Table1[[#This Row],[Street]],"Road"," Road")</f>
        <v>Dulwich Hill</v>
      </c>
      <c r="I510" t="str">
        <f>SUBSTITUTE(Table1[[#This Row],[Separate combined words ]],"?","")</f>
        <v>Dulwich Hill</v>
      </c>
      <c r="J510" t="str">
        <f>TRIM(Table1[[#This Row],[Remove Question Mark "?"]])</f>
        <v>Dulwich Hill</v>
      </c>
      <c r="K510" t="str">
        <f>PROPER(Table1[[#This Row],[Leading, Multiple &amp; Trailing spaces]])</f>
        <v>Dulwich Hill</v>
      </c>
      <c r="L510" t="str">
        <f t="shared" si="7"/>
        <v>Dulwich Hill</v>
      </c>
      <c r="M510" t="s">
        <v>1982</v>
      </c>
    </row>
    <row r="511" spans="1:13" x14ac:dyDescent="0.3">
      <c r="A511">
        <v>508</v>
      </c>
      <c r="B511" t="s">
        <v>1983</v>
      </c>
      <c r="C511" t="s">
        <v>1984</v>
      </c>
      <c r="D511" t="s">
        <v>18</v>
      </c>
      <c r="E511" t="s">
        <v>1985</v>
      </c>
      <c r="F511" t="s">
        <v>1560</v>
      </c>
      <c r="G511" t="str">
        <f xml:space="preserve"> PROPER(_xlfn.CONCAT(Table1[[#This Row],[Title]]," ",Table1[[#This Row],[First Name]]," ",Table1[[#This Row],[Last Name]]))</f>
        <v>Miss Tatum Posey</v>
      </c>
      <c r="H511" t="str">
        <f>SUBSTITUTE(Table1[[#This Row],[Street]],"Road"," Road")</f>
        <v>Norris Street</v>
      </c>
      <c r="I511" t="str">
        <f>SUBSTITUTE(Table1[[#This Row],[Separate combined words ]],"?","")</f>
        <v>Norris Street</v>
      </c>
      <c r="J511" t="str">
        <f>TRIM(Table1[[#This Row],[Remove Question Mark "?"]])</f>
        <v>Norris Street</v>
      </c>
      <c r="K511" t="str">
        <f>PROPER(Table1[[#This Row],[Leading, Multiple &amp; Trailing spaces]])</f>
        <v>Norris Street</v>
      </c>
      <c r="L511" t="str">
        <f t="shared" si="7"/>
        <v>Norris Street</v>
      </c>
      <c r="M511" t="s">
        <v>1985</v>
      </c>
    </row>
    <row r="512" spans="1:13" x14ac:dyDescent="0.3">
      <c r="A512">
        <v>509</v>
      </c>
      <c r="B512" t="s">
        <v>625</v>
      </c>
      <c r="C512" t="s">
        <v>539</v>
      </c>
      <c r="D512" t="s">
        <v>7</v>
      </c>
      <c r="E512" t="s">
        <v>1986</v>
      </c>
      <c r="F512" t="s">
        <v>1987</v>
      </c>
      <c r="G512" t="str">
        <f xml:space="preserve"> PROPER(_xlfn.CONCAT(Table1[[#This Row],[Title]]," ",Table1[[#This Row],[First Name]]," ",Table1[[#This Row],[Last Name]]))</f>
        <v>Mrs Cleotilde Thomson</v>
      </c>
      <c r="H512" t="str">
        <f>SUBSTITUTE(Table1[[#This Row],[Street]],"Road"," Road")</f>
        <v>Medcroft Gardens</v>
      </c>
      <c r="I512" t="str">
        <f>SUBSTITUTE(Table1[[#This Row],[Separate combined words ]],"?","")</f>
        <v>Medcroft Gardens</v>
      </c>
      <c r="J512" t="str">
        <f>TRIM(Table1[[#This Row],[Remove Question Mark "?"]])</f>
        <v>Medcroft Gardens</v>
      </c>
      <c r="K512" t="str">
        <f>PROPER(Table1[[#This Row],[Leading, Multiple &amp; Trailing spaces]])</f>
        <v>Medcroft Gardens</v>
      </c>
      <c r="L512" t="str">
        <f t="shared" si="7"/>
        <v>Medcroft Gardens</v>
      </c>
      <c r="M512" t="s">
        <v>1986</v>
      </c>
    </row>
    <row r="513" spans="1:13" x14ac:dyDescent="0.3">
      <c r="A513">
        <v>510</v>
      </c>
      <c r="B513" t="s">
        <v>1988</v>
      </c>
      <c r="C513" t="s">
        <v>1989</v>
      </c>
      <c r="D513" t="s">
        <v>18</v>
      </c>
      <c r="E513" t="s">
        <v>1990</v>
      </c>
      <c r="F513" t="s">
        <v>1376</v>
      </c>
      <c r="G513" t="str">
        <f xml:space="preserve"> PROPER(_xlfn.CONCAT(Table1[[#This Row],[Title]]," ",Table1[[#This Row],[First Name]]," ",Table1[[#This Row],[Last Name]]))</f>
        <v>Miss Tena Morgan</v>
      </c>
      <c r="H513" t="str">
        <f>SUBSTITUTE(Table1[[#This Row],[Street]],"Road"," Road")</f>
        <v>Sandringham Flats</v>
      </c>
      <c r="I513" t="str">
        <f>SUBSTITUTE(Table1[[#This Row],[Separate combined words ]],"?","")</f>
        <v>Sandringham Flats</v>
      </c>
      <c r="J513" t="str">
        <f>TRIM(Table1[[#This Row],[Remove Question Mark "?"]])</f>
        <v>Sandringham Flats</v>
      </c>
      <c r="K513" t="str">
        <f>PROPER(Table1[[#This Row],[Leading, Multiple &amp; Trailing spaces]])</f>
        <v>Sandringham Flats</v>
      </c>
      <c r="L513" t="str">
        <f t="shared" si="7"/>
        <v>Sandringham Flats</v>
      </c>
      <c r="M513" t="s">
        <v>1990</v>
      </c>
    </row>
    <row r="514" spans="1:13" x14ac:dyDescent="0.3">
      <c r="A514">
        <v>511</v>
      </c>
      <c r="B514" t="s">
        <v>875</v>
      </c>
      <c r="C514" t="s">
        <v>1991</v>
      </c>
      <c r="D514" t="s">
        <v>18</v>
      </c>
      <c r="E514" t="s">
        <v>1992</v>
      </c>
      <c r="F514" t="s">
        <v>1993</v>
      </c>
      <c r="G514" t="str">
        <f xml:space="preserve"> PROPER(_xlfn.CONCAT(Table1[[#This Row],[Title]]," ",Table1[[#This Row],[First Name]]," ",Table1[[#This Row],[Last Name]]))</f>
        <v>Miss Luba Heller</v>
      </c>
      <c r="H514" t="str">
        <f>SUBSTITUTE(Table1[[#This Row],[Street]],"Road"," Road")</f>
        <v>Greenacre Gardens</v>
      </c>
      <c r="I514" t="str">
        <f>SUBSTITUTE(Table1[[#This Row],[Separate combined words ]],"?","")</f>
        <v>Greenacre Gardens</v>
      </c>
      <c r="J514" t="str">
        <f>TRIM(Table1[[#This Row],[Remove Question Mark "?"]])</f>
        <v>Greenacre Gardens</v>
      </c>
      <c r="K514" t="str">
        <f>PROPER(Table1[[#This Row],[Leading, Multiple &amp; Trailing spaces]])</f>
        <v>Greenacre Gardens</v>
      </c>
      <c r="L514" t="str">
        <f t="shared" si="7"/>
        <v>Greenacre Gardens</v>
      </c>
      <c r="M514" t="s">
        <v>1992</v>
      </c>
    </row>
    <row r="515" spans="1:13" x14ac:dyDescent="0.3">
      <c r="A515">
        <v>512</v>
      </c>
      <c r="B515" t="s">
        <v>1994</v>
      </c>
      <c r="C515" t="s">
        <v>589</v>
      </c>
      <c r="D515" t="s">
        <v>7</v>
      </c>
      <c r="E515" t="s">
        <v>1995</v>
      </c>
      <c r="F515" t="s">
        <v>1996</v>
      </c>
      <c r="G515" t="str">
        <f xml:space="preserve"> PROPER(_xlfn.CONCAT(Table1[[#This Row],[Title]]," ",Table1[[#This Row],[First Name]]," ",Table1[[#This Row],[Last Name]]))</f>
        <v>Mrs Georgene Askew</v>
      </c>
      <c r="H515" t="str">
        <f>SUBSTITUTE(Table1[[#This Row],[Street]],"Road"," Road")</f>
        <v>Monster Square</v>
      </c>
      <c r="I515" t="str">
        <f>SUBSTITUTE(Table1[[#This Row],[Separate combined words ]],"?","")</f>
        <v>Monster Square</v>
      </c>
      <c r="J515" t="str">
        <f>TRIM(Table1[[#This Row],[Remove Question Mark "?"]])</f>
        <v>Monster Square</v>
      </c>
      <c r="K515" t="str">
        <f>PROPER(Table1[[#This Row],[Leading, Multiple &amp; Trailing spaces]])</f>
        <v>Monster Square</v>
      </c>
      <c r="L515" t="str">
        <f t="shared" si="7"/>
        <v>Monster Square</v>
      </c>
      <c r="M515" t="s">
        <v>1995</v>
      </c>
    </row>
    <row r="516" spans="1:13" x14ac:dyDescent="0.3">
      <c r="A516">
        <v>513</v>
      </c>
      <c r="B516" t="s">
        <v>1997</v>
      </c>
      <c r="C516" t="s">
        <v>394</v>
      </c>
      <c r="D516" t="s">
        <v>7</v>
      </c>
      <c r="E516" t="s">
        <v>1998</v>
      </c>
      <c r="F516" t="s">
        <v>1560</v>
      </c>
      <c r="G516" t="str">
        <f xml:space="preserve"> PROPER(_xlfn.CONCAT(Table1[[#This Row],[Title]]," ",Table1[[#This Row],[First Name]]," ",Table1[[#This Row],[Last Name]]))</f>
        <v>Mrs Tayna Marcum</v>
      </c>
      <c r="H516" t="str">
        <f>SUBSTITUTE(Table1[[#This Row],[Street]],"Road"," Road")</f>
        <v>Ildersly Grove</v>
      </c>
      <c r="I516" t="str">
        <f>SUBSTITUTE(Table1[[#This Row],[Separate combined words ]],"?","")</f>
        <v>Ildersly Grove</v>
      </c>
      <c r="J516" t="str">
        <f>TRIM(Table1[[#This Row],[Remove Question Mark "?"]])</f>
        <v>Ildersly Grove</v>
      </c>
      <c r="K516" t="str">
        <f>PROPER(Table1[[#This Row],[Leading, Multiple &amp; Trailing spaces]])</f>
        <v>Ildersly Grove</v>
      </c>
      <c r="L516" t="str">
        <f t="shared" si="7"/>
        <v>Ildersly Grove</v>
      </c>
      <c r="M516" t="s">
        <v>1998</v>
      </c>
    </row>
    <row r="517" spans="1:13" x14ac:dyDescent="0.3">
      <c r="A517">
        <v>514</v>
      </c>
      <c r="B517" t="s">
        <v>1999</v>
      </c>
      <c r="C517" t="s">
        <v>2000</v>
      </c>
      <c r="D517" t="s">
        <v>71</v>
      </c>
      <c r="E517" t="s">
        <v>2001</v>
      </c>
      <c r="F517" t="s">
        <v>1135</v>
      </c>
      <c r="G517" t="str">
        <f xml:space="preserve"> PROPER(_xlfn.CONCAT(Table1[[#This Row],[Title]]," ",Table1[[#This Row],[First Name]]," ",Table1[[#This Row],[Last Name]]))</f>
        <v>Ms Angelena Velez</v>
      </c>
      <c r="H517" t="str">
        <f>SUBSTITUTE(Table1[[#This Row],[Street]],"Road"," Road")</f>
        <v>Heathedge</v>
      </c>
      <c r="I517" t="str">
        <f>SUBSTITUTE(Table1[[#This Row],[Separate combined words ]],"?","")</f>
        <v>Heathedge</v>
      </c>
      <c r="J517" t="str">
        <f>TRIM(Table1[[#This Row],[Remove Question Mark "?"]])</f>
        <v>Heathedge</v>
      </c>
      <c r="K517" t="str">
        <f>PROPER(Table1[[#This Row],[Leading, Multiple &amp; Trailing spaces]])</f>
        <v>Heathedge</v>
      </c>
      <c r="L517" t="str">
        <f t="shared" ref="L517:L580" si="8">TRIM(PROPER(SUBSTITUTE(SUBSTITUTE((E517),"?",""),"Road"," Road")))</f>
        <v>Heathedge</v>
      </c>
      <c r="M517" t="s">
        <v>2001</v>
      </c>
    </row>
    <row r="518" spans="1:13" x14ac:dyDescent="0.3">
      <c r="A518">
        <v>515</v>
      </c>
      <c r="B518" t="s">
        <v>2002</v>
      </c>
      <c r="C518" t="s">
        <v>1805</v>
      </c>
      <c r="D518" t="s">
        <v>18</v>
      </c>
      <c r="E518" t="s">
        <v>2003</v>
      </c>
      <c r="F518" t="s">
        <v>1465</v>
      </c>
      <c r="G518" t="str">
        <f xml:space="preserve"> PROPER(_xlfn.CONCAT(Table1[[#This Row],[Title]]," ",Table1[[#This Row],[First Name]]," ",Table1[[#This Row],[Last Name]]))</f>
        <v>Miss Nannie Flowers</v>
      </c>
      <c r="H518" t="str">
        <f>SUBSTITUTE(Table1[[#This Row],[Street]],"Road"," Road")</f>
        <v>Norman Grove</v>
      </c>
      <c r="I518" t="str">
        <f>SUBSTITUTE(Table1[[#This Row],[Separate combined words ]],"?","")</f>
        <v>Norman Grove</v>
      </c>
      <c r="J518" t="str">
        <f>TRIM(Table1[[#This Row],[Remove Question Mark "?"]])</f>
        <v>Norman Grove</v>
      </c>
      <c r="K518" t="str">
        <f>PROPER(Table1[[#This Row],[Leading, Multiple &amp; Trailing spaces]])</f>
        <v>Norman Grove</v>
      </c>
      <c r="L518" t="str">
        <f t="shared" si="8"/>
        <v>Norman Grove</v>
      </c>
      <c r="M518" t="s">
        <v>2003</v>
      </c>
    </row>
    <row r="519" spans="1:13" x14ac:dyDescent="0.3">
      <c r="A519">
        <v>516</v>
      </c>
      <c r="B519" t="s">
        <v>2004</v>
      </c>
      <c r="C519" t="s">
        <v>2005</v>
      </c>
      <c r="D519" t="s">
        <v>71</v>
      </c>
      <c r="E519" t="s">
        <v>2006</v>
      </c>
      <c r="F519" t="s">
        <v>522</v>
      </c>
      <c r="G519" t="str">
        <f xml:space="preserve"> PROPER(_xlfn.CONCAT(Table1[[#This Row],[Title]]," ",Table1[[#This Row],[First Name]]," ",Table1[[#This Row],[Last Name]]))</f>
        <v>Ms Nell Shapiro</v>
      </c>
      <c r="H519" t="str">
        <f>SUBSTITUTE(Table1[[#This Row],[Street]],"Road"," Road")</f>
        <v>Orbel Street</v>
      </c>
      <c r="I519" t="str">
        <f>SUBSTITUTE(Table1[[#This Row],[Separate combined words ]],"?","")</f>
        <v>Orbel Street</v>
      </c>
      <c r="J519" t="str">
        <f>TRIM(Table1[[#This Row],[Remove Question Mark "?"]])</f>
        <v>Orbel Street</v>
      </c>
      <c r="K519" t="str">
        <f>PROPER(Table1[[#This Row],[Leading, Multiple &amp; Trailing spaces]])</f>
        <v>Orbel Street</v>
      </c>
      <c r="L519" t="str">
        <f t="shared" si="8"/>
        <v>Orbel Street</v>
      </c>
      <c r="M519" t="s">
        <v>2006</v>
      </c>
    </row>
    <row r="520" spans="1:13" x14ac:dyDescent="0.3">
      <c r="A520">
        <v>517</v>
      </c>
      <c r="B520" t="s">
        <v>2007</v>
      </c>
      <c r="C520" t="s">
        <v>2008</v>
      </c>
      <c r="D520" t="s">
        <v>18</v>
      </c>
      <c r="E520" t="s">
        <v>2009</v>
      </c>
      <c r="F520" t="s">
        <v>2010</v>
      </c>
      <c r="G520" t="str">
        <f xml:space="preserve"> PROPER(_xlfn.CONCAT(Table1[[#This Row],[Title]]," ",Table1[[#This Row],[First Name]]," ",Table1[[#This Row],[Last Name]]))</f>
        <v>Miss Agnes Hilliard</v>
      </c>
      <c r="H520" t="str">
        <f>SUBSTITUTE(Table1[[#This Row],[Street]],"Road"," Road")</f>
        <v>Tinsley  Road</v>
      </c>
      <c r="I520" t="str">
        <f>SUBSTITUTE(Table1[[#This Row],[Separate combined words ]],"?","")</f>
        <v>Tinsley  Road</v>
      </c>
      <c r="J520" t="str">
        <f>TRIM(Table1[[#This Row],[Remove Question Mark "?"]])</f>
        <v>Tinsley Road</v>
      </c>
      <c r="K520" t="str">
        <f>PROPER(Table1[[#This Row],[Leading, Multiple &amp; Trailing spaces]])</f>
        <v>Tinsley Road</v>
      </c>
      <c r="L520" t="str">
        <f t="shared" si="8"/>
        <v>Tinsley Road</v>
      </c>
      <c r="M520" t="s">
        <v>2009</v>
      </c>
    </row>
    <row r="521" spans="1:13" x14ac:dyDescent="0.3">
      <c r="A521">
        <v>518</v>
      </c>
      <c r="B521" t="s">
        <v>2011</v>
      </c>
      <c r="C521" t="s">
        <v>2012</v>
      </c>
      <c r="D521" t="s">
        <v>7</v>
      </c>
      <c r="E521" t="s">
        <v>2013</v>
      </c>
      <c r="F521" t="s">
        <v>429</v>
      </c>
      <c r="G521" t="str">
        <f xml:space="preserve"> PROPER(_xlfn.CONCAT(Table1[[#This Row],[Title]]," ",Table1[[#This Row],[First Name]]," ",Table1[[#This Row],[Last Name]]))</f>
        <v>Mrs Hattie Belanger</v>
      </c>
      <c r="H521" t="str">
        <f>SUBSTITUTE(Table1[[#This Row],[Street]],"Road"," Road")</f>
        <v>Creek  Road</v>
      </c>
      <c r="I521" t="str">
        <f>SUBSTITUTE(Table1[[#This Row],[Separate combined words ]],"?","")</f>
        <v>Creek  Road</v>
      </c>
      <c r="J521" t="str">
        <f>TRIM(Table1[[#This Row],[Remove Question Mark "?"]])</f>
        <v>Creek Road</v>
      </c>
      <c r="K521" t="str">
        <f>PROPER(Table1[[#This Row],[Leading, Multiple &amp; Trailing spaces]])</f>
        <v>Creek Road</v>
      </c>
      <c r="L521" t="str">
        <f t="shared" si="8"/>
        <v>Creek Road</v>
      </c>
      <c r="M521" t="s">
        <v>2013</v>
      </c>
    </row>
    <row r="522" spans="1:13" x14ac:dyDescent="0.3">
      <c r="A522">
        <v>519</v>
      </c>
      <c r="B522" t="s">
        <v>2014</v>
      </c>
      <c r="C522" t="s">
        <v>2015</v>
      </c>
      <c r="D522" t="s">
        <v>18</v>
      </c>
      <c r="E522" t="s">
        <v>2016</v>
      </c>
      <c r="F522" t="s">
        <v>320</v>
      </c>
      <c r="G522" t="str">
        <f xml:space="preserve"> PROPER(_xlfn.CONCAT(Table1[[#This Row],[Title]]," ",Table1[[#This Row],[First Name]]," ",Table1[[#This Row],[Last Name]]))</f>
        <v>Miss Phillis Jacob</v>
      </c>
      <c r="H522" t="str">
        <f>SUBSTITUTE(Table1[[#This Row],[Street]],"Road"," Road")</f>
        <v>Redburn House</v>
      </c>
      <c r="I522" t="str">
        <f>SUBSTITUTE(Table1[[#This Row],[Separate combined words ]],"?","")</f>
        <v>Redburn House</v>
      </c>
      <c r="J522" t="str">
        <f>TRIM(Table1[[#This Row],[Remove Question Mark "?"]])</f>
        <v>Redburn House</v>
      </c>
      <c r="K522" t="str">
        <f>PROPER(Table1[[#This Row],[Leading, Multiple &amp; Trailing spaces]])</f>
        <v>Redburn House</v>
      </c>
      <c r="L522" t="str">
        <f t="shared" si="8"/>
        <v>Redburn House</v>
      </c>
      <c r="M522" t="s">
        <v>2016</v>
      </c>
    </row>
    <row r="523" spans="1:13" x14ac:dyDescent="0.3">
      <c r="A523">
        <v>520</v>
      </c>
      <c r="B523" t="s">
        <v>2017</v>
      </c>
      <c r="C523" t="s">
        <v>1169</v>
      </c>
      <c r="D523" t="s">
        <v>18</v>
      </c>
      <c r="E523" t="s">
        <v>2018</v>
      </c>
      <c r="F523" t="s">
        <v>259</v>
      </c>
      <c r="G523" t="str">
        <f xml:space="preserve"> PROPER(_xlfn.CONCAT(Table1[[#This Row],[Title]]," ",Table1[[#This Row],[First Name]]," ",Table1[[#This Row],[Last Name]]))</f>
        <v>Miss Natisha Diaz</v>
      </c>
      <c r="H523" t="str">
        <f>SUBSTITUTE(Table1[[#This Row],[Street]],"Road"," Road")</f>
        <v>Barnsbury Green</v>
      </c>
      <c r="I523" t="str">
        <f>SUBSTITUTE(Table1[[#This Row],[Separate combined words ]],"?","")</f>
        <v>Barnsbury Green</v>
      </c>
      <c r="J523" t="str">
        <f>TRIM(Table1[[#This Row],[Remove Question Mark "?"]])</f>
        <v>Barnsbury Green</v>
      </c>
      <c r="K523" t="str">
        <f>PROPER(Table1[[#This Row],[Leading, Multiple &amp; Trailing spaces]])</f>
        <v>Barnsbury Green</v>
      </c>
      <c r="L523" t="str">
        <f t="shared" si="8"/>
        <v>Barnsbury Green</v>
      </c>
      <c r="M523" t="s">
        <v>2018</v>
      </c>
    </row>
    <row r="524" spans="1:13" x14ac:dyDescent="0.3">
      <c r="A524">
        <v>521</v>
      </c>
      <c r="B524" t="s">
        <v>2019</v>
      </c>
      <c r="C524" t="s">
        <v>873</v>
      </c>
      <c r="D524" t="s">
        <v>18</v>
      </c>
      <c r="E524" t="s">
        <v>2020</v>
      </c>
      <c r="F524" t="s">
        <v>768</v>
      </c>
      <c r="G524" t="str">
        <f xml:space="preserve"> PROPER(_xlfn.CONCAT(Table1[[#This Row],[Title]]," ",Table1[[#This Row],[First Name]]," ",Table1[[#This Row],[Last Name]]))</f>
        <v>Miss Yukiko Kramer</v>
      </c>
      <c r="H524" t="str">
        <f>SUBSTITUTE(Table1[[#This Row],[Street]],"Road"," Road")</f>
        <v>Alpha Grove</v>
      </c>
      <c r="I524" t="str">
        <f>SUBSTITUTE(Table1[[#This Row],[Separate combined words ]],"?","")</f>
        <v>Alpha Grove</v>
      </c>
      <c r="J524" t="str">
        <f>TRIM(Table1[[#This Row],[Remove Question Mark "?"]])</f>
        <v>Alpha Grove</v>
      </c>
      <c r="K524" t="str">
        <f>PROPER(Table1[[#This Row],[Leading, Multiple &amp; Trailing spaces]])</f>
        <v>Alpha Grove</v>
      </c>
      <c r="L524" t="str">
        <f t="shared" si="8"/>
        <v>Alpha Grove</v>
      </c>
      <c r="M524" t="s">
        <v>2020</v>
      </c>
    </row>
    <row r="525" spans="1:13" x14ac:dyDescent="0.3">
      <c r="A525">
        <v>522</v>
      </c>
      <c r="B525" t="s">
        <v>2021</v>
      </c>
      <c r="C525" t="s">
        <v>162</v>
      </c>
      <c r="D525" t="s">
        <v>18</v>
      </c>
      <c r="E525" t="s">
        <v>2022</v>
      </c>
      <c r="F525" t="s">
        <v>948</v>
      </c>
      <c r="G525" t="str">
        <f xml:space="preserve"> PROPER(_xlfn.CONCAT(Table1[[#This Row],[Title]]," ",Table1[[#This Row],[First Name]]," ",Table1[[#This Row],[Last Name]]))</f>
        <v>Miss Tiffanie Orozco</v>
      </c>
      <c r="H525" t="str">
        <f>SUBSTITUTE(Table1[[#This Row],[Street]],"Road"," Road")</f>
        <v>Sutherland Terrace</v>
      </c>
      <c r="I525" t="str">
        <f>SUBSTITUTE(Table1[[#This Row],[Separate combined words ]],"?","")</f>
        <v>Sutherland Terrace</v>
      </c>
      <c r="J525" t="str">
        <f>TRIM(Table1[[#This Row],[Remove Question Mark "?"]])</f>
        <v>Sutherland Terrace</v>
      </c>
      <c r="K525" t="str">
        <f>PROPER(Table1[[#This Row],[Leading, Multiple &amp; Trailing spaces]])</f>
        <v>Sutherland Terrace</v>
      </c>
      <c r="L525" t="str">
        <f t="shared" si="8"/>
        <v>Sutherland Terrace</v>
      </c>
      <c r="M525" t="s">
        <v>2022</v>
      </c>
    </row>
    <row r="526" spans="1:13" x14ac:dyDescent="0.3">
      <c r="A526">
        <v>523</v>
      </c>
      <c r="B526" t="s">
        <v>2023</v>
      </c>
      <c r="C526" t="s">
        <v>2024</v>
      </c>
      <c r="D526" t="s">
        <v>18</v>
      </c>
      <c r="E526" t="s">
        <v>2025</v>
      </c>
      <c r="F526" t="s">
        <v>2026</v>
      </c>
      <c r="G526" t="str">
        <f xml:space="preserve"> PROPER(_xlfn.CONCAT(Table1[[#This Row],[Title]]," ",Table1[[#This Row],[First Name]]," ",Table1[[#This Row],[Last Name]]))</f>
        <v>Miss Bailey Valle</v>
      </c>
      <c r="H526" t="str">
        <f>SUBSTITUTE(Table1[[#This Row],[Street]],"Road"," Road")</f>
        <v>Pasley Close</v>
      </c>
      <c r="I526" t="str">
        <f>SUBSTITUTE(Table1[[#This Row],[Separate combined words ]],"?","")</f>
        <v>Pasley Close</v>
      </c>
      <c r="J526" t="str">
        <f>TRIM(Table1[[#This Row],[Remove Question Mark "?"]])</f>
        <v>Pasley Close</v>
      </c>
      <c r="K526" t="str">
        <f>PROPER(Table1[[#This Row],[Leading, Multiple &amp; Trailing spaces]])</f>
        <v>Pasley Close</v>
      </c>
      <c r="L526" t="str">
        <f t="shared" si="8"/>
        <v>Pasley Close</v>
      </c>
      <c r="M526" t="s">
        <v>2025</v>
      </c>
    </row>
    <row r="527" spans="1:13" x14ac:dyDescent="0.3">
      <c r="A527">
        <v>524</v>
      </c>
      <c r="B527" t="s">
        <v>2027</v>
      </c>
      <c r="C527" t="s">
        <v>2028</v>
      </c>
      <c r="D527" t="s">
        <v>18</v>
      </c>
      <c r="E527" t="s">
        <v>2029</v>
      </c>
      <c r="F527" t="s">
        <v>2030</v>
      </c>
      <c r="G527" t="str">
        <f xml:space="preserve"> PROPER(_xlfn.CONCAT(Table1[[#This Row],[Title]]," ",Table1[[#This Row],[First Name]]," ",Table1[[#This Row],[Last Name]]))</f>
        <v>Miss Haydee Gibbs</v>
      </c>
      <c r="H527" t="str">
        <f>SUBSTITUTE(Table1[[#This Row],[Street]],"Road"," Road")</f>
        <v>Craven Buldings</v>
      </c>
      <c r="I527" t="str">
        <f>SUBSTITUTE(Table1[[#This Row],[Separate combined words ]],"?","")</f>
        <v>Craven Buldings</v>
      </c>
      <c r="J527" t="str">
        <f>TRIM(Table1[[#This Row],[Remove Question Mark "?"]])</f>
        <v>Craven Buldings</v>
      </c>
      <c r="K527" t="str">
        <f>PROPER(Table1[[#This Row],[Leading, Multiple &amp; Trailing spaces]])</f>
        <v>Craven Buldings</v>
      </c>
      <c r="L527" t="str">
        <f t="shared" si="8"/>
        <v>Craven Buldings</v>
      </c>
      <c r="M527" t="s">
        <v>2029</v>
      </c>
    </row>
    <row r="528" spans="1:13" x14ac:dyDescent="0.3">
      <c r="A528">
        <v>525</v>
      </c>
      <c r="B528" t="s">
        <v>2031</v>
      </c>
      <c r="C528" t="s">
        <v>674</v>
      </c>
      <c r="D528" t="s">
        <v>18</v>
      </c>
      <c r="E528" t="s">
        <v>2032</v>
      </c>
      <c r="F528" t="s">
        <v>2033</v>
      </c>
      <c r="G528" t="str">
        <f xml:space="preserve"> PROPER(_xlfn.CONCAT(Table1[[#This Row],[Title]]," ",Table1[[#This Row],[First Name]]," ",Table1[[#This Row],[Last Name]]))</f>
        <v>Miss Latoyia Watkins</v>
      </c>
      <c r="H528" t="str">
        <f>SUBSTITUTE(Table1[[#This Row],[Street]],"Road"," Road")</f>
        <v>Blicke Terrace</v>
      </c>
      <c r="I528" t="str">
        <f>SUBSTITUTE(Table1[[#This Row],[Separate combined words ]],"?","")</f>
        <v>Blicke Terrace</v>
      </c>
      <c r="J528" t="str">
        <f>TRIM(Table1[[#This Row],[Remove Question Mark "?"]])</f>
        <v>Blicke Terrace</v>
      </c>
      <c r="K528" t="str">
        <f>PROPER(Table1[[#This Row],[Leading, Multiple &amp; Trailing spaces]])</f>
        <v>Blicke Terrace</v>
      </c>
      <c r="L528" t="str">
        <f t="shared" si="8"/>
        <v>Blicke Terrace</v>
      </c>
      <c r="M528" t="s">
        <v>2032</v>
      </c>
    </row>
    <row r="529" spans="1:13" x14ac:dyDescent="0.3">
      <c r="A529">
        <v>526</v>
      </c>
      <c r="B529" t="s">
        <v>566</v>
      </c>
      <c r="C529" t="s">
        <v>584</v>
      </c>
      <c r="D529" t="s">
        <v>71</v>
      </c>
      <c r="E529" t="s">
        <v>2034</v>
      </c>
      <c r="F529" t="s">
        <v>427</v>
      </c>
      <c r="G529" t="str">
        <f xml:space="preserve"> PROPER(_xlfn.CONCAT(Table1[[#This Row],[Title]]," ",Table1[[#This Row],[First Name]]," ",Table1[[#This Row],[Last Name]]))</f>
        <v>Ms Glynda Burgos</v>
      </c>
      <c r="H529" t="str">
        <f>SUBSTITUTE(Table1[[#This Row],[Street]],"Road"," Road")</f>
        <v>Vermont  Road</v>
      </c>
      <c r="I529" t="str">
        <f>SUBSTITUTE(Table1[[#This Row],[Separate combined words ]],"?","")</f>
        <v>Vermont  Road</v>
      </c>
      <c r="J529" t="str">
        <f>TRIM(Table1[[#This Row],[Remove Question Mark "?"]])</f>
        <v>Vermont Road</v>
      </c>
      <c r="K529" t="str">
        <f>PROPER(Table1[[#This Row],[Leading, Multiple &amp; Trailing spaces]])</f>
        <v>Vermont Road</v>
      </c>
      <c r="L529" t="str">
        <f t="shared" si="8"/>
        <v>Vermont Road</v>
      </c>
      <c r="M529" t="s">
        <v>2034</v>
      </c>
    </row>
    <row r="530" spans="1:13" x14ac:dyDescent="0.3">
      <c r="A530">
        <v>527</v>
      </c>
      <c r="B530" t="s">
        <v>2035</v>
      </c>
      <c r="C530" t="s">
        <v>419</v>
      </c>
      <c r="D530" t="s">
        <v>18</v>
      </c>
      <c r="E530" t="s">
        <v>2036</v>
      </c>
      <c r="F530" t="s">
        <v>2037</v>
      </c>
      <c r="G530" t="str">
        <f xml:space="preserve"> PROPER(_xlfn.CONCAT(Table1[[#This Row],[Title]]," ",Table1[[#This Row],[First Name]]," ",Table1[[#This Row],[Last Name]]))</f>
        <v>Miss Georgine Bonds</v>
      </c>
      <c r="H530" t="str">
        <f>SUBSTITUTE(Table1[[#This Row],[Street]],"Road"," Road")</f>
        <v>Felix Terrace</v>
      </c>
      <c r="I530" t="str">
        <f>SUBSTITUTE(Table1[[#This Row],[Separate combined words ]],"?","")</f>
        <v>Felix Terrace</v>
      </c>
      <c r="J530" t="str">
        <f>TRIM(Table1[[#This Row],[Remove Question Mark "?"]])</f>
        <v>Felix Terrace</v>
      </c>
      <c r="K530" t="str">
        <f>PROPER(Table1[[#This Row],[Leading, Multiple &amp; Trailing spaces]])</f>
        <v>Felix Terrace</v>
      </c>
      <c r="L530" t="str">
        <f t="shared" si="8"/>
        <v>Felix Terrace</v>
      </c>
      <c r="M530" t="s">
        <v>2036</v>
      </c>
    </row>
    <row r="531" spans="1:13" x14ac:dyDescent="0.3">
      <c r="A531">
        <v>528</v>
      </c>
      <c r="B531" t="s">
        <v>2038</v>
      </c>
      <c r="C531" t="s">
        <v>905</v>
      </c>
      <c r="D531" t="s">
        <v>7</v>
      </c>
      <c r="E531" t="s">
        <v>2039</v>
      </c>
      <c r="F531" t="s">
        <v>554</v>
      </c>
      <c r="G531" t="str">
        <f xml:space="preserve"> PROPER(_xlfn.CONCAT(Table1[[#This Row],[Title]]," ",Table1[[#This Row],[First Name]]," ",Table1[[#This Row],[Last Name]]))</f>
        <v>Mrs Demetria Mosley</v>
      </c>
      <c r="H531" t="str">
        <f>SUBSTITUTE(Table1[[#This Row],[Street]],"Road"," Road")</f>
        <v>Glading Terrace</v>
      </c>
      <c r="I531" t="str">
        <f>SUBSTITUTE(Table1[[#This Row],[Separate combined words ]],"?","")</f>
        <v>Glading Terrace</v>
      </c>
      <c r="J531" t="str">
        <f>TRIM(Table1[[#This Row],[Remove Question Mark "?"]])</f>
        <v>Glading Terrace</v>
      </c>
      <c r="K531" t="str">
        <f>PROPER(Table1[[#This Row],[Leading, Multiple &amp; Trailing spaces]])</f>
        <v>Glading Terrace</v>
      </c>
      <c r="L531" t="str">
        <f t="shared" si="8"/>
        <v>Glading Terrace</v>
      </c>
      <c r="M531" t="s">
        <v>2039</v>
      </c>
    </row>
    <row r="532" spans="1:13" x14ac:dyDescent="0.3">
      <c r="A532">
        <v>529</v>
      </c>
      <c r="B532" t="s">
        <v>2040</v>
      </c>
      <c r="C532" t="s">
        <v>1340</v>
      </c>
      <c r="D532" t="s">
        <v>18</v>
      </c>
      <c r="E532" t="s">
        <v>614</v>
      </c>
      <c r="F532" t="s">
        <v>2041</v>
      </c>
      <c r="G532" t="str">
        <f xml:space="preserve"> PROPER(_xlfn.CONCAT(Table1[[#This Row],[Title]]," ",Table1[[#This Row],[First Name]]," ",Table1[[#This Row],[Last Name]]))</f>
        <v>Miss Shae Sheldon</v>
      </c>
      <c r="H532" t="str">
        <f>SUBSTITUTE(Table1[[#This Row],[Street]],"Road"," Road")</f>
        <v>Watneys Cottages</v>
      </c>
      <c r="I532" t="str">
        <f>SUBSTITUTE(Table1[[#This Row],[Separate combined words ]],"?","")</f>
        <v>Watneys Cottages</v>
      </c>
      <c r="J532" t="str">
        <f>TRIM(Table1[[#This Row],[Remove Question Mark "?"]])</f>
        <v>Watneys Cottages</v>
      </c>
      <c r="K532" t="str">
        <f>PROPER(Table1[[#This Row],[Leading, Multiple &amp; Trailing spaces]])</f>
        <v>Watneys Cottages</v>
      </c>
      <c r="L532" t="str">
        <f t="shared" si="8"/>
        <v>Watneys Cottages</v>
      </c>
      <c r="M532" t="s">
        <v>614</v>
      </c>
    </row>
    <row r="533" spans="1:13" x14ac:dyDescent="0.3">
      <c r="A533">
        <v>530</v>
      </c>
      <c r="B533" t="s">
        <v>153</v>
      </c>
      <c r="C533" t="s">
        <v>1941</v>
      </c>
      <c r="D533" t="s">
        <v>18</v>
      </c>
      <c r="E533" t="s">
        <v>2042</v>
      </c>
      <c r="F533" t="s">
        <v>681</v>
      </c>
      <c r="G533" t="str">
        <f xml:space="preserve"> PROPER(_xlfn.CONCAT(Table1[[#This Row],[Title]]," ",Table1[[#This Row],[First Name]]," ",Table1[[#This Row],[Last Name]]))</f>
        <v>Miss Aurora Hebert</v>
      </c>
      <c r="H533" t="str">
        <f>SUBSTITUTE(Table1[[#This Row],[Street]],"Road"," Road")</f>
        <v>Kirton Lodge</v>
      </c>
      <c r="I533" t="str">
        <f>SUBSTITUTE(Table1[[#This Row],[Separate combined words ]],"?","")</f>
        <v>Kirton Lodge</v>
      </c>
      <c r="J533" t="str">
        <f>TRIM(Table1[[#This Row],[Remove Question Mark "?"]])</f>
        <v>Kirton Lodge</v>
      </c>
      <c r="K533" t="str">
        <f>PROPER(Table1[[#This Row],[Leading, Multiple &amp; Trailing spaces]])</f>
        <v>Kirton Lodge</v>
      </c>
      <c r="L533" t="str">
        <f t="shared" si="8"/>
        <v>Kirton Lodge</v>
      </c>
      <c r="M533" t="s">
        <v>2042</v>
      </c>
    </row>
    <row r="534" spans="1:13" x14ac:dyDescent="0.3">
      <c r="A534">
        <v>531</v>
      </c>
      <c r="B534" t="s">
        <v>2043</v>
      </c>
      <c r="C534" t="s">
        <v>678</v>
      </c>
      <c r="D534" t="s">
        <v>18</v>
      </c>
      <c r="E534" t="s">
        <v>2044</v>
      </c>
      <c r="F534" t="s">
        <v>1931</v>
      </c>
      <c r="G534" t="str">
        <f xml:space="preserve"> PROPER(_xlfn.CONCAT(Table1[[#This Row],[Title]]," ",Table1[[#This Row],[First Name]]," ",Table1[[#This Row],[Last Name]]))</f>
        <v>Miss Katrina Wise</v>
      </c>
      <c r="H534" t="str">
        <f>SUBSTITUTE(Table1[[#This Row],[Street]],"Road"," Road")</f>
        <v>Stewarts Cottages</v>
      </c>
      <c r="I534" t="str">
        <f>SUBSTITUTE(Table1[[#This Row],[Separate combined words ]],"?","")</f>
        <v>Stewarts Cottages</v>
      </c>
      <c r="J534" t="str">
        <f>TRIM(Table1[[#This Row],[Remove Question Mark "?"]])</f>
        <v>Stewarts Cottages</v>
      </c>
      <c r="K534" t="str">
        <f>PROPER(Table1[[#This Row],[Leading, Multiple &amp; Trailing spaces]])</f>
        <v>Stewarts Cottages</v>
      </c>
      <c r="L534" t="str">
        <f t="shared" si="8"/>
        <v>Stewarts Cottages</v>
      </c>
      <c r="M534" t="s">
        <v>2044</v>
      </c>
    </row>
    <row r="535" spans="1:13" x14ac:dyDescent="0.3">
      <c r="A535">
        <v>532</v>
      </c>
      <c r="B535" t="s">
        <v>2045</v>
      </c>
      <c r="C535" t="s">
        <v>504</v>
      </c>
      <c r="D535" t="s">
        <v>18</v>
      </c>
      <c r="E535" t="s">
        <v>2046</v>
      </c>
      <c r="F535" t="s">
        <v>2047</v>
      </c>
      <c r="G535" t="str">
        <f xml:space="preserve"> PROPER(_xlfn.CONCAT(Table1[[#This Row],[Title]]," ",Table1[[#This Row],[First Name]]," ",Table1[[#This Row],[Last Name]]))</f>
        <v>Miss Shawnee Gay</v>
      </c>
      <c r="H535" t="str">
        <f>SUBSTITUTE(Table1[[#This Row],[Street]],"Road"," Road")</f>
        <v>Sportsbank Street</v>
      </c>
      <c r="I535" t="str">
        <f>SUBSTITUTE(Table1[[#This Row],[Separate combined words ]],"?","")</f>
        <v>Sportsbank Street</v>
      </c>
      <c r="J535" t="str">
        <f>TRIM(Table1[[#This Row],[Remove Question Mark "?"]])</f>
        <v>Sportsbank Street</v>
      </c>
      <c r="K535" t="str">
        <f>PROPER(Table1[[#This Row],[Leading, Multiple &amp; Trailing spaces]])</f>
        <v>Sportsbank Street</v>
      </c>
      <c r="L535" t="str">
        <f t="shared" si="8"/>
        <v>Sportsbank Street</v>
      </c>
      <c r="M535" t="s">
        <v>2046</v>
      </c>
    </row>
    <row r="536" spans="1:13" x14ac:dyDescent="0.3">
      <c r="A536">
        <v>533</v>
      </c>
      <c r="B536" t="s">
        <v>2048</v>
      </c>
      <c r="C536" t="s">
        <v>2049</v>
      </c>
      <c r="D536" t="s">
        <v>71</v>
      </c>
      <c r="E536" t="s">
        <v>2050</v>
      </c>
      <c r="F536" t="s">
        <v>687</v>
      </c>
      <c r="G536" t="str">
        <f xml:space="preserve"> PROPER(_xlfn.CONCAT(Table1[[#This Row],[Title]]," ",Table1[[#This Row],[First Name]]," ",Table1[[#This Row],[Last Name]]))</f>
        <v>Ms Darleen Ballard</v>
      </c>
      <c r="H536" t="str">
        <f>SUBSTITUTE(Table1[[#This Row],[Street]],"Road"," Road")</f>
        <v>Hume Terrace</v>
      </c>
      <c r="I536" t="str">
        <f>SUBSTITUTE(Table1[[#This Row],[Separate combined words ]],"?","")</f>
        <v>Hume Terrace</v>
      </c>
      <c r="J536" t="str">
        <f>TRIM(Table1[[#This Row],[Remove Question Mark "?"]])</f>
        <v>Hume Terrace</v>
      </c>
      <c r="K536" t="str">
        <f>PROPER(Table1[[#This Row],[Leading, Multiple &amp; Trailing spaces]])</f>
        <v>Hume Terrace</v>
      </c>
      <c r="L536" t="str">
        <f t="shared" si="8"/>
        <v>Hume Terrace</v>
      </c>
      <c r="M536" t="s">
        <v>2050</v>
      </c>
    </row>
    <row r="537" spans="1:13" x14ac:dyDescent="0.3">
      <c r="A537">
        <v>534</v>
      </c>
      <c r="B537" t="s">
        <v>2051</v>
      </c>
      <c r="C537" t="s">
        <v>632</v>
      </c>
      <c r="D537" t="s">
        <v>18</v>
      </c>
      <c r="E537" t="s">
        <v>2052</v>
      </c>
      <c r="F537" t="s">
        <v>622</v>
      </c>
      <c r="G537" t="str">
        <f xml:space="preserve"> PROPER(_xlfn.CONCAT(Table1[[#This Row],[Title]]," ",Table1[[#This Row],[First Name]]," ",Table1[[#This Row],[Last Name]]))</f>
        <v>Miss Trula Dixon</v>
      </c>
      <c r="H537" t="str">
        <f>SUBSTITUTE(Table1[[#This Row],[Street]],"Road"," Road")</f>
        <v>New Orleans</v>
      </c>
      <c r="I537" t="str">
        <f>SUBSTITUTE(Table1[[#This Row],[Separate combined words ]],"?","")</f>
        <v>New Orleans</v>
      </c>
      <c r="J537" t="str">
        <f>TRIM(Table1[[#This Row],[Remove Question Mark "?"]])</f>
        <v>New Orleans</v>
      </c>
      <c r="K537" t="str">
        <f>PROPER(Table1[[#This Row],[Leading, Multiple &amp; Trailing spaces]])</f>
        <v>New Orleans</v>
      </c>
      <c r="L537" t="str">
        <f t="shared" si="8"/>
        <v>New Orleans</v>
      </c>
      <c r="M537" t="s">
        <v>2052</v>
      </c>
    </row>
    <row r="538" spans="1:13" x14ac:dyDescent="0.3">
      <c r="A538">
        <v>535</v>
      </c>
      <c r="B538" t="s">
        <v>1337</v>
      </c>
      <c r="C538" t="s">
        <v>578</v>
      </c>
      <c r="D538" t="s">
        <v>18</v>
      </c>
      <c r="E538" t="s">
        <v>2053</v>
      </c>
      <c r="F538" t="s">
        <v>886</v>
      </c>
      <c r="G538" t="str">
        <f xml:space="preserve"> PROPER(_xlfn.CONCAT(Table1[[#This Row],[Title]]," ",Table1[[#This Row],[First Name]]," ",Table1[[#This Row],[Last Name]]))</f>
        <v>Miss Adaline Aguilar</v>
      </c>
      <c r="H538" t="str">
        <f>SUBSTITUTE(Table1[[#This Row],[Street]],"Road"," Road")</f>
        <v>Coulson Street</v>
      </c>
      <c r="I538" t="str">
        <f>SUBSTITUTE(Table1[[#This Row],[Separate combined words ]],"?","")</f>
        <v>Coulson Street</v>
      </c>
      <c r="J538" t="str">
        <f>TRIM(Table1[[#This Row],[Remove Question Mark "?"]])</f>
        <v>Coulson Street</v>
      </c>
      <c r="K538" t="str">
        <f>PROPER(Table1[[#This Row],[Leading, Multiple &amp; Trailing spaces]])</f>
        <v>Coulson Street</v>
      </c>
      <c r="L538" t="str">
        <f t="shared" si="8"/>
        <v>Coulson Street</v>
      </c>
      <c r="M538" t="s">
        <v>2053</v>
      </c>
    </row>
    <row r="539" spans="1:13" x14ac:dyDescent="0.3">
      <c r="A539">
        <v>536</v>
      </c>
      <c r="B539" t="s">
        <v>2054</v>
      </c>
      <c r="C539" t="s">
        <v>2055</v>
      </c>
      <c r="D539" t="s">
        <v>18</v>
      </c>
      <c r="E539" t="s">
        <v>2056</v>
      </c>
      <c r="F539" t="s">
        <v>2057</v>
      </c>
      <c r="G539" t="str">
        <f xml:space="preserve"> PROPER(_xlfn.CONCAT(Table1[[#This Row],[Title]]," ",Table1[[#This Row],[First Name]]," ",Table1[[#This Row],[Last Name]]))</f>
        <v>Miss Hillary Doherty</v>
      </c>
      <c r="H539" t="str">
        <f>SUBSTITUTE(Table1[[#This Row],[Street]],"Road"," Road")</f>
        <v>Orford  Road</v>
      </c>
      <c r="I539" t="str">
        <f>SUBSTITUTE(Table1[[#This Row],[Separate combined words ]],"?","")</f>
        <v>Orford  Road</v>
      </c>
      <c r="J539" t="str">
        <f>TRIM(Table1[[#This Row],[Remove Question Mark "?"]])</f>
        <v>Orford Road</v>
      </c>
      <c r="K539" t="str">
        <f>PROPER(Table1[[#This Row],[Leading, Multiple &amp; Trailing spaces]])</f>
        <v>Orford Road</v>
      </c>
      <c r="L539" t="str">
        <f t="shared" si="8"/>
        <v>Orford Road</v>
      </c>
      <c r="M539" t="s">
        <v>2056</v>
      </c>
    </row>
    <row r="540" spans="1:13" x14ac:dyDescent="0.3">
      <c r="A540">
        <v>537</v>
      </c>
      <c r="B540" t="s">
        <v>2058</v>
      </c>
      <c r="C540" t="s">
        <v>2059</v>
      </c>
      <c r="D540" t="s">
        <v>18</v>
      </c>
      <c r="E540" t="s">
        <v>2060</v>
      </c>
      <c r="F540" t="s">
        <v>1803</v>
      </c>
      <c r="G540" t="str">
        <f xml:space="preserve"> PROPER(_xlfn.CONCAT(Table1[[#This Row],[Title]]," ",Table1[[#This Row],[First Name]]," ",Table1[[#This Row],[Last Name]]))</f>
        <v>Miss Adrianne Stark</v>
      </c>
      <c r="H540" t="str">
        <f>SUBSTITUTE(Table1[[#This Row],[Street]],"Road"," Road")</f>
        <v>Camberwell House</v>
      </c>
      <c r="I540" t="str">
        <f>SUBSTITUTE(Table1[[#This Row],[Separate combined words ]],"?","")</f>
        <v>Camberwell House</v>
      </c>
      <c r="J540" t="str">
        <f>TRIM(Table1[[#This Row],[Remove Question Mark "?"]])</f>
        <v>Camberwell House</v>
      </c>
      <c r="K540" t="str">
        <f>PROPER(Table1[[#This Row],[Leading, Multiple &amp; Trailing spaces]])</f>
        <v>Camberwell House</v>
      </c>
      <c r="L540" t="str">
        <f t="shared" si="8"/>
        <v>Camberwell House</v>
      </c>
      <c r="M540" t="s">
        <v>2060</v>
      </c>
    </row>
    <row r="541" spans="1:13" x14ac:dyDescent="0.3">
      <c r="A541">
        <v>538</v>
      </c>
      <c r="B541" t="s">
        <v>372</v>
      </c>
      <c r="C541" t="s">
        <v>2061</v>
      </c>
      <c r="D541" t="s">
        <v>7</v>
      </c>
      <c r="E541" t="s">
        <v>2062</v>
      </c>
      <c r="F541" t="s">
        <v>2063</v>
      </c>
      <c r="G541" t="str">
        <f xml:space="preserve"> PROPER(_xlfn.CONCAT(Table1[[#This Row],[Title]]," ",Table1[[#This Row],[First Name]]," ",Table1[[#This Row],[Last Name]]))</f>
        <v>Mrs Wanda Rubin</v>
      </c>
      <c r="H541" t="str">
        <f>SUBSTITUTE(Table1[[#This Row],[Street]],"Road"," Road")</f>
        <v>Shroffield Farm</v>
      </c>
      <c r="I541" t="str">
        <f>SUBSTITUTE(Table1[[#This Row],[Separate combined words ]],"?","")</f>
        <v>Shroffield Farm</v>
      </c>
      <c r="J541" t="str">
        <f>TRIM(Table1[[#This Row],[Remove Question Mark "?"]])</f>
        <v>Shroffield Farm</v>
      </c>
      <c r="K541" t="str">
        <f>PROPER(Table1[[#This Row],[Leading, Multiple &amp; Trailing spaces]])</f>
        <v>Shroffield Farm</v>
      </c>
      <c r="L541" t="str">
        <f t="shared" si="8"/>
        <v>Shroffield Farm</v>
      </c>
      <c r="M541" t="s">
        <v>2062</v>
      </c>
    </row>
    <row r="542" spans="1:13" x14ac:dyDescent="0.3">
      <c r="A542">
        <v>539</v>
      </c>
      <c r="B542" t="s">
        <v>2064</v>
      </c>
      <c r="C542" t="s">
        <v>977</v>
      </c>
      <c r="D542" t="s">
        <v>18</v>
      </c>
      <c r="E542" t="s">
        <v>2065</v>
      </c>
      <c r="F542" t="s">
        <v>2066</v>
      </c>
      <c r="G542" t="str">
        <f xml:space="preserve"> PROPER(_xlfn.CONCAT(Table1[[#This Row],[Title]]," ",Table1[[#This Row],[First Name]]," ",Table1[[#This Row],[Last Name]]))</f>
        <v>Miss Janella Randall</v>
      </c>
      <c r="H542" t="str">
        <f>SUBSTITUTE(Table1[[#This Row],[Street]],"Road"," Road")</f>
        <v>Smith's Lane</v>
      </c>
      <c r="I542" t="str">
        <f>SUBSTITUTE(Table1[[#This Row],[Separate combined words ]],"?","")</f>
        <v>Smith's Lane</v>
      </c>
      <c r="J542" t="str">
        <f>TRIM(Table1[[#This Row],[Remove Question Mark "?"]])</f>
        <v>Smith's Lane</v>
      </c>
      <c r="K542" t="str">
        <f>PROPER(Table1[[#This Row],[Leading, Multiple &amp; Trailing spaces]])</f>
        <v>Smith'S Lane</v>
      </c>
      <c r="L542" t="str">
        <f t="shared" si="8"/>
        <v>Smith'S Lane</v>
      </c>
      <c r="M542" t="s">
        <v>3434</v>
      </c>
    </row>
    <row r="543" spans="1:13" x14ac:dyDescent="0.3">
      <c r="A543">
        <v>540</v>
      </c>
      <c r="B543" t="s">
        <v>2067</v>
      </c>
      <c r="C543" t="s">
        <v>2068</v>
      </c>
      <c r="D543" t="s">
        <v>318</v>
      </c>
      <c r="E543" t="s">
        <v>2069</v>
      </c>
      <c r="F543" t="s">
        <v>633</v>
      </c>
      <c r="G543" t="str">
        <f xml:space="preserve"> PROPER(_xlfn.CONCAT(Table1[[#This Row],[Title]]," ",Table1[[#This Row],[First Name]]," ",Table1[[#This Row],[Last Name]]))</f>
        <v>Dr Klara Vera</v>
      </c>
      <c r="H543" t="str">
        <f>SUBSTITUTE(Table1[[#This Row],[Street]],"Road"," Road")</f>
        <v>Charlesfield</v>
      </c>
      <c r="I543" t="str">
        <f>SUBSTITUTE(Table1[[#This Row],[Separate combined words ]],"?","")</f>
        <v>Charlesfield</v>
      </c>
      <c r="J543" t="str">
        <f>TRIM(Table1[[#This Row],[Remove Question Mark "?"]])</f>
        <v>Charlesfield</v>
      </c>
      <c r="K543" t="str">
        <f>PROPER(Table1[[#This Row],[Leading, Multiple &amp; Trailing spaces]])</f>
        <v>Charlesfield</v>
      </c>
      <c r="L543" t="str">
        <f t="shared" si="8"/>
        <v>Charlesfield</v>
      </c>
      <c r="M543" t="s">
        <v>2069</v>
      </c>
    </row>
    <row r="544" spans="1:13" x14ac:dyDescent="0.3">
      <c r="A544">
        <v>541</v>
      </c>
      <c r="B544" t="s">
        <v>2070</v>
      </c>
      <c r="C544" t="s">
        <v>2071</v>
      </c>
      <c r="D544" t="s">
        <v>7</v>
      </c>
      <c r="E544" t="s">
        <v>2072</v>
      </c>
      <c r="F544" t="s">
        <v>2073</v>
      </c>
      <c r="G544" t="str">
        <f xml:space="preserve"> PROPER(_xlfn.CONCAT(Table1[[#This Row],[Title]]," ",Table1[[#This Row],[First Name]]," ",Table1[[#This Row],[Last Name]]))</f>
        <v>Mrs Marni Mccauley</v>
      </c>
      <c r="H544" t="str">
        <f>SUBSTITUTE(Table1[[#This Row],[Street]],"Road"," Road")</f>
        <v>Leithcote Gardens</v>
      </c>
      <c r="I544" t="str">
        <f>SUBSTITUTE(Table1[[#This Row],[Separate combined words ]],"?","")</f>
        <v>Leithcote Gardens</v>
      </c>
      <c r="J544" t="str">
        <f>TRIM(Table1[[#This Row],[Remove Question Mark "?"]])</f>
        <v>Leithcote Gardens</v>
      </c>
      <c r="K544" t="str">
        <f>PROPER(Table1[[#This Row],[Leading, Multiple &amp; Trailing spaces]])</f>
        <v>Leithcote Gardens</v>
      </c>
      <c r="L544" t="str">
        <f t="shared" si="8"/>
        <v>Leithcote Gardens</v>
      </c>
      <c r="M544" t="s">
        <v>2072</v>
      </c>
    </row>
    <row r="545" spans="1:13" x14ac:dyDescent="0.3">
      <c r="A545">
        <v>542</v>
      </c>
      <c r="B545" t="s">
        <v>904</v>
      </c>
      <c r="C545" t="s">
        <v>2074</v>
      </c>
      <c r="D545" t="s">
        <v>18</v>
      </c>
      <c r="E545" t="s">
        <v>2075</v>
      </c>
      <c r="F545" t="s">
        <v>2076</v>
      </c>
      <c r="G545" t="str">
        <f xml:space="preserve"> PROPER(_xlfn.CONCAT(Table1[[#This Row],[Title]]," ",Table1[[#This Row],[First Name]]," ",Table1[[#This Row],[Last Name]]))</f>
        <v>Miss Jenae Burch</v>
      </c>
      <c r="H545" t="str">
        <f>SUBSTITUTE(Table1[[#This Row],[Street]],"Road"," Road")</f>
        <v>Heather Close</v>
      </c>
      <c r="I545" t="str">
        <f>SUBSTITUTE(Table1[[#This Row],[Separate combined words ]],"?","")</f>
        <v>Heather Close</v>
      </c>
      <c r="J545" t="str">
        <f>TRIM(Table1[[#This Row],[Remove Question Mark "?"]])</f>
        <v>Heather Close</v>
      </c>
      <c r="K545" t="str">
        <f>PROPER(Table1[[#This Row],[Leading, Multiple &amp; Trailing spaces]])</f>
        <v>Heather Close</v>
      </c>
      <c r="L545" t="str">
        <f t="shared" si="8"/>
        <v>Heather Close</v>
      </c>
      <c r="M545" t="s">
        <v>2075</v>
      </c>
    </row>
    <row r="546" spans="1:13" x14ac:dyDescent="0.3">
      <c r="A546">
        <v>543</v>
      </c>
      <c r="B546" t="s">
        <v>2077</v>
      </c>
      <c r="C546" t="s">
        <v>746</v>
      </c>
      <c r="D546" t="s">
        <v>7</v>
      </c>
      <c r="E546" t="s">
        <v>2078</v>
      </c>
      <c r="F546" t="s">
        <v>2079</v>
      </c>
      <c r="G546" t="str">
        <f xml:space="preserve"> PROPER(_xlfn.CONCAT(Table1[[#This Row],[Title]]," ",Table1[[#This Row],[First Name]]," ",Table1[[#This Row],[Last Name]]))</f>
        <v>Mrs Tracie Gunn</v>
      </c>
      <c r="H546" t="str">
        <f>SUBSTITUTE(Table1[[#This Row],[Street]],"Road"," Road")</f>
        <v>Rodway  Road</v>
      </c>
      <c r="I546" t="str">
        <f>SUBSTITUTE(Table1[[#This Row],[Separate combined words ]],"?","")</f>
        <v>Rodway  Road</v>
      </c>
      <c r="J546" t="str">
        <f>TRIM(Table1[[#This Row],[Remove Question Mark "?"]])</f>
        <v>Rodway Road</v>
      </c>
      <c r="K546" t="str">
        <f>PROPER(Table1[[#This Row],[Leading, Multiple &amp; Trailing spaces]])</f>
        <v>Rodway Road</v>
      </c>
      <c r="L546" t="str">
        <f t="shared" si="8"/>
        <v>Rodway Road</v>
      </c>
      <c r="M546" t="s">
        <v>2078</v>
      </c>
    </row>
    <row r="547" spans="1:13" x14ac:dyDescent="0.3">
      <c r="A547">
        <v>544</v>
      </c>
      <c r="B547" t="s">
        <v>2080</v>
      </c>
      <c r="C547" t="s">
        <v>2081</v>
      </c>
      <c r="D547" t="s">
        <v>18</v>
      </c>
      <c r="E547" t="s">
        <v>2082</v>
      </c>
      <c r="F547" t="s">
        <v>2083</v>
      </c>
      <c r="G547" t="str">
        <f xml:space="preserve"> PROPER(_xlfn.CONCAT(Table1[[#This Row],[Title]]," ",Table1[[#This Row],[First Name]]," ",Table1[[#This Row],[Last Name]]))</f>
        <v>Miss Milissa Wong</v>
      </c>
      <c r="H547" t="str">
        <f>SUBSTITUTE(Table1[[#This Row],[Street]],"Road"," Road")</f>
        <v>Erindale</v>
      </c>
      <c r="I547" t="str">
        <f>SUBSTITUTE(Table1[[#This Row],[Separate combined words ]],"?","")</f>
        <v>Erindale</v>
      </c>
      <c r="J547" t="str">
        <f>TRIM(Table1[[#This Row],[Remove Question Mark "?"]])</f>
        <v>Erindale</v>
      </c>
      <c r="K547" t="str">
        <f>PROPER(Table1[[#This Row],[Leading, Multiple &amp; Trailing spaces]])</f>
        <v>Erindale</v>
      </c>
      <c r="L547" t="str">
        <f t="shared" si="8"/>
        <v>Erindale</v>
      </c>
      <c r="M547" t="s">
        <v>2082</v>
      </c>
    </row>
    <row r="548" spans="1:13" x14ac:dyDescent="0.3">
      <c r="A548">
        <v>545</v>
      </c>
      <c r="B548" t="s">
        <v>1145</v>
      </c>
      <c r="C548" t="s">
        <v>1438</v>
      </c>
      <c r="D548" t="s">
        <v>18</v>
      </c>
      <c r="E548" t="s">
        <v>2084</v>
      </c>
      <c r="F548" t="s">
        <v>741</v>
      </c>
      <c r="G548" t="str">
        <f xml:space="preserve"> PROPER(_xlfn.CONCAT(Table1[[#This Row],[Title]]," ",Table1[[#This Row],[First Name]]," ",Table1[[#This Row],[Last Name]]))</f>
        <v>Miss Albina Abernathy</v>
      </c>
      <c r="H548" t="str">
        <f>SUBSTITUTE(Table1[[#This Row],[Street]],"Road"," Road")</f>
        <v>Romsey  Road</v>
      </c>
      <c r="I548" t="str">
        <f>SUBSTITUTE(Table1[[#This Row],[Separate combined words ]],"?","")</f>
        <v>Romsey  Road</v>
      </c>
      <c r="J548" t="str">
        <f>TRIM(Table1[[#This Row],[Remove Question Mark "?"]])</f>
        <v>Romsey Road</v>
      </c>
      <c r="K548" t="str">
        <f>PROPER(Table1[[#This Row],[Leading, Multiple &amp; Trailing spaces]])</f>
        <v>Romsey Road</v>
      </c>
      <c r="L548" t="str">
        <f t="shared" si="8"/>
        <v>Romsey Road</v>
      </c>
      <c r="M548" t="s">
        <v>2084</v>
      </c>
    </row>
    <row r="549" spans="1:13" x14ac:dyDescent="0.3">
      <c r="A549">
        <v>546</v>
      </c>
      <c r="B549" t="s">
        <v>663</v>
      </c>
      <c r="C549" t="s">
        <v>685</v>
      </c>
      <c r="D549" t="s">
        <v>7</v>
      </c>
      <c r="E549" t="s">
        <v>2085</v>
      </c>
      <c r="F549" t="s">
        <v>707</v>
      </c>
      <c r="G549" t="str">
        <f xml:space="preserve"> PROPER(_xlfn.CONCAT(Table1[[#This Row],[Title]]," ",Table1[[#This Row],[First Name]]," ",Table1[[#This Row],[Last Name]]))</f>
        <v>Mrs Anya Morin</v>
      </c>
      <c r="H549" t="str">
        <f>SUBSTITUTE(Table1[[#This Row],[Street]],"Road"," Road")</f>
        <v>Harbour Yard</v>
      </c>
      <c r="I549" t="str">
        <f>SUBSTITUTE(Table1[[#This Row],[Separate combined words ]],"?","")</f>
        <v>Harbour Yard</v>
      </c>
      <c r="J549" t="str">
        <f>TRIM(Table1[[#This Row],[Remove Question Mark "?"]])</f>
        <v>Harbour Yard</v>
      </c>
      <c r="K549" t="str">
        <f>PROPER(Table1[[#This Row],[Leading, Multiple &amp; Trailing spaces]])</f>
        <v>Harbour Yard</v>
      </c>
      <c r="L549" t="str">
        <f t="shared" si="8"/>
        <v>Harbour Yard</v>
      </c>
      <c r="M549" t="s">
        <v>2085</v>
      </c>
    </row>
    <row r="550" spans="1:13" x14ac:dyDescent="0.3">
      <c r="A550">
        <v>547</v>
      </c>
      <c r="B550" t="s">
        <v>2086</v>
      </c>
      <c r="C550" t="s">
        <v>2087</v>
      </c>
      <c r="D550" t="s">
        <v>7</v>
      </c>
      <c r="E550" t="s">
        <v>2088</v>
      </c>
      <c r="F550" t="s">
        <v>2089</v>
      </c>
      <c r="G550" t="str">
        <f xml:space="preserve"> PROPER(_xlfn.CONCAT(Table1[[#This Row],[Title]]," ",Table1[[#This Row],[First Name]]," ",Table1[[#This Row],[Last Name]]))</f>
        <v>Mrs Luella Skinner</v>
      </c>
      <c r="H550" t="str">
        <f>SUBSTITUTE(Table1[[#This Row],[Street]],"Road"," Road")</f>
        <v>Little Sutton</v>
      </c>
      <c r="I550" t="str">
        <f>SUBSTITUTE(Table1[[#This Row],[Separate combined words ]],"?","")</f>
        <v>Little Sutton</v>
      </c>
      <c r="J550" t="str">
        <f>TRIM(Table1[[#This Row],[Remove Question Mark "?"]])</f>
        <v>Little Sutton</v>
      </c>
      <c r="K550" t="str">
        <f>PROPER(Table1[[#This Row],[Leading, Multiple &amp; Trailing spaces]])</f>
        <v>Little Sutton</v>
      </c>
      <c r="L550" t="str">
        <f t="shared" si="8"/>
        <v>Little Sutton</v>
      </c>
      <c r="M550" t="s">
        <v>2088</v>
      </c>
    </row>
    <row r="551" spans="1:13" x14ac:dyDescent="0.3">
      <c r="A551">
        <v>548</v>
      </c>
      <c r="B551" t="s">
        <v>2090</v>
      </c>
      <c r="C551" t="s">
        <v>2091</v>
      </c>
      <c r="D551" t="s">
        <v>7</v>
      </c>
      <c r="E551" t="s">
        <v>2092</v>
      </c>
      <c r="F551" t="s">
        <v>2093</v>
      </c>
      <c r="G551" t="str">
        <f xml:space="preserve"> PROPER(_xlfn.CONCAT(Table1[[#This Row],[Title]]," ",Table1[[#This Row],[First Name]]," ",Table1[[#This Row],[Last Name]]))</f>
        <v>Mrs Kena Cornett</v>
      </c>
      <c r="H551" t="str">
        <f>SUBSTITUTE(Table1[[#This Row],[Street]],"Road"," Road")</f>
        <v>Denyer Street</v>
      </c>
      <c r="I551" t="str">
        <f>SUBSTITUTE(Table1[[#This Row],[Separate combined words ]],"?","")</f>
        <v>Denyer Street</v>
      </c>
      <c r="J551" t="str">
        <f>TRIM(Table1[[#This Row],[Remove Question Mark "?"]])</f>
        <v>Denyer Street</v>
      </c>
      <c r="K551" t="str">
        <f>PROPER(Table1[[#This Row],[Leading, Multiple &amp; Trailing spaces]])</f>
        <v>Denyer Street</v>
      </c>
      <c r="L551" t="str">
        <f t="shared" si="8"/>
        <v>Denyer Street</v>
      </c>
      <c r="M551" t="s">
        <v>2092</v>
      </c>
    </row>
    <row r="552" spans="1:13" x14ac:dyDescent="0.3">
      <c r="A552">
        <v>549</v>
      </c>
      <c r="B552" t="s">
        <v>2094</v>
      </c>
      <c r="C552" t="s">
        <v>2095</v>
      </c>
      <c r="D552" t="s">
        <v>18</v>
      </c>
      <c r="E552" t="s">
        <v>2096</v>
      </c>
      <c r="F552" t="s">
        <v>1433</v>
      </c>
      <c r="G552" t="str">
        <f xml:space="preserve"> PROPER(_xlfn.CONCAT(Table1[[#This Row],[Title]]," ",Table1[[#This Row],[First Name]]," ",Table1[[#This Row],[Last Name]]))</f>
        <v>Miss Azucena Harding</v>
      </c>
      <c r="H552" t="str">
        <f>SUBSTITUTE(Table1[[#This Row],[Street]],"Road"," Road")</f>
        <v>Baker's Alley</v>
      </c>
      <c r="I552" t="str">
        <f>SUBSTITUTE(Table1[[#This Row],[Separate combined words ]],"?","")</f>
        <v>Baker's Alley</v>
      </c>
      <c r="J552" t="str">
        <f>TRIM(Table1[[#This Row],[Remove Question Mark "?"]])</f>
        <v>Baker's Alley</v>
      </c>
      <c r="K552" t="str">
        <f>PROPER(Table1[[#This Row],[Leading, Multiple &amp; Trailing spaces]])</f>
        <v>Baker'S Alley</v>
      </c>
      <c r="L552" t="str">
        <f t="shared" si="8"/>
        <v>Baker'S Alley</v>
      </c>
      <c r="M552" t="s">
        <v>3435</v>
      </c>
    </row>
    <row r="553" spans="1:13" x14ac:dyDescent="0.3">
      <c r="A553">
        <v>550</v>
      </c>
      <c r="B553" t="s">
        <v>2097</v>
      </c>
      <c r="C553" t="s">
        <v>2098</v>
      </c>
      <c r="D553" t="s">
        <v>7</v>
      </c>
      <c r="E553" t="s">
        <v>2099</v>
      </c>
      <c r="F553" t="s">
        <v>2100</v>
      </c>
      <c r="G553" t="str">
        <f xml:space="preserve"> PROPER(_xlfn.CONCAT(Table1[[#This Row],[Title]]," ",Table1[[#This Row],[First Name]]," ",Table1[[#This Row],[Last Name]]))</f>
        <v>Mrs Paola Chaney</v>
      </c>
      <c r="H553" t="str">
        <f>SUBSTITUTE(Table1[[#This Row],[Street]],"Road"," Road")</f>
        <v>Mary Ann</v>
      </c>
      <c r="I553" t="str">
        <f>SUBSTITUTE(Table1[[#This Row],[Separate combined words ]],"?","")</f>
        <v>Mary Ann</v>
      </c>
      <c r="J553" t="str">
        <f>TRIM(Table1[[#This Row],[Remove Question Mark "?"]])</f>
        <v>Mary Ann</v>
      </c>
      <c r="K553" t="str">
        <f>PROPER(Table1[[#This Row],[Leading, Multiple &amp; Trailing spaces]])</f>
        <v>Mary Ann</v>
      </c>
      <c r="L553" t="str">
        <f t="shared" si="8"/>
        <v>Mary Ann</v>
      </c>
      <c r="M553" t="s">
        <v>2099</v>
      </c>
    </row>
    <row r="554" spans="1:13" x14ac:dyDescent="0.3">
      <c r="A554">
        <v>551</v>
      </c>
      <c r="B554" t="s">
        <v>2101</v>
      </c>
      <c r="C554" t="s">
        <v>2102</v>
      </c>
      <c r="D554" t="s">
        <v>18</v>
      </c>
      <c r="E554" t="s">
        <v>2103</v>
      </c>
      <c r="F554" t="s">
        <v>45</v>
      </c>
      <c r="G554" t="str">
        <f xml:space="preserve"> PROPER(_xlfn.CONCAT(Table1[[#This Row],[Title]]," ",Table1[[#This Row],[First Name]]," ",Table1[[#This Row],[Last Name]]))</f>
        <v>Miss Gertrude Gross</v>
      </c>
      <c r="H554" t="str">
        <f>SUBSTITUTE(Table1[[#This Row],[Street]],"Road"," Road")</f>
        <v>Kilravock Street</v>
      </c>
      <c r="I554" t="str">
        <f>SUBSTITUTE(Table1[[#This Row],[Separate combined words ]],"?","")</f>
        <v>Kilravock Street</v>
      </c>
      <c r="J554" t="str">
        <f>TRIM(Table1[[#This Row],[Remove Question Mark "?"]])</f>
        <v>Kilravock Street</v>
      </c>
      <c r="K554" t="str">
        <f>PROPER(Table1[[#This Row],[Leading, Multiple &amp; Trailing spaces]])</f>
        <v>Kilravock Street</v>
      </c>
      <c r="L554" t="str">
        <f t="shared" si="8"/>
        <v>Kilravock Street</v>
      </c>
      <c r="M554" t="s">
        <v>2103</v>
      </c>
    </row>
    <row r="555" spans="1:13" x14ac:dyDescent="0.3">
      <c r="A555">
        <v>552</v>
      </c>
      <c r="B555" t="s">
        <v>2104</v>
      </c>
      <c r="C555" t="s">
        <v>1488</v>
      </c>
      <c r="D555" t="s">
        <v>18</v>
      </c>
      <c r="E555" t="s">
        <v>2105</v>
      </c>
      <c r="F555" t="s">
        <v>2106</v>
      </c>
      <c r="G555" t="str">
        <f xml:space="preserve"> PROPER(_xlfn.CONCAT(Table1[[#This Row],[Title]]," ",Table1[[#This Row],[First Name]]," ",Table1[[#This Row],[Last Name]]))</f>
        <v>Miss Fiona Spicer</v>
      </c>
      <c r="H555" t="str">
        <f>SUBSTITUTE(Table1[[#This Row],[Street]],"Road"," Road")</f>
        <v>Trumans Brewery</v>
      </c>
      <c r="I555" t="str">
        <f>SUBSTITUTE(Table1[[#This Row],[Separate combined words ]],"?","")</f>
        <v>Trumans Brewery</v>
      </c>
      <c r="J555" t="str">
        <f>TRIM(Table1[[#This Row],[Remove Question Mark "?"]])</f>
        <v>Trumans Brewery</v>
      </c>
      <c r="K555" t="str">
        <f>PROPER(Table1[[#This Row],[Leading, Multiple &amp; Trailing spaces]])</f>
        <v>Trumans Brewery</v>
      </c>
      <c r="L555" t="str">
        <f t="shared" si="8"/>
        <v>Trumans Brewery</v>
      </c>
      <c r="M555" t="s">
        <v>2105</v>
      </c>
    </row>
    <row r="556" spans="1:13" x14ac:dyDescent="0.3">
      <c r="A556">
        <v>553</v>
      </c>
      <c r="B556" t="s">
        <v>2107</v>
      </c>
      <c r="C556" t="s">
        <v>2108</v>
      </c>
      <c r="D556" t="s">
        <v>18</v>
      </c>
      <c r="E556" t="s">
        <v>2109</v>
      </c>
      <c r="F556" t="s">
        <v>2110</v>
      </c>
      <c r="G556" t="str">
        <f xml:space="preserve"> PROPER(_xlfn.CONCAT(Table1[[#This Row],[Title]]," ",Table1[[#This Row],[First Name]]," ",Table1[[#This Row],[Last Name]]))</f>
        <v>Miss Nola Brooks</v>
      </c>
      <c r="H556" t="str">
        <f>SUBSTITUTE(Table1[[#This Row],[Street]],"Road"," Road")</f>
        <v>Charlotte Court</v>
      </c>
      <c r="I556" t="str">
        <f>SUBSTITUTE(Table1[[#This Row],[Separate combined words ]],"?","")</f>
        <v>Charlotte Court</v>
      </c>
      <c r="J556" t="str">
        <f>TRIM(Table1[[#This Row],[Remove Question Mark "?"]])</f>
        <v>Charlotte Court</v>
      </c>
      <c r="K556" t="str">
        <f>PROPER(Table1[[#This Row],[Leading, Multiple &amp; Trailing spaces]])</f>
        <v>Charlotte Court</v>
      </c>
      <c r="L556" t="str">
        <f t="shared" si="8"/>
        <v>Charlotte Court</v>
      </c>
      <c r="M556" t="s">
        <v>2109</v>
      </c>
    </row>
    <row r="557" spans="1:13" x14ac:dyDescent="0.3">
      <c r="A557">
        <v>554</v>
      </c>
      <c r="B557" t="s">
        <v>2111</v>
      </c>
      <c r="C557" t="s">
        <v>2112</v>
      </c>
      <c r="D557" t="s">
        <v>7</v>
      </c>
      <c r="E557" t="s">
        <v>2113</v>
      </c>
      <c r="F557" t="s">
        <v>598</v>
      </c>
      <c r="G557" t="str">
        <f xml:space="preserve"> PROPER(_xlfn.CONCAT(Table1[[#This Row],[Title]]," ",Table1[[#This Row],[First Name]]," ",Table1[[#This Row],[Last Name]]))</f>
        <v>Mrs Darcy Wills</v>
      </c>
      <c r="H557" t="str">
        <f>SUBSTITUTE(Table1[[#This Row],[Street]],"Road"," Road")</f>
        <v>De Beauvoir</v>
      </c>
      <c r="I557" t="str">
        <f>SUBSTITUTE(Table1[[#This Row],[Separate combined words ]],"?","")</f>
        <v>De Beauvoir</v>
      </c>
      <c r="J557" t="str">
        <f>TRIM(Table1[[#This Row],[Remove Question Mark "?"]])</f>
        <v>De Beauvoir</v>
      </c>
      <c r="K557" t="str">
        <f>PROPER(Table1[[#This Row],[Leading, Multiple &amp; Trailing spaces]])</f>
        <v>De Beauvoir</v>
      </c>
      <c r="L557" t="str">
        <f t="shared" si="8"/>
        <v>De Beauvoir</v>
      </c>
      <c r="M557" t="s">
        <v>2113</v>
      </c>
    </row>
    <row r="558" spans="1:13" x14ac:dyDescent="0.3">
      <c r="A558">
        <v>555</v>
      </c>
      <c r="B558" t="s">
        <v>2114</v>
      </c>
      <c r="C558" t="s">
        <v>2115</v>
      </c>
      <c r="D558" t="s">
        <v>18</v>
      </c>
      <c r="E558" t="s">
        <v>2116</v>
      </c>
      <c r="F558" t="s">
        <v>2117</v>
      </c>
      <c r="G558" t="str">
        <f xml:space="preserve"> PROPER(_xlfn.CONCAT(Table1[[#This Row],[Title]]," ",Table1[[#This Row],[First Name]]," ",Table1[[#This Row],[Last Name]]))</f>
        <v>Miss Loren Ball</v>
      </c>
      <c r="H558" t="str">
        <f>SUBSTITUTE(Table1[[#This Row],[Street]],"Road"," Road")</f>
        <v>Darlaston  Road</v>
      </c>
      <c r="I558" t="str">
        <f>SUBSTITUTE(Table1[[#This Row],[Separate combined words ]],"?","")</f>
        <v>Darlaston  Road</v>
      </c>
      <c r="J558" t="str">
        <f>TRIM(Table1[[#This Row],[Remove Question Mark "?"]])</f>
        <v>Darlaston Road</v>
      </c>
      <c r="K558" t="str">
        <f>PROPER(Table1[[#This Row],[Leading, Multiple &amp; Trailing spaces]])</f>
        <v>Darlaston Road</v>
      </c>
      <c r="L558" t="str">
        <f t="shared" si="8"/>
        <v>Darlaston Road</v>
      </c>
      <c r="M558" t="s">
        <v>2116</v>
      </c>
    </row>
    <row r="559" spans="1:13" x14ac:dyDescent="0.3">
      <c r="A559">
        <v>556</v>
      </c>
      <c r="B559" t="s">
        <v>2118</v>
      </c>
      <c r="C559" t="s">
        <v>2119</v>
      </c>
      <c r="D559" t="s">
        <v>7</v>
      </c>
      <c r="E559" t="s">
        <v>2120</v>
      </c>
      <c r="F559" t="s">
        <v>222</v>
      </c>
      <c r="G559" t="str">
        <f xml:space="preserve"> PROPER(_xlfn.CONCAT(Table1[[#This Row],[Title]]," ",Table1[[#This Row],[First Name]]," ",Table1[[#This Row],[Last Name]]))</f>
        <v>Mrs Erlene Esposito</v>
      </c>
      <c r="H559" t="str">
        <f>SUBSTITUTE(Table1[[#This Row],[Street]],"Road"," Road")</f>
        <v>Eversholt Street</v>
      </c>
      <c r="I559" t="str">
        <f>SUBSTITUTE(Table1[[#This Row],[Separate combined words ]],"?","")</f>
        <v>Eversholt Street</v>
      </c>
      <c r="J559" t="str">
        <f>TRIM(Table1[[#This Row],[Remove Question Mark "?"]])</f>
        <v>Eversholt Street</v>
      </c>
      <c r="K559" t="str">
        <f>PROPER(Table1[[#This Row],[Leading, Multiple &amp; Trailing spaces]])</f>
        <v>Eversholt Street</v>
      </c>
      <c r="L559" t="str">
        <f t="shared" si="8"/>
        <v>Eversholt Street</v>
      </c>
      <c r="M559" t="s">
        <v>2120</v>
      </c>
    </row>
    <row r="560" spans="1:13" x14ac:dyDescent="0.3">
      <c r="A560">
        <v>557</v>
      </c>
      <c r="B560" t="s">
        <v>2121</v>
      </c>
      <c r="C560" t="s">
        <v>436</v>
      </c>
      <c r="D560" t="s">
        <v>7</v>
      </c>
      <c r="E560" t="s">
        <v>2122</v>
      </c>
      <c r="F560" t="s">
        <v>1943</v>
      </c>
      <c r="G560" t="str">
        <f xml:space="preserve"> PROPER(_xlfn.CONCAT(Table1[[#This Row],[Title]]," ",Table1[[#This Row],[First Name]]," ",Table1[[#This Row],[Last Name]]))</f>
        <v>Mrs Tabatha Kendall</v>
      </c>
      <c r="H560" t="str">
        <f>SUBSTITUTE(Table1[[#This Row],[Street]],"Road"," Road")</f>
        <v>Amott  Road</v>
      </c>
      <c r="I560" t="str">
        <f>SUBSTITUTE(Table1[[#This Row],[Separate combined words ]],"?","")</f>
        <v>Amott  Road</v>
      </c>
      <c r="J560" t="str">
        <f>TRIM(Table1[[#This Row],[Remove Question Mark "?"]])</f>
        <v>Amott Road</v>
      </c>
      <c r="K560" t="str">
        <f>PROPER(Table1[[#This Row],[Leading, Multiple &amp; Trailing spaces]])</f>
        <v>Amott Road</v>
      </c>
      <c r="L560" t="str">
        <f t="shared" si="8"/>
        <v>Amott Road</v>
      </c>
      <c r="M560" t="s">
        <v>2122</v>
      </c>
    </row>
    <row r="561" spans="1:13" x14ac:dyDescent="0.3">
      <c r="A561">
        <v>558</v>
      </c>
      <c r="B561" t="s">
        <v>62</v>
      </c>
      <c r="C561" t="s">
        <v>2123</v>
      </c>
      <c r="D561" t="s">
        <v>18</v>
      </c>
      <c r="E561" t="s">
        <v>2124</v>
      </c>
      <c r="F561" t="s">
        <v>641</v>
      </c>
      <c r="G561" t="str">
        <f xml:space="preserve"> PROPER(_xlfn.CONCAT(Table1[[#This Row],[Title]]," ",Table1[[#This Row],[First Name]]," ",Table1[[#This Row],[Last Name]]))</f>
        <v>Miss Bobbye Henry</v>
      </c>
      <c r="H561" t="str">
        <f>SUBSTITUTE(Table1[[#This Row],[Street]],"Road"," Road")</f>
        <v>Nuthurst Avenue</v>
      </c>
      <c r="I561" t="str">
        <f>SUBSTITUTE(Table1[[#This Row],[Separate combined words ]],"?","")</f>
        <v>Nuthurst Avenue</v>
      </c>
      <c r="J561" t="str">
        <f>TRIM(Table1[[#This Row],[Remove Question Mark "?"]])</f>
        <v>Nuthurst Avenue</v>
      </c>
      <c r="K561" t="str">
        <f>PROPER(Table1[[#This Row],[Leading, Multiple &amp; Trailing spaces]])</f>
        <v>Nuthurst Avenue</v>
      </c>
      <c r="L561" t="str">
        <f t="shared" si="8"/>
        <v>Nuthurst Avenue</v>
      </c>
      <c r="M561" t="s">
        <v>2124</v>
      </c>
    </row>
    <row r="562" spans="1:13" x14ac:dyDescent="0.3">
      <c r="A562">
        <v>559</v>
      </c>
      <c r="B562" t="s">
        <v>2125</v>
      </c>
      <c r="C562" t="s">
        <v>2126</v>
      </c>
      <c r="D562" t="s">
        <v>18</v>
      </c>
      <c r="E562" t="s">
        <v>500</v>
      </c>
      <c r="F562" t="s">
        <v>1657</v>
      </c>
      <c r="G562" t="str">
        <f xml:space="preserve"> PROPER(_xlfn.CONCAT(Table1[[#This Row],[Title]]," ",Table1[[#This Row],[First Name]]," ",Table1[[#This Row],[Last Name]]))</f>
        <v>Miss Tia Conley</v>
      </c>
      <c r="H562" t="str">
        <f>SUBSTITUTE(Table1[[#This Row],[Street]],"Road"," Road")</f>
        <v>Dragonfly Close</v>
      </c>
      <c r="I562" t="str">
        <f>SUBSTITUTE(Table1[[#This Row],[Separate combined words ]],"?","")</f>
        <v>Dragonfly Close</v>
      </c>
      <c r="J562" t="str">
        <f>TRIM(Table1[[#This Row],[Remove Question Mark "?"]])</f>
        <v>Dragonfly Close</v>
      </c>
      <c r="K562" t="str">
        <f>PROPER(Table1[[#This Row],[Leading, Multiple &amp; Trailing spaces]])</f>
        <v>Dragonfly Close</v>
      </c>
      <c r="L562" t="str">
        <f t="shared" si="8"/>
        <v>Dragonfly Close</v>
      </c>
      <c r="M562" t="s">
        <v>500</v>
      </c>
    </row>
    <row r="563" spans="1:13" x14ac:dyDescent="0.3">
      <c r="A563">
        <v>560</v>
      </c>
      <c r="B563" t="s">
        <v>2127</v>
      </c>
      <c r="C563" t="s">
        <v>2128</v>
      </c>
      <c r="D563" t="s">
        <v>18</v>
      </c>
      <c r="E563" t="s">
        <v>2129</v>
      </c>
      <c r="F563" t="s">
        <v>2130</v>
      </c>
      <c r="G563" t="str">
        <f xml:space="preserve"> PROPER(_xlfn.CONCAT(Table1[[#This Row],[Title]]," ",Table1[[#This Row],[First Name]]," ",Table1[[#This Row],[Last Name]]))</f>
        <v>Miss Kari Yarbrough</v>
      </c>
      <c r="H563" t="str">
        <f>SUBSTITUTE(Table1[[#This Row],[Street]],"Road"," Road")</f>
        <v>Edgill Street</v>
      </c>
      <c r="I563" t="str">
        <f>SUBSTITUTE(Table1[[#This Row],[Separate combined words ]],"?","")</f>
        <v>Edgill Street</v>
      </c>
      <c r="J563" t="str">
        <f>TRIM(Table1[[#This Row],[Remove Question Mark "?"]])</f>
        <v>Edgill Street</v>
      </c>
      <c r="K563" t="str">
        <f>PROPER(Table1[[#This Row],[Leading, Multiple &amp; Trailing spaces]])</f>
        <v>Edgill Street</v>
      </c>
      <c r="L563" t="str">
        <f t="shared" si="8"/>
        <v>Edgill Street</v>
      </c>
      <c r="M563" t="s">
        <v>2129</v>
      </c>
    </row>
    <row r="564" spans="1:13" x14ac:dyDescent="0.3">
      <c r="A564">
        <v>561</v>
      </c>
      <c r="B564" t="s">
        <v>2131</v>
      </c>
      <c r="C564" t="s">
        <v>2132</v>
      </c>
      <c r="D564" t="s">
        <v>71</v>
      </c>
      <c r="E564" t="s">
        <v>2133</v>
      </c>
      <c r="F564" t="s">
        <v>890</v>
      </c>
      <c r="G564" t="str">
        <f xml:space="preserve"> PROPER(_xlfn.CONCAT(Table1[[#This Row],[Title]]," ",Table1[[#This Row],[First Name]]," ",Table1[[#This Row],[Last Name]]))</f>
        <v>Ms Tasia Briggs</v>
      </c>
      <c r="H564" t="str">
        <f>SUBSTITUTE(Table1[[#This Row],[Street]],"Road"," Road")</f>
        <v>Ansdell Terrace</v>
      </c>
      <c r="I564" t="str">
        <f>SUBSTITUTE(Table1[[#This Row],[Separate combined words ]],"?","")</f>
        <v>Ansdell Terrace</v>
      </c>
      <c r="J564" t="str">
        <f>TRIM(Table1[[#This Row],[Remove Question Mark "?"]])</f>
        <v>Ansdell Terrace</v>
      </c>
      <c r="K564" t="str">
        <f>PROPER(Table1[[#This Row],[Leading, Multiple &amp; Trailing spaces]])</f>
        <v>Ansdell Terrace</v>
      </c>
      <c r="L564" t="str">
        <f t="shared" si="8"/>
        <v>Ansdell Terrace</v>
      </c>
      <c r="M564" t="s">
        <v>2133</v>
      </c>
    </row>
    <row r="565" spans="1:13" x14ac:dyDescent="0.3">
      <c r="A565">
        <v>562</v>
      </c>
      <c r="B565" t="s">
        <v>2134</v>
      </c>
      <c r="C565" t="s">
        <v>1101</v>
      </c>
      <c r="D565" t="s">
        <v>18</v>
      </c>
      <c r="E565" t="s">
        <v>2135</v>
      </c>
      <c r="F565" t="s">
        <v>890</v>
      </c>
      <c r="G565" t="str">
        <f xml:space="preserve"> PROPER(_xlfn.CONCAT(Table1[[#This Row],[Title]]," ",Table1[[#This Row],[First Name]]," ",Table1[[#This Row],[Last Name]]))</f>
        <v>Miss Elnora Oneil</v>
      </c>
      <c r="H565" t="str">
        <f>SUBSTITUTE(Table1[[#This Row],[Street]],"Road"," Road")</f>
        <v>Kent Place</v>
      </c>
      <c r="I565" t="str">
        <f>SUBSTITUTE(Table1[[#This Row],[Separate combined words ]],"?","")</f>
        <v>Kent Place</v>
      </c>
      <c r="J565" t="str">
        <f>TRIM(Table1[[#This Row],[Remove Question Mark "?"]])</f>
        <v>Kent Place</v>
      </c>
      <c r="K565" t="str">
        <f>PROPER(Table1[[#This Row],[Leading, Multiple &amp; Trailing spaces]])</f>
        <v>Kent Place</v>
      </c>
      <c r="L565" t="str">
        <f t="shared" si="8"/>
        <v>Kent Place</v>
      </c>
      <c r="M565" t="s">
        <v>2135</v>
      </c>
    </row>
    <row r="566" spans="1:13" x14ac:dyDescent="0.3">
      <c r="A566">
        <v>563</v>
      </c>
      <c r="B566" t="s">
        <v>2136</v>
      </c>
      <c r="C566" t="s">
        <v>437</v>
      </c>
      <c r="D566" t="s">
        <v>71</v>
      </c>
      <c r="E566" t="s">
        <v>2137</v>
      </c>
      <c r="F566" t="s">
        <v>152</v>
      </c>
      <c r="G566" t="str">
        <f xml:space="preserve"> PROPER(_xlfn.CONCAT(Table1[[#This Row],[Title]]," ",Table1[[#This Row],[First Name]]," ",Table1[[#This Row],[Last Name]]))</f>
        <v>Ms Cathey Fox</v>
      </c>
      <c r="H566" t="str">
        <f>SUBSTITUTE(Table1[[#This Row],[Street]],"Road"," Road")</f>
        <v>Glaserton  Road</v>
      </c>
      <c r="I566" t="str">
        <f>SUBSTITUTE(Table1[[#This Row],[Separate combined words ]],"?","")</f>
        <v>Glaserton  Road</v>
      </c>
      <c r="J566" t="str">
        <f>TRIM(Table1[[#This Row],[Remove Question Mark "?"]])</f>
        <v>Glaserton Road</v>
      </c>
      <c r="K566" t="str">
        <f>PROPER(Table1[[#This Row],[Leading, Multiple &amp; Trailing spaces]])</f>
        <v>Glaserton Road</v>
      </c>
      <c r="L566" t="str">
        <f t="shared" si="8"/>
        <v>Glaserton Road</v>
      </c>
      <c r="M566" t="s">
        <v>2137</v>
      </c>
    </row>
    <row r="567" spans="1:13" x14ac:dyDescent="0.3">
      <c r="A567">
        <v>564</v>
      </c>
      <c r="B567" t="s">
        <v>2138</v>
      </c>
      <c r="C567" t="s">
        <v>2139</v>
      </c>
      <c r="D567" t="s">
        <v>7</v>
      </c>
      <c r="E567" t="s">
        <v>2140</v>
      </c>
      <c r="F567" t="s">
        <v>1598</v>
      </c>
      <c r="G567" t="str">
        <f xml:space="preserve"> PROPER(_xlfn.CONCAT(Table1[[#This Row],[Title]]," ",Table1[[#This Row],[First Name]]," ",Table1[[#This Row],[Last Name]]))</f>
        <v>Mrs Deborah Larson</v>
      </c>
      <c r="H567" t="str">
        <f>SUBSTITUTE(Table1[[#This Row],[Street]],"Road"," Road")</f>
        <v>Sparrows Row</v>
      </c>
      <c r="I567" t="str">
        <f>SUBSTITUTE(Table1[[#This Row],[Separate combined words ]],"?","")</f>
        <v>Sparrows Row</v>
      </c>
      <c r="J567" t="str">
        <f>TRIM(Table1[[#This Row],[Remove Question Mark "?"]])</f>
        <v>Sparrows Row</v>
      </c>
      <c r="K567" t="str">
        <f>PROPER(Table1[[#This Row],[Leading, Multiple &amp; Trailing spaces]])</f>
        <v>Sparrows Row</v>
      </c>
      <c r="L567" t="str">
        <f t="shared" si="8"/>
        <v>Sparrows Row</v>
      </c>
      <c r="M567" t="s">
        <v>2140</v>
      </c>
    </row>
    <row r="568" spans="1:13" x14ac:dyDescent="0.3">
      <c r="A568">
        <v>565</v>
      </c>
      <c r="B568" t="s">
        <v>2141</v>
      </c>
      <c r="C568" t="s">
        <v>603</v>
      </c>
      <c r="D568" t="s">
        <v>7</v>
      </c>
      <c r="E568" t="s">
        <v>2142</v>
      </c>
      <c r="F568" t="s">
        <v>388</v>
      </c>
      <c r="G568" t="str">
        <f xml:space="preserve"> PROPER(_xlfn.CONCAT(Table1[[#This Row],[Title]]," ",Table1[[#This Row],[First Name]]," ",Table1[[#This Row],[Last Name]]))</f>
        <v>Mrs Brigette John</v>
      </c>
      <c r="H568" t="str">
        <f>SUBSTITUTE(Table1[[#This Row],[Street]],"Road"," Road")</f>
        <v>Poonah Street</v>
      </c>
      <c r="I568" t="str">
        <f>SUBSTITUTE(Table1[[#This Row],[Separate combined words ]],"?","")</f>
        <v>Poonah Street</v>
      </c>
      <c r="J568" t="str">
        <f>TRIM(Table1[[#This Row],[Remove Question Mark "?"]])</f>
        <v>Poonah Street</v>
      </c>
      <c r="K568" t="str">
        <f>PROPER(Table1[[#This Row],[Leading, Multiple &amp; Trailing spaces]])</f>
        <v>Poonah Street</v>
      </c>
      <c r="L568" t="str">
        <f t="shared" si="8"/>
        <v>Poonah Street</v>
      </c>
      <c r="M568" t="s">
        <v>2142</v>
      </c>
    </row>
    <row r="569" spans="1:13" x14ac:dyDescent="0.3">
      <c r="A569">
        <v>566</v>
      </c>
      <c r="B569" t="s">
        <v>2143</v>
      </c>
      <c r="C569" t="s">
        <v>702</v>
      </c>
      <c r="D569" t="s">
        <v>71</v>
      </c>
      <c r="E569" t="s">
        <v>2144</v>
      </c>
      <c r="F569" t="s">
        <v>110</v>
      </c>
      <c r="G569" t="str">
        <f xml:space="preserve"> PROPER(_xlfn.CONCAT(Table1[[#This Row],[Title]]," ",Table1[[#This Row],[First Name]]," ",Table1[[#This Row],[Last Name]]))</f>
        <v>Ms Hilda Lyons</v>
      </c>
      <c r="H569" t="str">
        <f>SUBSTITUTE(Table1[[#This Row],[Street]],"Road"," Road")</f>
        <v>Havant  Road</v>
      </c>
      <c r="I569" t="str">
        <f>SUBSTITUTE(Table1[[#This Row],[Separate combined words ]],"?","")</f>
        <v>Havant  Road</v>
      </c>
      <c r="J569" t="str">
        <f>TRIM(Table1[[#This Row],[Remove Question Mark "?"]])</f>
        <v>Havant Road</v>
      </c>
      <c r="K569" t="str">
        <f>PROPER(Table1[[#This Row],[Leading, Multiple &amp; Trailing spaces]])</f>
        <v>Havant Road</v>
      </c>
      <c r="L569" t="str">
        <f t="shared" si="8"/>
        <v>Havant Road</v>
      </c>
      <c r="M569" t="s">
        <v>2144</v>
      </c>
    </row>
    <row r="570" spans="1:13" x14ac:dyDescent="0.3">
      <c r="A570">
        <v>567</v>
      </c>
      <c r="B570" t="s">
        <v>2145</v>
      </c>
      <c r="C570" t="s">
        <v>2146</v>
      </c>
      <c r="D570" t="s">
        <v>18</v>
      </c>
      <c r="E570" t="s">
        <v>2147</v>
      </c>
      <c r="F570" t="s">
        <v>2148</v>
      </c>
      <c r="G570" t="str">
        <f xml:space="preserve"> PROPER(_xlfn.CONCAT(Table1[[#This Row],[Title]]," ",Table1[[#This Row],[First Name]]," ",Table1[[#This Row],[Last Name]]))</f>
        <v>Miss Jeffrey Palmer</v>
      </c>
      <c r="H570" t="str">
        <f>SUBSTITUTE(Table1[[#This Row],[Street]],"Road"," Road")</f>
        <v>Carpenters Place</v>
      </c>
      <c r="I570" t="str">
        <f>SUBSTITUTE(Table1[[#This Row],[Separate combined words ]],"?","")</f>
        <v>Carpenters Place</v>
      </c>
      <c r="J570" t="str">
        <f>TRIM(Table1[[#This Row],[Remove Question Mark "?"]])</f>
        <v>Carpenters Place</v>
      </c>
      <c r="K570" t="str">
        <f>PROPER(Table1[[#This Row],[Leading, Multiple &amp; Trailing spaces]])</f>
        <v>Carpenters Place</v>
      </c>
      <c r="L570" t="str">
        <f t="shared" si="8"/>
        <v>Carpenters Place</v>
      </c>
      <c r="M570" t="s">
        <v>2147</v>
      </c>
    </row>
    <row r="571" spans="1:13" x14ac:dyDescent="0.3">
      <c r="A571">
        <v>568</v>
      </c>
      <c r="B571" t="s">
        <v>2149</v>
      </c>
      <c r="C571" t="s">
        <v>2150</v>
      </c>
      <c r="D571" t="s">
        <v>7</v>
      </c>
      <c r="E571" t="s">
        <v>2151</v>
      </c>
      <c r="F571" t="s">
        <v>546</v>
      </c>
      <c r="G571" t="str">
        <f xml:space="preserve"> PROPER(_xlfn.CONCAT(Table1[[#This Row],[Title]]," ",Table1[[#This Row],[First Name]]," ",Table1[[#This Row],[Last Name]]))</f>
        <v>Mrs Tonette Humphrey</v>
      </c>
      <c r="H571" t="str">
        <f>SUBSTITUTE(Table1[[#This Row],[Street]],"Road"," Road")</f>
        <v>Maurice Brown</v>
      </c>
      <c r="I571" t="str">
        <f>SUBSTITUTE(Table1[[#This Row],[Separate combined words ]],"?","")</f>
        <v>Maurice Brown</v>
      </c>
      <c r="J571" t="str">
        <f>TRIM(Table1[[#This Row],[Remove Question Mark "?"]])</f>
        <v>Maurice Brown</v>
      </c>
      <c r="K571" t="str">
        <f>PROPER(Table1[[#This Row],[Leading, Multiple &amp; Trailing spaces]])</f>
        <v>Maurice Brown</v>
      </c>
      <c r="L571" t="str">
        <f t="shared" si="8"/>
        <v>Maurice Brown</v>
      </c>
      <c r="M571" t="s">
        <v>2151</v>
      </c>
    </row>
    <row r="572" spans="1:13" x14ac:dyDescent="0.3">
      <c r="A572">
        <v>569</v>
      </c>
      <c r="B572" t="s">
        <v>2152</v>
      </c>
      <c r="C572" t="s">
        <v>494</v>
      </c>
      <c r="D572" t="s">
        <v>55</v>
      </c>
      <c r="E572" t="s">
        <v>2153</v>
      </c>
      <c r="F572" t="s">
        <v>1795</v>
      </c>
      <c r="G572" t="str">
        <f xml:space="preserve"> PROPER(_xlfn.CONCAT(Table1[[#This Row],[Title]]," ",Table1[[#This Row],[First Name]]," ",Table1[[#This Row],[Last Name]]))</f>
        <v>Prof Nannette Pickett</v>
      </c>
      <c r="H572" t="str">
        <f>SUBSTITUTE(Table1[[#This Row],[Street]],"Road"," Road")</f>
        <v>Clare Place</v>
      </c>
      <c r="I572" t="str">
        <f>SUBSTITUTE(Table1[[#This Row],[Separate combined words ]],"?","")</f>
        <v>Clare Place</v>
      </c>
      <c r="J572" t="str">
        <f>TRIM(Table1[[#This Row],[Remove Question Mark "?"]])</f>
        <v>Clare Place</v>
      </c>
      <c r="K572" t="str">
        <f>PROPER(Table1[[#This Row],[Leading, Multiple &amp; Trailing spaces]])</f>
        <v>Clare Place</v>
      </c>
      <c r="L572" t="str">
        <f t="shared" si="8"/>
        <v>Clare Place</v>
      </c>
      <c r="M572" t="s">
        <v>2153</v>
      </c>
    </row>
    <row r="573" spans="1:13" x14ac:dyDescent="0.3">
      <c r="A573">
        <v>570</v>
      </c>
      <c r="B573" t="s">
        <v>1070</v>
      </c>
      <c r="C573" t="s">
        <v>2154</v>
      </c>
      <c r="D573" t="s">
        <v>7</v>
      </c>
      <c r="E573" t="s">
        <v>2155</v>
      </c>
      <c r="F573" t="s">
        <v>2156</v>
      </c>
      <c r="G573" t="str">
        <f xml:space="preserve"> PROPER(_xlfn.CONCAT(Table1[[#This Row],[Title]]," ",Table1[[#This Row],[First Name]]," ",Table1[[#This Row],[Last Name]]))</f>
        <v>Mrs Leon Dewitt</v>
      </c>
      <c r="H573" t="str">
        <f>SUBSTITUTE(Table1[[#This Row],[Street]],"Road"," Road")</f>
        <v>Lodge Close</v>
      </c>
      <c r="I573" t="str">
        <f>SUBSTITUTE(Table1[[#This Row],[Separate combined words ]],"?","")</f>
        <v>Lodge Close</v>
      </c>
      <c r="J573" t="str">
        <f>TRIM(Table1[[#This Row],[Remove Question Mark "?"]])</f>
        <v>Lodge Close</v>
      </c>
      <c r="K573" t="str">
        <f>PROPER(Table1[[#This Row],[Leading, Multiple &amp; Trailing spaces]])</f>
        <v>Lodge Close</v>
      </c>
      <c r="L573" t="str">
        <f t="shared" si="8"/>
        <v>Lodge Close</v>
      </c>
      <c r="M573" t="s">
        <v>2155</v>
      </c>
    </row>
    <row r="574" spans="1:13" x14ac:dyDescent="0.3">
      <c r="A574">
        <v>571</v>
      </c>
      <c r="B574" t="s">
        <v>2157</v>
      </c>
      <c r="C574" t="s">
        <v>2158</v>
      </c>
      <c r="D574" t="s">
        <v>18</v>
      </c>
      <c r="E574" t="s">
        <v>2159</v>
      </c>
      <c r="F574" t="s">
        <v>2160</v>
      </c>
      <c r="G574" t="str">
        <f xml:space="preserve"> PROPER(_xlfn.CONCAT(Table1[[#This Row],[Title]]," ",Table1[[#This Row],[First Name]]," ",Table1[[#This Row],[Last Name]]))</f>
        <v>Miss Serafina Marcus</v>
      </c>
      <c r="H574" t="str">
        <f>SUBSTITUTE(Table1[[#This Row],[Street]],"Road"," Road")</f>
        <v>Meadowbank</v>
      </c>
      <c r="I574" t="str">
        <f>SUBSTITUTE(Table1[[#This Row],[Separate combined words ]],"?","")</f>
        <v>Meadowbank</v>
      </c>
      <c r="J574" t="str">
        <f>TRIM(Table1[[#This Row],[Remove Question Mark "?"]])</f>
        <v>Meadowbank</v>
      </c>
      <c r="K574" t="str">
        <f>PROPER(Table1[[#This Row],[Leading, Multiple &amp; Trailing spaces]])</f>
        <v>Meadowbank</v>
      </c>
      <c r="L574" t="str">
        <f t="shared" si="8"/>
        <v>Meadowbank</v>
      </c>
      <c r="M574" t="s">
        <v>2159</v>
      </c>
    </row>
    <row r="575" spans="1:13" x14ac:dyDescent="0.3">
      <c r="A575">
        <v>572</v>
      </c>
      <c r="B575" t="s">
        <v>2161</v>
      </c>
      <c r="C575" t="s">
        <v>1074</v>
      </c>
      <c r="D575" t="s">
        <v>7</v>
      </c>
      <c r="E575" t="s">
        <v>2162</v>
      </c>
      <c r="F575" t="s">
        <v>1867</v>
      </c>
      <c r="G575" t="str">
        <f xml:space="preserve"> PROPER(_xlfn.CONCAT(Table1[[#This Row],[Title]]," ",Table1[[#This Row],[First Name]]," ",Table1[[#This Row],[Last Name]]))</f>
        <v>Mrs Tessa Stacy</v>
      </c>
      <c r="H575" t="str">
        <f>SUBSTITUTE(Table1[[#This Row],[Street]],"Road"," Road")</f>
        <v>Kirby Grove</v>
      </c>
      <c r="I575" t="str">
        <f>SUBSTITUTE(Table1[[#This Row],[Separate combined words ]],"?","")</f>
        <v>Kirby Grove</v>
      </c>
      <c r="J575" t="str">
        <f>TRIM(Table1[[#This Row],[Remove Question Mark "?"]])</f>
        <v>Kirby Grove</v>
      </c>
      <c r="K575" t="str">
        <f>PROPER(Table1[[#This Row],[Leading, Multiple &amp; Trailing spaces]])</f>
        <v>Kirby Grove</v>
      </c>
      <c r="L575" t="str">
        <f t="shared" si="8"/>
        <v>Kirby Grove</v>
      </c>
      <c r="M575" t="s">
        <v>2162</v>
      </c>
    </row>
    <row r="576" spans="1:13" x14ac:dyDescent="0.3">
      <c r="A576">
        <v>573</v>
      </c>
      <c r="B576" t="s">
        <v>2163</v>
      </c>
      <c r="C576" t="s">
        <v>2164</v>
      </c>
      <c r="D576" t="s">
        <v>18</v>
      </c>
      <c r="E576" t="s">
        <v>2165</v>
      </c>
      <c r="F576" t="s">
        <v>684</v>
      </c>
      <c r="G576" t="str">
        <f xml:space="preserve"> PROPER(_xlfn.CONCAT(Table1[[#This Row],[Title]]," ",Table1[[#This Row],[First Name]]," ",Table1[[#This Row],[Last Name]]))</f>
        <v>Miss Synthia Goins</v>
      </c>
      <c r="H576" t="str">
        <f>SUBSTITUTE(Table1[[#This Row],[Street]],"Road"," Road")</f>
        <v>New North</v>
      </c>
      <c r="I576" t="str">
        <f>SUBSTITUTE(Table1[[#This Row],[Separate combined words ]],"?","")</f>
        <v>New North</v>
      </c>
      <c r="J576" t="str">
        <f>TRIM(Table1[[#This Row],[Remove Question Mark "?"]])</f>
        <v>New North</v>
      </c>
      <c r="K576" t="str">
        <f>PROPER(Table1[[#This Row],[Leading, Multiple &amp; Trailing spaces]])</f>
        <v>New North</v>
      </c>
      <c r="L576" t="str">
        <f t="shared" si="8"/>
        <v>New North</v>
      </c>
      <c r="M576" t="s">
        <v>2165</v>
      </c>
    </row>
    <row r="577" spans="1:13" x14ac:dyDescent="0.3">
      <c r="A577">
        <v>574</v>
      </c>
      <c r="B577" t="s">
        <v>2166</v>
      </c>
      <c r="C577" t="s">
        <v>2167</v>
      </c>
      <c r="D577" t="s">
        <v>18</v>
      </c>
      <c r="E577" t="s">
        <v>2168</v>
      </c>
      <c r="F577" t="s">
        <v>1366</v>
      </c>
      <c r="G577" t="str">
        <f xml:space="preserve"> PROPER(_xlfn.CONCAT(Table1[[#This Row],[Title]]," ",Table1[[#This Row],[First Name]]," ",Table1[[#This Row],[Last Name]]))</f>
        <v>Miss Margeret Prescott</v>
      </c>
      <c r="H577" t="str">
        <f>SUBSTITUTE(Table1[[#This Row],[Street]],"Road"," Road")</f>
        <v>Warrior Square</v>
      </c>
      <c r="I577" t="str">
        <f>SUBSTITUTE(Table1[[#This Row],[Separate combined words ]],"?","")</f>
        <v>Warrior Square</v>
      </c>
      <c r="J577" t="str">
        <f>TRIM(Table1[[#This Row],[Remove Question Mark "?"]])</f>
        <v>Warrior Square</v>
      </c>
      <c r="K577" t="str">
        <f>PROPER(Table1[[#This Row],[Leading, Multiple &amp; Trailing spaces]])</f>
        <v>Warrior Square</v>
      </c>
      <c r="L577" t="str">
        <f t="shared" si="8"/>
        <v>Warrior Square</v>
      </c>
      <c r="M577" t="s">
        <v>2168</v>
      </c>
    </row>
    <row r="578" spans="1:13" x14ac:dyDescent="0.3">
      <c r="A578">
        <v>575</v>
      </c>
      <c r="B578" t="s">
        <v>2169</v>
      </c>
      <c r="C578" t="s">
        <v>2170</v>
      </c>
      <c r="D578" t="s">
        <v>7</v>
      </c>
      <c r="E578" t="s">
        <v>2171</v>
      </c>
      <c r="F578" t="s">
        <v>2172</v>
      </c>
      <c r="G578" t="str">
        <f xml:space="preserve"> PROPER(_xlfn.CONCAT(Table1[[#This Row],[Title]]," ",Table1[[#This Row],[First Name]]," ",Table1[[#This Row],[Last Name]]))</f>
        <v>Mrs Ashley Fitzpatrick</v>
      </c>
      <c r="H578" t="str">
        <f>SUBSTITUTE(Table1[[#This Row],[Street]],"Road"," Road")</f>
        <v>Inca Drive</v>
      </c>
      <c r="I578" t="str">
        <f>SUBSTITUTE(Table1[[#This Row],[Separate combined words ]],"?","")</f>
        <v>Inca Drive</v>
      </c>
      <c r="J578" t="str">
        <f>TRIM(Table1[[#This Row],[Remove Question Mark "?"]])</f>
        <v>Inca Drive</v>
      </c>
      <c r="K578" t="str">
        <f>PROPER(Table1[[#This Row],[Leading, Multiple &amp; Trailing spaces]])</f>
        <v>Inca Drive</v>
      </c>
      <c r="L578" t="str">
        <f t="shared" si="8"/>
        <v>Inca Drive</v>
      </c>
      <c r="M578" t="s">
        <v>2171</v>
      </c>
    </row>
    <row r="579" spans="1:13" x14ac:dyDescent="0.3">
      <c r="A579">
        <v>576</v>
      </c>
      <c r="B579" t="s">
        <v>2173</v>
      </c>
      <c r="C579" t="s">
        <v>1005</v>
      </c>
      <c r="D579" t="s">
        <v>7</v>
      </c>
      <c r="E579" t="s">
        <v>2147</v>
      </c>
      <c r="F579" t="s">
        <v>2174</v>
      </c>
      <c r="G579" t="str">
        <f xml:space="preserve"> PROPER(_xlfn.CONCAT(Table1[[#This Row],[Title]]," ",Table1[[#This Row],[First Name]]," ",Table1[[#This Row],[Last Name]]))</f>
        <v>Mrs Lorene Hansen</v>
      </c>
      <c r="H579" t="str">
        <f>SUBSTITUTE(Table1[[#This Row],[Street]],"Road"," Road")</f>
        <v>Carpenters Place</v>
      </c>
      <c r="I579" t="str">
        <f>SUBSTITUTE(Table1[[#This Row],[Separate combined words ]],"?","")</f>
        <v>Carpenters Place</v>
      </c>
      <c r="J579" t="str">
        <f>TRIM(Table1[[#This Row],[Remove Question Mark "?"]])</f>
        <v>Carpenters Place</v>
      </c>
      <c r="K579" t="str">
        <f>PROPER(Table1[[#This Row],[Leading, Multiple &amp; Trailing spaces]])</f>
        <v>Carpenters Place</v>
      </c>
      <c r="L579" t="str">
        <f t="shared" si="8"/>
        <v>Carpenters Place</v>
      </c>
      <c r="M579" t="s">
        <v>2147</v>
      </c>
    </row>
    <row r="580" spans="1:13" x14ac:dyDescent="0.3">
      <c r="A580">
        <v>577</v>
      </c>
      <c r="B580" t="s">
        <v>2175</v>
      </c>
      <c r="C580" t="s">
        <v>385</v>
      </c>
      <c r="D580" t="s">
        <v>7</v>
      </c>
      <c r="E580" t="s">
        <v>2176</v>
      </c>
      <c r="F580" t="s">
        <v>2177</v>
      </c>
      <c r="G580" t="str">
        <f xml:space="preserve"> PROPER(_xlfn.CONCAT(Table1[[#This Row],[Title]]," ",Table1[[#This Row],[First Name]]," ",Table1[[#This Row],[Last Name]]))</f>
        <v>Mrs Cleopatra Brown</v>
      </c>
      <c r="H580" t="str">
        <f>SUBSTITUTE(Table1[[#This Row],[Street]],"Road"," Road")</f>
        <v>Southern  Road</v>
      </c>
      <c r="I580" t="str">
        <f>SUBSTITUTE(Table1[[#This Row],[Separate combined words ]],"?","")</f>
        <v>Southern  Road</v>
      </c>
      <c r="J580" t="str">
        <f>TRIM(Table1[[#This Row],[Remove Question Mark "?"]])</f>
        <v>Southern Road</v>
      </c>
      <c r="K580" t="str">
        <f>PROPER(Table1[[#This Row],[Leading, Multiple &amp; Trailing spaces]])</f>
        <v>Southern Road</v>
      </c>
      <c r="L580" t="str">
        <f t="shared" si="8"/>
        <v>Southern Road</v>
      </c>
      <c r="M580" t="s">
        <v>2176</v>
      </c>
    </row>
    <row r="581" spans="1:13" x14ac:dyDescent="0.3">
      <c r="A581">
        <v>578</v>
      </c>
      <c r="B581" t="s">
        <v>2178</v>
      </c>
      <c r="C581" t="s">
        <v>2179</v>
      </c>
      <c r="D581" t="s">
        <v>7</v>
      </c>
      <c r="E581" t="s">
        <v>2180</v>
      </c>
      <c r="F581" t="s">
        <v>2181</v>
      </c>
      <c r="G581" t="str">
        <f xml:space="preserve"> PROPER(_xlfn.CONCAT(Table1[[#This Row],[Title]]," ",Table1[[#This Row],[First Name]]," ",Table1[[#This Row],[Last Name]]))</f>
        <v>Mrs Emerita Patterson</v>
      </c>
      <c r="H581" t="str">
        <f>SUBSTITUTE(Table1[[#This Row],[Street]],"Road"," Road")</f>
        <v>Bones Cottages</v>
      </c>
      <c r="I581" t="str">
        <f>SUBSTITUTE(Table1[[#This Row],[Separate combined words ]],"?","")</f>
        <v>Bones Cottages</v>
      </c>
      <c r="J581" t="str">
        <f>TRIM(Table1[[#This Row],[Remove Question Mark "?"]])</f>
        <v>Bones Cottages</v>
      </c>
      <c r="K581" t="str">
        <f>PROPER(Table1[[#This Row],[Leading, Multiple &amp; Trailing spaces]])</f>
        <v>Bones Cottages</v>
      </c>
      <c r="L581" t="str">
        <f t="shared" ref="L581:L644" si="9">TRIM(PROPER(SUBSTITUTE(SUBSTITUTE((E581),"?",""),"Road"," Road")))</f>
        <v>Bones Cottages</v>
      </c>
      <c r="M581" t="s">
        <v>2180</v>
      </c>
    </row>
    <row r="582" spans="1:13" x14ac:dyDescent="0.3">
      <c r="A582">
        <v>579</v>
      </c>
      <c r="B582" t="s">
        <v>2182</v>
      </c>
      <c r="C582" t="s">
        <v>688</v>
      </c>
      <c r="D582" t="s">
        <v>7</v>
      </c>
      <c r="E582" t="s">
        <v>2183</v>
      </c>
      <c r="F582" t="s">
        <v>1233</v>
      </c>
      <c r="G582" t="str">
        <f xml:space="preserve"> PROPER(_xlfn.CONCAT(Table1[[#This Row],[Title]]," ",Table1[[#This Row],[First Name]]," ",Table1[[#This Row],[Last Name]]))</f>
        <v>Mrs Juliet Connolly</v>
      </c>
      <c r="H582" t="str">
        <f>SUBSTITUTE(Table1[[#This Row],[Street]],"Road"," Road")</f>
        <v>Tor Gardens</v>
      </c>
      <c r="I582" t="str">
        <f>SUBSTITUTE(Table1[[#This Row],[Separate combined words ]],"?","")</f>
        <v>Tor Gardens</v>
      </c>
      <c r="J582" t="str">
        <f>TRIM(Table1[[#This Row],[Remove Question Mark "?"]])</f>
        <v>Tor Gardens</v>
      </c>
      <c r="K582" t="str">
        <f>PROPER(Table1[[#This Row],[Leading, Multiple &amp; Trailing spaces]])</f>
        <v>Tor Gardens</v>
      </c>
      <c r="L582" t="str">
        <f t="shared" si="9"/>
        <v>Tor Gardens</v>
      </c>
      <c r="M582" t="s">
        <v>2183</v>
      </c>
    </row>
    <row r="583" spans="1:13" x14ac:dyDescent="0.3">
      <c r="A583">
        <v>580</v>
      </c>
      <c r="B583" t="s">
        <v>2184</v>
      </c>
      <c r="C583" t="s">
        <v>2185</v>
      </c>
      <c r="D583" t="s">
        <v>18</v>
      </c>
      <c r="E583" t="s">
        <v>2186</v>
      </c>
      <c r="F583" t="s">
        <v>1396</v>
      </c>
      <c r="G583" t="str">
        <f xml:space="preserve"> PROPER(_xlfn.CONCAT(Table1[[#This Row],[Title]]," ",Table1[[#This Row],[First Name]]," ",Table1[[#This Row],[Last Name]]))</f>
        <v>Miss Sherise Chapman</v>
      </c>
      <c r="H583" t="str">
        <f>SUBSTITUTE(Table1[[#This Row],[Street]],"Road"," Road")</f>
        <v>Frobisher Cres</v>
      </c>
      <c r="I583" t="str">
        <f>SUBSTITUTE(Table1[[#This Row],[Separate combined words ]],"?","")</f>
        <v>Frobisher Cres</v>
      </c>
      <c r="J583" t="str">
        <f>TRIM(Table1[[#This Row],[Remove Question Mark "?"]])</f>
        <v>Frobisher Cres</v>
      </c>
      <c r="K583" t="str">
        <f>PROPER(Table1[[#This Row],[Leading, Multiple &amp; Trailing spaces]])</f>
        <v>Frobisher Cres</v>
      </c>
      <c r="L583" t="str">
        <f t="shared" si="9"/>
        <v>Frobisher Cres</v>
      </c>
      <c r="M583" t="s">
        <v>2186</v>
      </c>
    </row>
    <row r="584" spans="1:13" x14ac:dyDescent="0.3">
      <c r="A584">
        <v>581</v>
      </c>
      <c r="B584" t="s">
        <v>2187</v>
      </c>
      <c r="C584" t="s">
        <v>1050</v>
      </c>
      <c r="D584" t="s">
        <v>7</v>
      </c>
      <c r="E584" t="s">
        <v>2188</v>
      </c>
      <c r="F584" t="s">
        <v>369</v>
      </c>
      <c r="G584" t="str">
        <f xml:space="preserve"> PROPER(_xlfn.CONCAT(Table1[[#This Row],[Title]]," ",Table1[[#This Row],[First Name]]," ",Table1[[#This Row],[Last Name]]))</f>
        <v>Mrs Angelo Mcclellan</v>
      </c>
      <c r="H584" t="str">
        <f>SUBSTITUTE(Table1[[#This Row],[Street]],"Road"," Road")</f>
        <v>Ludovick Walk</v>
      </c>
      <c r="I584" t="str">
        <f>SUBSTITUTE(Table1[[#This Row],[Separate combined words ]],"?","")</f>
        <v>Ludovick Walk</v>
      </c>
      <c r="J584" t="str">
        <f>TRIM(Table1[[#This Row],[Remove Question Mark "?"]])</f>
        <v>Ludovick Walk</v>
      </c>
      <c r="K584" t="str">
        <f>PROPER(Table1[[#This Row],[Leading, Multiple &amp; Trailing spaces]])</f>
        <v>Ludovick Walk</v>
      </c>
      <c r="L584" t="str">
        <f t="shared" si="9"/>
        <v>Ludovick Walk</v>
      </c>
      <c r="M584" t="s">
        <v>2188</v>
      </c>
    </row>
    <row r="585" spans="1:13" x14ac:dyDescent="0.3">
      <c r="A585">
        <v>582</v>
      </c>
      <c r="B585" t="s">
        <v>2189</v>
      </c>
      <c r="C585" t="s">
        <v>2190</v>
      </c>
      <c r="D585" t="s">
        <v>18</v>
      </c>
      <c r="E585" t="s">
        <v>2191</v>
      </c>
      <c r="F585" t="s">
        <v>697</v>
      </c>
      <c r="G585" t="str">
        <f xml:space="preserve"> PROPER(_xlfn.CONCAT(Table1[[#This Row],[Title]]," ",Table1[[#This Row],[First Name]]," ",Table1[[#This Row],[Last Name]]))</f>
        <v>Miss Melina Givens</v>
      </c>
      <c r="H585" t="str">
        <f>SUBSTITUTE(Table1[[#This Row],[Street]],"Road"," Road")</f>
        <v>Keats Parade</v>
      </c>
      <c r="I585" t="str">
        <f>SUBSTITUTE(Table1[[#This Row],[Separate combined words ]],"?","")</f>
        <v>Keats Parade</v>
      </c>
      <c r="J585" t="str">
        <f>TRIM(Table1[[#This Row],[Remove Question Mark "?"]])</f>
        <v>Keats Parade</v>
      </c>
      <c r="K585" t="str">
        <f>PROPER(Table1[[#This Row],[Leading, Multiple &amp; Trailing spaces]])</f>
        <v>Keats Parade</v>
      </c>
      <c r="L585" t="str">
        <f t="shared" si="9"/>
        <v>Keats Parade</v>
      </c>
      <c r="M585" t="s">
        <v>2191</v>
      </c>
    </row>
    <row r="586" spans="1:13" x14ac:dyDescent="0.3">
      <c r="A586">
        <v>583</v>
      </c>
      <c r="B586" t="s">
        <v>2192</v>
      </c>
      <c r="C586" t="s">
        <v>2193</v>
      </c>
      <c r="D586" t="s">
        <v>7</v>
      </c>
      <c r="E586" t="s">
        <v>2194</v>
      </c>
      <c r="F586" t="s">
        <v>1052</v>
      </c>
      <c r="G586" t="str">
        <f xml:space="preserve"> PROPER(_xlfn.CONCAT(Table1[[#This Row],[Title]]," ",Table1[[#This Row],[First Name]]," ",Table1[[#This Row],[Last Name]]))</f>
        <v>Mrs Cassy Daniels</v>
      </c>
      <c r="H586" t="str">
        <f>SUBSTITUTE(Table1[[#This Row],[Street]],"Road"," Road")</f>
        <v>Seyssel Street</v>
      </c>
      <c r="I586" t="str">
        <f>SUBSTITUTE(Table1[[#This Row],[Separate combined words ]],"?","")</f>
        <v>Seyssel Street</v>
      </c>
      <c r="J586" t="str">
        <f>TRIM(Table1[[#This Row],[Remove Question Mark "?"]])</f>
        <v>Seyssel Street</v>
      </c>
      <c r="K586" t="str">
        <f>PROPER(Table1[[#This Row],[Leading, Multiple &amp; Trailing spaces]])</f>
        <v>Seyssel Street</v>
      </c>
      <c r="L586" t="str">
        <f t="shared" si="9"/>
        <v>Seyssel Street</v>
      </c>
      <c r="M586" t="s">
        <v>2194</v>
      </c>
    </row>
    <row r="587" spans="1:13" x14ac:dyDescent="0.3">
      <c r="A587">
        <v>584</v>
      </c>
      <c r="B587" t="s">
        <v>2195</v>
      </c>
      <c r="C587" t="s">
        <v>2196</v>
      </c>
      <c r="D587" t="s">
        <v>7</v>
      </c>
      <c r="E587" t="s">
        <v>2197</v>
      </c>
      <c r="F587" t="s">
        <v>1128</v>
      </c>
      <c r="G587" t="str">
        <f xml:space="preserve"> PROPER(_xlfn.CONCAT(Table1[[#This Row],[Title]]," ",Table1[[#This Row],[First Name]]," ",Table1[[#This Row],[Last Name]]))</f>
        <v>Mrs Shin Fernandez</v>
      </c>
      <c r="H587" t="str">
        <f>SUBSTITUTE(Table1[[#This Row],[Street]],"Road"," Road")</f>
        <v>Marylebone Mews</v>
      </c>
      <c r="I587" t="str">
        <f>SUBSTITUTE(Table1[[#This Row],[Separate combined words ]],"?","")</f>
        <v>Marylebone Mews</v>
      </c>
      <c r="J587" t="str">
        <f>TRIM(Table1[[#This Row],[Remove Question Mark "?"]])</f>
        <v>Marylebone Mews</v>
      </c>
      <c r="K587" t="str">
        <f>PROPER(Table1[[#This Row],[Leading, Multiple &amp; Trailing spaces]])</f>
        <v>Marylebone Mews</v>
      </c>
      <c r="L587" t="str">
        <f t="shared" si="9"/>
        <v>Marylebone Mews</v>
      </c>
      <c r="M587" t="s">
        <v>2197</v>
      </c>
    </row>
    <row r="588" spans="1:13" x14ac:dyDescent="0.3">
      <c r="A588">
        <v>585</v>
      </c>
      <c r="B588" t="s">
        <v>449</v>
      </c>
      <c r="C588" t="s">
        <v>2198</v>
      </c>
      <c r="D588" t="s">
        <v>18</v>
      </c>
      <c r="E588" t="s">
        <v>2199</v>
      </c>
      <c r="F588" t="s">
        <v>1605</v>
      </c>
      <c r="G588" t="str">
        <f xml:space="preserve"> PROPER(_xlfn.CONCAT(Table1[[#This Row],[Title]]," ",Table1[[#This Row],[First Name]]," ",Table1[[#This Row],[Last Name]]))</f>
        <v>Miss Porsche Norris</v>
      </c>
      <c r="H588" t="str">
        <f>SUBSTITUTE(Table1[[#This Row],[Street]],"Road"," Road")</f>
        <v>Eclipse  Road</v>
      </c>
      <c r="I588" t="str">
        <f>SUBSTITUTE(Table1[[#This Row],[Separate combined words ]],"?","")</f>
        <v>Eclipse  Road</v>
      </c>
      <c r="J588" t="str">
        <f>TRIM(Table1[[#This Row],[Remove Question Mark "?"]])</f>
        <v>Eclipse Road</v>
      </c>
      <c r="K588" t="str">
        <f>PROPER(Table1[[#This Row],[Leading, Multiple &amp; Trailing spaces]])</f>
        <v>Eclipse Road</v>
      </c>
      <c r="L588" t="str">
        <f t="shared" si="9"/>
        <v>Eclipse Road</v>
      </c>
      <c r="M588" t="s">
        <v>2199</v>
      </c>
    </row>
    <row r="589" spans="1:13" x14ac:dyDescent="0.3">
      <c r="A589">
        <v>586</v>
      </c>
      <c r="B589" t="s">
        <v>187</v>
      </c>
      <c r="C589" t="s">
        <v>2200</v>
      </c>
      <c r="D589" t="s">
        <v>18</v>
      </c>
      <c r="E589" t="s">
        <v>2201</v>
      </c>
      <c r="F589" t="s">
        <v>2202</v>
      </c>
      <c r="G589" t="str">
        <f xml:space="preserve"> PROPER(_xlfn.CONCAT(Table1[[#This Row],[Title]]," ",Table1[[#This Row],[First Name]]," ",Table1[[#This Row],[Last Name]]))</f>
        <v>Miss Chung Babcock</v>
      </c>
      <c r="H589" t="str">
        <f>SUBSTITUTE(Table1[[#This Row],[Street]],"Road"," Road")</f>
        <v>Aylesbury Close</v>
      </c>
      <c r="I589" t="str">
        <f>SUBSTITUTE(Table1[[#This Row],[Separate combined words ]],"?","")</f>
        <v>Aylesbury Close</v>
      </c>
      <c r="J589" t="str">
        <f>TRIM(Table1[[#This Row],[Remove Question Mark "?"]])</f>
        <v>Aylesbury Close</v>
      </c>
      <c r="K589" t="str">
        <f>PROPER(Table1[[#This Row],[Leading, Multiple &amp; Trailing spaces]])</f>
        <v>Aylesbury Close</v>
      </c>
      <c r="L589" t="str">
        <f t="shared" si="9"/>
        <v>Aylesbury Close</v>
      </c>
      <c r="M589" t="s">
        <v>2201</v>
      </c>
    </row>
    <row r="590" spans="1:13" x14ac:dyDescent="0.3">
      <c r="A590">
        <v>587</v>
      </c>
      <c r="B590" t="s">
        <v>1022</v>
      </c>
      <c r="C590" t="s">
        <v>232</v>
      </c>
      <c r="D590" t="s">
        <v>18</v>
      </c>
      <c r="E590" t="s">
        <v>2203</v>
      </c>
      <c r="F590" t="s">
        <v>1274</v>
      </c>
      <c r="G590" t="str">
        <f xml:space="preserve"> PROPER(_xlfn.CONCAT(Table1[[#This Row],[Title]]," ",Table1[[#This Row],[First Name]]," ",Table1[[#This Row],[Last Name]]))</f>
        <v>Miss Macy Byrd</v>
      </c>
      <c r="H590" t="str">
        <f>SUBSTITUTE(Table1[[#This Row],[Street]],"Road"," Road")</f>
        <v>Hill Street</v>
      </c>
      <c r="I590" t="str">
        <f>SUBSTITUTE(Table1[[#This Row],[Separate combined words ]],"?","")</f>
        <v>Hill Street</v>
      </c>
      <c r="J590" t="str">
        <f>TRIM(Table1[[#This Row],[Remove Question Mark "?"]])</f>
        <v>Hill Street</v>
      </c>
      <c r="K590" t="str">
        <f>PROPER(Table1[[#This Row],[Leading, Multiple &amp; Trailing spaces]])</f>
        <v>Hill Street</v>
      </c>
      <c r="L590" t="str">
        <f t="shared" si="9"/>
        <v>Hill Street</v>
      </c>
      <c r="M590" t="s">
        <v>2203</v>
      </c>
    </row>
    <row r="591" spans="1:13" x14ac:dyDescent="0.3">
      <c r="A591">
        <v>588</v>
      </c>
      <c r="B591" t="s">
        <v>2204</v>
      </c>
      <c r="C591" t="s">
        <v>2205</v>
      </c>
      <c r="D591" t="s">
        <v>7</v>
      </c>
      <c r="E591" t="s">
        <v>2206</v>
      </c>
      <c r="F591" t="s">
        <v>559</v>
      </c>
      <c r="G591" t="str">
        <f xml:space="preserve"> PROPER(_xlfn.CONCAT(Table1[[#This Row],[Title]]," ",Table1[[#This Row],[First Name]]," ",Table1[[#This Row],[Last Name]]))</f>
        <v>Mrs Shanel Garza</v>
      </c>
      <c r="H591" t="str">
        <f>SUBSTITUTE(Table1[[#This Row],[Street]],"Road"," Road")</f>
        <v>Marley Close</v>
      </c>
      <c r="I591" t="str">
        <f>SUBSTITUTE(Table1[[#This Row],[Separate combined words ]],"?","")</f>
        <v>Marley Close</v>
      </c>
      <c r="J591" t="str">
        <f>TRIM(Table1[[#This Row],[Remove Question Mark "?"]])</f>
        <v>Marley Close</v>
      </c>
      <c r="K591" t="str">
        <f>PROPER(Table1[[#This Row],[Leading, Multiple &amp; Trailing spaces]])</f>
        <v>Marley Close</v>
      </c>
      <c r="L591" t="str">
        <f t="shared" si="9"/>
        <v>Marley Close</v>
      </c>
      <c r="M591" t="s">
        <v>2206</v>
      </c>
    </row>
    <row r="592" spans="1:13" x14ac:dyDescent="0.3">
      <c r="A592">
        <v>589</v>
      </c>
      <c r="B592" t="s">
        <v>2207</v>
      </c>
      <c r="C592" t="s">
        <v>2208</v>
      </c>
      <c r="D592" t="s">
        <v>7</v>
      </c>
      <c r="E592" t="s">
        <v>2209</v>
      </c>
      <c r="F592" t="s">
        <v>2210</v>
      </c>
      <c r="G592" t="str">
        <f xml:space="preserve"> PROPER(_xlfn.CONCAT(Table1[[#This Row],[Title]]," ",Table1[[#This Row],[First Name]]," ",Table1[[#This Row],[Last Name]]))</f>
        <v>Mrs Lacresha Avery</v>
      </c>
      <c r="H592" t="str">
        <f>SUBSTITUTE(Table1[[#This Row],[Street]],"Road"," Road")</f>
        <v>Kentmere  Road</v>
      </c>
      <c r="I592" t="str">
        <f>SUBSTITUTE(Table1[[#This Row],[Separate combined words ]],"?","")</f>
        <v>Kentmere  Road</v>
      </c>
      <c r="J592" t="str">
        <f>TRIM(Table1[[#This Row],[Remove Question Mark "?"]])</f>
        <v>Kentmere Road</v>
      </c>
      <c r="K592" t="str">
        <f>PROPER(Table1[[#This Row],[Leading, Multiple &amp; Trailing spaces]])</f>
        <v>Kentmere Road</v>
      </c>
      <c r="L592" t="str">
        <f t="shared" si="9"/>
        <v>Kentmere Road</v>
      </c>
      <c r="M592" t="s">
        <v>2209</v>
      </c>
    </row>
    <row r="593" spans="1:13" x14ac:dyDescent="0.3">
      <c r="A593">
        <v>590</v>
      </c>
      <c r="B593" t="s">
        <v>2211</v>
      </c>
      <c r="C593" t="s">
        <v>2212</v>
      </c>
      <c r="D593" t="s">
        <v>318</v>
      </c>
      <c r="E593" t="s">
        <v>2213</v>
      </c>
      <c r="F593" t="s">
        <v>195</v>
      </c>
      <c r="G593" t="str">
        <f xml:space="preserve"> PROPER(_xlfn.CONCAT(Table1[[#This Row],[Title]]," ",Table1[[#This Row],[First Name]]," ",Table1[[#This Row],[Last Name]]))</f>
        <v>Dr Kathleen Blackmon</v>
      </c>
      <c r="H593" t="str">
        <f>SUBSTITUTE(Table1[[#This Row],[Street]],"Road"," Road")</f>
        <v>Morden  Road</v>
      </c>
      <c r="I593" t="str">
        <f>SUBSTITUTE(Table1[[#This Row],[Separate combined words ]],"?","")</f>
        <v>Morden  Road</v>
      </c>
      <c r="J593" t="str">
        <f>TRIM(Table1[[#This Row],[Remove Question Mark "?"]])</f>
        <v>Morden Road</v>
      </c>
      <c r="K593" t="str">
        <f>PROPER(Table1[[#This Row],[Leading, Multiple &amp; Trailing spaces]])</f>
        <v>Morden Road</v>
      </c>
      <c r="L593" t="str">
        <f t="shared" si="9"/>
        <v>Morden Road</v>
      </c>
      <c r="M593" t="s">
        <v>2213</v>
      </c>
    </row>
    <row r="594" spans="1:13" x14ac:dyDescent="0.3">
      <c r="A594">
        <v>591</v>
      </c>
      <c r="B594" t="s">
        <v>2064</v>
      </c>
      <c r="C594" t="s">
        <v>2214</v>
      </c>
      <c r="D594" t="s">
        <v>7</v>
      </c>
      <c r="E594" t="s">
        <v>2215</v>
      </c>
      <c r="F594" t="s">
        <v>2216</v>
      </c>
      <c r="G594" t="str">
        <f xml:space="preserve"> PROPER(_xlfn.CONCAT(Table1[[#This Row],[Title]]," ",Table1[[#This Row],[First Name]]," ",Table1[[#This Row],[Last Name]]))</f>
        <v>Mrs Janella Curtis</v>
      </c>
      <c r="H594" t="str">
        <f>SUBSTITUTE(Table1[[#This Row],[Street]],"Road"," Road")</f>
        <v>Well Cottage</v>
      </c>
      <c r="I594" t="str">
        <f>SUBSTITUTE(Table1[[#This Row],[Separate combined words ]],"?","")</f>
        <v>Well Cottage</v>
      </c>
      <c r="J594" t="str">
        <f>TRIM(Table1[[#This Row],[Remove Question Mark "?"]])</f>
        <v>Well Cottage</v>
      </c>
      <c r="K594" t="str">
        <f>PROPER(Table1[[#This Row],[Leading, Multiple &amp; Trailing spaces]])</f>
        <v>Well Cottage</v>
      </c>
      <c r="L594" t="str">
        <f t="shared" si="9"/>
        <v>Well Cottage</v>
      </c>
      <c r="M594" t="s">
        <v>2215</v>
      </c>
    </row>
    <row r="595" spans="1:13" x14ac:dyDescent="0.3">
      <c r="A595">
        <v>592</v>
      </c>
      <c r="B595" t="s">
        <v>2217</v>
      </c>
      <c r="C595" t="s">
        <v>2218</v>
      </c>
      <c r="D595" t="s">
        <v>7</v>
      </c>
      <c r="E595" t="s">
        <v>2219</v>
      </c>
      <c r="F595" t="s">
        <v>1803</v>
      </c>
      <c r="G595" t="str">
        <f xml:space="preserve"> PROPER(_xlfn.CONCAT(Table1[[#This Row],[Title]]," ",Table1[[#This Row],[First Name]]," ",Table1[[#This Row],[Last Name]]))</f>
        <v>Mrs Estefana Frank</v>
      </c>
      <c r="H595" t="str">
        <f>SUBSTITUTE(Table1[[#This Row],[Street]],"Road"," Road")</f>
        <v>Rhodesia  Road</v>
      </c>
      <c r="I595" t="str">
        <f>SUBSTITUTE(Table1[[#This Row],[Separate combined words ]],"?","")</f>
        <v>Rhodesia  Road</v>
      </c>
      <c r="J595" t="str">
        <f>TRIM(Table1[[#This Row],[Remove Question Mark "?"]])</f>
        <v>Rhodesia Road</v>
      </c>
      <c r="K595" t="str">
        <f>PROPER(Table1[[#This Row],[Leading, Multiple &amp; Trailing spaces]])</f>
        <v>Rhodesia Road</v>
      </c>
      <c r="L595" t="str">
        <f t="shared" si="9"/>
        <v>Rhodesia Road</v>
      </c>
      <c r="M595" t="s">
        <v>2219</v>
      </c>
    </row>
    <row r="596" spans="1:13" x14ac:dyDescent="0.3">
      <c r="A596">
        <v>593</v>
      </c>
      <c r="B596" t="s">
        <v>465</v>
      </c>
      <c r="C596" t="s">
        <v>2220</v>
      </c>
      <c r="D596" t="s">
        <v>18</v>
      </c>
      <c r="E596" t="s">
        <v>2221</v>
      </c>
      <c r="F596" t="s">
        <v>1609</v>
      </c>
      <c r="G596" t="str">
        <f xml:space="preserve"> PROPER(_xlfn.CONCAT(Table1[[#This Row],[Title]]," ",Table1[[#This Row],[First Name]]," ",Table1[[#This Row],[Last Name]]))</f>
        <v>Miss Rebekah Holman</v>
      </c>
      <c r="H596" t="str">
        <f>SUBSTITUTE(Table1[[#This Row],[Street]],"Road"," Road")</f>
        <v>Dacre  Road</v>
      </c>
      <c r="I596" t="str">
        <f>SUBSTITUTE(Table1[[#This Row],[Separate combined words ]],"?","")</f>
        <v>Dacre  Road</v>
      </c>
      <c r="J596" t="str">
        <f>TRIM(Table1[[#This Row],[Remove Question Mark "?"]])</f>
        <v>Dacre Road</v>
      </c>
      <c r="K596" t="str">
        <f>PROPER(Table1[[#This Row],[Leading, Multiple &amp; Trailing spaces]])</f>
        <v>Dacre Road</v>
      </c>
      <c r="L596" t="str">
        <f t="shared" si="9"/>
        <v>Dacre Road</v>
      </c>
      <c r="M596" t="s">
        <v>2221</v>
      </c>
    </row>
    <row r="597" spans="1:13" x14ac:dyDescent="0.3">
      <c r="A597">
        <v>594</v>
      </c>
      <c r="B597" t="s">
        <v>2222</v>
      </c>
      <c r="C597" t="s">
        <v>1013</v>
      </c>
      <c r="D597" t="s">
        <v>7</v>
      </c>
      <c r="E597" t="s">
        <v>2223</v>
      </c>
      <c r="F597" t="s">
        <v>1605</v>
      </c>
      <c r="G597" t="str">
        <f xml:space="preserve"> PROPER(_xlfn.CONCAT(Table1[[#This Row],[Title]]," ",Table1[[#This Row],[First Name]]," ",Table1[[#This Row],[Last Name]]))</f>
        <v>Mrs Sina Bullard</v>
      </c>
      <c r="H597" t="str">
        <f>SUBSTITUTE(Table1[[#This Row],[Street]],"Road"," Road")</f>
        <v>Lorrimore Terrace</v>
      </c>
      <c r="I597" t="str">
        <f>SUBSTITUTE(Table1[[#This Row],[Separate combined words ]],"?","")</f>
        <v>Lorrimore Terrace</v>
      </c>
      <c r="J597" t="str">
        <f>TRIM(Table1[[#This Row],[Remove Question Mark "?"]])</f>
        <v>Lorrimore Terrace</v>
      </c>
      <c r="K597" t="str">
        <f>PROPER(Table1[[#This Row],[Leading, Multiple &amp; Trailing spaces]])</f>
        <v>Lorrimore Terrace</v>
      </c>
      <c r="L597" t="str">
        <f t="shared" si="9"/>
        <v>Lorrimore Terrace</v>
      </c>
      <c r="M597" t="s">
        <v>2223</v>
      </c>
    </row>
    <row r="598" spans="1:13" x14ac:dyDescent="0.3">
      <c r="A598">
        <v>595</v>
      </c>
      <c r="B598" t="s">
        <v>2224</v>
      </c>
      <c r="C598" t="s">
        <v>2225</v>
      </c>
      <c r="D598" t="s">
        <v>18</v>
      </c>
      <c r="E598" t="s">
        <v>2226</v>
      </c>
      <c r="F598" t="s">
        <v>2227</v>
      </c>
      <c r="G598" t="str">
        <f xml:space="preserve"> PROPER(_xlfn.CONCAT(Table1[[#This Row],[Title]]," ",Table1[[#This Row],[First Name]]," ",Table1[[#This Row],[Last Name]]))</f>
        <v>Miss Carly Boone</v>
      </c>
      <c r="H598" t="str">
        <f>SUBSTITUTE(Table1[[#This Row],[Street]],"Road"," Road")</f>
        <v>Portbury Close</v>
      </c>
      <c r="I598" t="str">
        <f>SUBSTITUTE(Table1[[#This Row],[Separate combined words ]],"?","")</f>
        <v>Portbury Close</v>
      </c>
      <c r="J598" t="str">
        <f>TRIM(Table1[[#This Row],[Remove Question Mark "?"]])</f>
        <v>Portbury Close</v>
      </c>
      <c r="K598" t="str">
        <f>PROPER(Table1[[#This Row],[Leading, Multiple &amp; Trailing spaces]])</f>
        <v>Portbury Close</v>
      </c>
      <c r="L598" t="str">
        <f t="shared" si="9"/>
        <v>Portbury Close</v>
      </c>
      <c r="M598" t="s">
        <v>2226</v>
      </c>
    </row>
    <row r="599" spans="1:13" x14ac:dyDescent="0.3">
      <c r="A599">
        <v>596</v>
      </c>
      <c r="B599" t="s">
        <v>2228</v>
      </c>
      <c r="C599" t="s">
        <v>950</v>
      </c>
      <c r="D599" t="s">
        <v>18</v>
      </c>
      <c r="E599" t="s">
        <v>2229</v>
      </c>
      <c r="F599" t="s">
        <v>907</v>
      </c>
      <c r="G599" t="str">
        <f xml:space="preserve"> PROPER(_xlfn.CONCAT(Table1[[#This Row],[Title]]," ",Table1[[#This Row],[First Name]]," ",Table1[[#This Row],[Last Name]]))</f>
        <v>Miss Katelynn Mcgowan</v>
      </c>
      <c r="H599" t="str">
        <f>SUBSTITUTE(Table1[[#This Row],[Street]],"Road"," Road")</f>
        <v>Pegwell Cottages</v>
      </c>
      <c r="I599" t="str">
        <f>SUBSTITUTE(Table1[[#This Row],[Separate combined words ]],"?","")</f>
        <v>Pegwell Cottages</v>
      </c>
      <c r="J599" t="str">
        <f>TRIM(Table1[[#This Row],[Remove Question Mark "?"]])</f>
        <v>Pegwell Cottages</v>
      </c>
      <c r="K599" t="str">
        <f>PROPER(Table1[[#This Row],[Leading, Multiple &amp; Trailing spaces]])</f>
        <v>Pegwell Cottages</v>
      </c>
      <c r="L599" t="str">
        <f t="shared" si="9"/>
        <v>Pegwell Cottages</v>
      </c>
      <c r="M599" t="s">
        <v>2229</v>
      </c>
    </row>
    <row r="600" spans="1:13" x14ac:dyDescent="0.3">
      <c r="A600">
        <v>597</v>
      </c>
      <c r="B600" t="s">
        <v>2230</v>
      </c>
      <c r="C600" t="s">
        <v>2231</v>
      </c>
      <c r="D600" t="s">
        <v>7</v>
      </c>
      <c r="E600" t="s">
        <v>2232</v>
      </c>
      <c r="F600" t="s">
        <v>1937</v>
      </c>
      <c r="G600" t="str">
        <f xml:space="preserve"> PROPER(_xlfn.CONCAT(Table1[[#This Row],[Title]]," ",Table1[[#This Row],[First Name]]," ",Table1[[#This Row],[Last Name]]))</f>
        <v>Mrs Susan Brandon</v>
      </c>
      <c r="H600" t="str">
        <f>SUBSTITUTE(Table1[[#This Row],[Street]],"Road"," Road")</f>
        <v>Penny Fields</v>
      </c>
      <c r="I600" t="str">
        <f>SUBSTITUTE(Table1[[#This Row],[Separate combined words ]],"?","")</f>
        <v>Penny Fields</v>
      </c>
      <c r="J600" t="str">
        <f>TRIM(Table1[[#This Row],[Remove Question Mark "?"]])</f>
        <v>Penny Fields</v>
      </c>
      <c r="K600" t="str">
        <f>PROPER(Table1[[#This Row],[Leading, Multiple &amp; Trailing spaces]])</f>
        <v>Penny Fields</v>
      </c>
      <c r="L600" t="str">
        <f t="shared" si="9"/>
        <v>Penny Fields</v>
      </c>
      <c r="M600" t="s">
        <v>2232</v>
      </c>
    </row>
    <row r="601" spans="1:13" x14ac:dyDescent="0.3">
      <c r="A601">
        <v>598</v>
      </c>
      <c r="B601" t="s">
        <v>193</v>
      </c>
      <c r="C601" t="s">
        <v>2233</v>
      </c>
      <c r="D601" t="s">
        <v>7</v>
      </c>
      <c r="E601" t="s">
        <v>2234</v>
      </c>
      <c r="F601" t="s">
        <v>2235</v>
      </c>
      <c r="G601" t="str">
        <f xml:space="preserve"> PROPER(_xlfn.CONCAT(Table1[[#This Row],[Title]]," ",Table1[[#This Row],[First Name]]," ",Table1[[#This Row],[Last Name]]))</f>
        <v>Mrs Pearly Tolbert</v>
      </c>
      <c r="H601" t="str">
        <f>SUBSTITUTE(Table1[[#This Row],[Street]],"Road"," Road")</f>
        <v>Brunswick Mews</v>
      </c>
      <c r="I601" t="str">
        <f>SUBSTITUTE(Table1[[#This Row],[Separate combined words ]],"?","")</f>
        <v>Brunswick Mews</v>
      </c>
      <c r="J601" t="str">
        <f>TRIM(Table1[[#This Row],[Remove Question Mark "?"]])</f>
        <v>Brunswick Mews</v>
      </c>
      <c r="K601" t="str">
        <f>PROPER(Table1[[#This Row],[Leading, Multiple &amp; Trailing spaces]])</f>
        <v>Brunswick Mews</v>
      </c>
      <c r="L601" t="str">
        <f t="shared" si="9"/>
        <v>Brunswick Mews</v>
      </c>
      <c r="M601" t="s">
        <v>2234</v>
      </c>
    </row>
    <row r="602" spans="1:13" x14ac:dyDescent="0.3">
      <c r="A602">
        <v>599</v>
      </c>
      <c r="B602" t="s">
        <v>2236</v>
      </c>
      <c r="C602" t="s">
        <v>431</v>
      </c>
      <c r="D602" t="s">
        <v>18</v>
      </c>
      <c r="E602" t="s">
        <v>2237</v>
      </c>
      <c r="F602" t="s">
        <v>897</v>
      </c>
      <c r="G602" t="str">
        <f xml:space="preserve"> PROPER(_xlfn.CONCAT(Table1[[#This Row],[Title]]," ",Table1[[#This Row],[First Name]]," ",Table1[[#This Row],[Last Name]]))</f>
        <v>Miss Maryrose Jaramillo</v>
      </c>
      <c r="H602" t="str">
        <f>SUBSTITUTE(Table1[[#This Row],[Street]],"Road"," Road")</f>
        <v>Agnew Street</v>
      </c>
      <c r="I602" t="str">
        <f>SUBSTITUTE(Table1[[#This Row],[Separate combined words ]],"?","")</f>
        <v>Agnew Street</v>
      </c>
      <c r="J602" t="str">
        <f>TRIM(Table1[[#This Row],[Remove Question Mark "?"]])</f>
        <v>Agnew Street</v>
      </c>
      <c r="K602" t="str">
        <f>PROPER(Table1[[#This Row],[Leading, Multiple &amp; Trailing spaces]])</f>
        <v>Agnew Street</v>
      </c>
      <c r="L602" t="str">
        <f t="shared" si="9"/>
        <v>Agnew Street</v>
      </c>
      <c r="M602" t="s">
        <v>2237</v>
      </c>
    </row>
    <row r="603" spans="1:13" x14ac:dyDescent="0.3">
      <c r="A603">
        <v>600</v>
      </c>
      <c r="B603" t="s">
        <v>581</v>
      </c>
      <c r="C603" t="s">
        <v>2238</v>
      </c>
      <c r="D603" t="s">
        <v>18</v>
      </c>
      <c r="E603" t="s">
        <v>2239</v>
      </c>
      <c r="F603" t="s">
        <v>2240</v>
      </c>
      <c r="G603" t="str">
        <f xml:space="preserve"> PROPER(_xlfn.CONCAT(Table1[[#This Row],[Title]]," ",Table1[[#This Row],[First Name]]," ",Table1[[#This Row],[Last Name]]))</f>
        <v>Miss Yahaira Vickers</v>
      </c>
      <c r="H603" t="str">
        <f>SUBSTITUTE(Table1[[#This Row],[Street]],"Road"," Road")</f>
        <v>Randon Street</v>
      </c>
      <c r="I603" t="str">
        <f>SUBSTITUTE(Table1[[#This Row],[Separate combined words ]],"?","")</f>
        <v>Randon Street</v>
      </c>
      <c r="J603" t="str">
        <f>TRIM(Table1[[#This Row],[Remove Question Mark "?"]])</f>
        <v>Randon Street</v>
      </c>
      <c r="K603" t="str">
        <f>PROPER(Table1[[#This Row],[Leading, Multiple &amp; Trailing spaces]])</f>
        <v>Randon Street</v>
      </c>
      <c r="L603" t="str">
        <f t="shared" si="9"/>
        <v>Randon Street</v>
      </c>
      <c r="M603" t="s">
        <v>2239</v>
      </c>
    </row>
    <row r="604" spans="1:13" x14ac:dyDescent="0.3">
      <c r="A604">
        <v>601</v>
      </c>
      <c r="B604" t="s">
        <v>2241</v>
      </c>
      <c r="C604" t="s">
        <v>2242</v>
      </c>
      <c r="D604" t="s">
        <v>18</v>
      </c>
      <c r="E604" t="s">
        <v>2243</v>
      </c>
      <c r="F604" t="s">
        <v>2244</v>
      </c>
      <c r="G604" t="str">
        <f xml:space="preserve"> PROPER(_xlfn.CONCAT(Table1[[#This Row],[Title]]," ",Table1[[#This Row],[First Name]]," ",Table1[[#This Row],[Last Name]]))</f>
        <v>Miss Trinh Wells</v>
      </c>
      <c r="H604" t="str">
        <f>SUBSTITUTE(Table1[[#This Row],[Street]],"Road"," Road")</f>
        <v>Macauley Mews</v>
      </c>
      <c r="I604" t="str">
        <f>SUBSTITUTE(Table1[[#This Row],[Separate combined words ]],"?","")</f>
        <v>Macauley Mews</v>
      </c>
      <c r="J604" t="str">
        <f>TRIM(Table1[[#This Row],[Remove Question Mark "?"]])</f>
        <v>Macauley Mews</v>
      </c>
      <c r="K604" t="str">
        <f>PROPER(Table1[[#This Row],[Leading, Multiple &amp; Trailing spaces]])</f>
        <v>Macauley Mews</v>
      </c>
      <c r="L604" t="str">
        <f t="shared" si="9"/>
        <v>Macauley Mews</v>
      </c>
      <c r="M604" t="s">
        <v>2243</v>
      </c>
    </row>
    <row r="605" spans="1:13" x14ac:dyDescent="0.3">
      <c r="A605">
        <v>602</v>
      </c>
      <c r="B605" t="s">
        <v>2245</v>
      </c>
      <c r="C605" t="s">
        <v>1185</v>
      </c>
      <c r="D605" t="s">
        <v>18</v>
      </c>
      <c r="E605" t="s">
        <v>2246</v>
      </c>
      <c r="F605" t="s">
        <v>485</v>
      </c>
      <c r="G605" t="str">
        <f xml:space="preserve"> PROPER(_xlfn.CONCAT(Table1[[#This Row],[Title]]," ",Table1[[#This Row],[First Name]]," ",Table1[[#This Row],[Last Name]]))</f>
        <v>Miss Kathyrn Henley</v>
      </c>
      <c r="H605" t="str">
        <f>SUBSTITUTE(Table1[[#This Row],[Street]],"Road"," Road")</f>
        <v>Becklow  Road</v>
      </c>
      <c r="I605" t="str">
        <f>SUBSTITUTE(Table1[[#This Row],[Separate combined words ]],"?","")</f>
        <v>Becklow  Road</v>
      </c>
      <c r="J605" t="str">
        <f>TRIM(Table1[[#This Row],[Remove Question Mark "?"]])</f>
        <v>Becklow Road</v>
      </c>
      <c r="K605" t="str">
        <f>PROPER(Table1[[#This Row],[Leading, Multiple &amp; Trailing spaces]])</f>
        <v>Becklow Road</v>
      </c>
      <c r="L605" t="str">
        <f t="shared" si="9"/>
        <v>Becklow Road</v>
      </c>
      <c r="M605" t="s">
        <v>2246</v>
      </c>
    </row>
    <row r="606" spans="1:13" x14ac:dyDescent="0.3">
      <c r="A606">
        <v>603</v>
      </c>
      <c r="B606" t="s">
        <v>2247</v>
      </c>
      <c r="C606" t="s">
        <v>923</v>
      </c>
      <c r="D606" t="s">
        <v>7</v>
      </c>
      <c r="E606" t="s">
        <v>2248</v>
      </c>
      <c r="F606" t="s">
        <v>2249</v>
      </c>
      <c r="G606" t="str">
        <f xml:space="preserve"> PROPER(_xlfn.CONCAT(Table1[[#This Row],[Title]]," ",Table1[[#This Row],[First Name]]," ",Table1[[#This Row],[Last Name]]))</f>
        <v>Mrs Marian Coker</v>
      </c>
      <c r="H606" t="str">
        <f>SUBSTITUTE(Table1[[#This Row],[Street]],"Road"," Road")</f>
        <v>Grecian Crescent</v>
      </c>
      <c r="I606" t="str">
        <f>SUBSTITUTE(Table1[[#This Row],[Separate combined words ]],"?","")</f>
        <v>Grecian Crescent</v>
      </c>
      <c r="J606" t="str">
        <f>TRIM(Table1[[#This Row],[Remove Question Mark "?"]])</f>
        <v>Grecian Crescent</v>
      </c>
      <c r="K606" t="str">
        <f>PROPER(Table1[[#This Row],[Leading, Multiple &amp; Trailing spaces]])</f>
        <v>Grecian Crescent</v>
      </c>
      <c r="L606" t="str">
        <f t="shared" si="9"/>
        <v>Grecian Crescent</v>
      </c>
      <c r="M606" t="s">
        <v>2248</v>
      </c>
    </row>
    <row r="607" spans="1:13" x14ac:dyDescent="0.3">
      <c r="A607">
        <v>604</v>
      </c>
      <c r="B607" t="s">
        <v>2250</v>
      </c>
      <c r="C607" t="s">
        <v>2251</v>
      </c>
      <c r="D607" t="s">
        <v>7</v>
      </c>
      <c r="E607" t="s">
        <v>2252</v>
      </c>
      <c r="F607" t="s">
        <v>542</v>
      </c>
      <c r="G607" t="str">
        <f xml:space="preserve"> PROPER(_xlfn.CONCAT(Table1[[#This Row],[Title]]," ",Table1[[#This Row],[First Name]]," ",Table1[[#This Row],[Last Name]]))</f>
        <v>Mrs Ona Stratton</v>
      </c>
      <c r="H607" t="str">
        <f>SUBSTITUTE(Table1[[#This Row],[Street]],"Road"," Road")</f>
        <v>Grove Hall</v>
      </c>
      <c r="I607" t="str">
        <f>SUBSTITUTE(Table1[[#This Row],[Separate combined words ]],"?","")</f>
        <v>Grove Hall</v>
      </c>
      <c r="J607" t="str">
        <f>TRIM(Table1[[#This Row],[Remove Question Mark "?"]])</f>
        <v>Grove Hall</v>
      </c>
      <c r="K607" t="str">
        <f>PROPER(Table1[[#This Row],[Leading, Multiple &amp; Trailing spaces]])</f>
        <v>Grove Hall</v>
      </c>
      <c r="L607" t="str">
        <f t="shared" si="9"/>
        <v>Grove Hall</v>
      </c>
      <c r="M607" t="s">
        <v>2252</v>
      </c>
    </row>
    <row r="608" spans="1:13" x14ac:dyDescent="0.3">
      <c r="A608">
        <v>605</v>
      </c>
      <c r="B608" t="s">
        <v>2253</v>
      </c>
      <c r="C608" t="s">
        <v>2254</v>
      </c>
      <c r="D608" t="s">
        <v>7</v>
      </c>
      <c r="E608" t="s">
        <v>2255</v>
      </c>
      <c r="F608" t="s">
        <v>925</v>
      </c>
      <c r="G608" t="str">
        <f xml:space="preserve"> PROPER(_xlfn.CONCAT(Table1[[#This Row],[Title]]," ",Table1[[#This Row],[First Name]]," ",Table1[[#This Row],[Last Name]]))</f>
        <v>Mrs Summer Knowles</v>
      </c>
      <c r="H608" t="str">
        <f>SUBSTITUTE(Table1[[#This Row],[Street]],"Road"," Road")</f>
        <v>Paddock Passage</v>
      </c>
      <c r="I608" t="str">
        <f>SUBSTITUTE(Table1[[#This Row],[Separate combined words ]],"?","")</f>
        <v>Paddock Passage</v>
      </c>
      <c r="J608" t="str">
        <f>TRIM(Table1[[#This Row],[Remove Question Mark "?"]])</f>
        <v>Paddock Passage</v>
      </c>
      <c r="K608" t="str">
        <f>PROPER(Table1[[#This Row],[Leading, Multiple &amp; Trailing spaces]])</f>
        <v>Paddock Passage</v>
      </c>
      <c r="L608" t="str">
        <f t="shared" si="9"/>
        <v>Paddock Passage</v>
      </c>
      <c r="M608" t="s">
        <v>2255</v>
      </c>
    </row>
    <row r="609" spans="1:13" x14ac:dyDescent="0.3">
      <c r="A609">
        <v>606</v>
      </c>
      <c r="B609" t="s">
        <v>402</v>
      </c>
      <c r="C609" t="s">
        <v>2256</v>
      </c>
      <c r="D609" t="s">
        <v>18</v>
      </c>
      <c r="E609" t="s">
        <v>2257</v>
      </c>
      <c r="F609" t="s">
        <v>2258</v>
      </c>
      <c r="G609" t="str">
        <f xml:space="preserve"> PROPER(_xlfn.CONCAT(Table1[[#This Row],[Title]]," ",Table1[[#This Row],[First Name]]," ",Table1[[#This Row],[Last Name]]))</f>
        <v>Miss Iraida Castro</v>
      </c>
      <c r="H609" t="str">
        <f>SUBSTITUTE(Table1[[#This Row],[Street]],"Road"," Road")</f>
        <v>Barlow Street</v>
      </c>
      <c r="I609" t="str">
        <f>SUBSTITUTE(Table1[[#This Row],[Separate combined words ]],"?","")</f>
        <v>Barlow Street</v>
      </c>
      <c r="J609" t="str">
        <f>TRIM(Table1[[#This Row],[Remove Question Mark "?"]])</f>
        <v>Barlow Street</v>
      </c>
      <c r="K609" t="str">
        <f>PROPER(Table1[[#This Row],[Leading, Multiple &amp; Trailing spaces]])</f>
        <v>Barlow Street</v>
      </c>
      <c r="L609" t="str">
        <f t="shared" si="9"/>
        <v>Barlow Street</v>
      </c>
      <c r="M609" t="s">
        <v>2257</v>
      </c>
    </row>
    <row r="610" spans="1:13" x14ac:dyDescent="0.3">
      <c r="A610">
        <v>607</v>
      </c>
      <c r="B610" t="s">
        <v>2259</v>
      </c>
      <c r="C610" t="s">
        <v>650</v>
      </c>
      <c r="D610" t="s">
        <v>18</v>
      </c>
      <c r="E610" t="s">
        <v>2260</v>
      </c>
      <c r="F610" t="s">
        <v>754</v>
      </c>
      <c r="G610" t="str">
        <f xml:space="preserve"> PROPER(_xlfn.CONCAT(Table1[[#This Row],[Title]]," ",Table1[[#This Row],[First Name]]," ",Table1[[#This Row],[Last Name]]))</f>
        <v>Miss Dania Hyde</v>
      </c>
      <c r="H610" t="str">
        <f>SUBSTITUTE(Table1[[#This Row],[Street]],"Road"," Road")</f>
        <v>Earls Yard</v>
      </c>
      <c r="I610" t="str">
        <f>SUBSTITUTE(Table1[[#This Row],[Separate combined words ]],"?","")</f>
        <v>Earls Yard</v>
      </c>
      <c r="J610" t="str">
        <f>TRIM(Table1[[#This Row],[Remove Question Mark "?"]])</f>
        <v>Earls Yard</v>
      </c>
      <c r="K610" t="str">
        <f>PROPER(Table1[[#This Row],[Leading, Multiple &amp; Trailing spaces]])</f>
        <v>Earls Yard</v>
      </c>
      <c r="L610" t="str">
        <f t="shared" si="9"/>
        <v>Earls Yard</v>
      </c>
      <c r="M610" t="s">
        <v>2260</v>
      </c>
    </row>
    <row r="611" spans="1:13" x14ac:dyDescent="0.3">
      <c r="A611">
        <v>608</v>
      </c>
      <c r="B611" t="s">
        <v>1092</v>
      </c>
      <c r="C611" t="s">
        <v>927</v>
      </c>
      <c r="D611" t="s">
        <v>7</v>
      </c>
      <c r="E611" t="s">
        <v>2261</v>
      </c>
      <c r="F611" t="s">
        <v>371</v>
      </c>
      <c r="G611" t="str">
        <f xml:space="preserve"> PROPER(_xlfn.CONCAT(Table1[[#This Row],[Title]]," ",Table1[[#This Row],[First Name]]," ",Table1[[#This Row],[Last Name]]))</f>
        <v>Mrs Burma Farrell</v>
      </c>
      <c r="H611" t="str">
        <f>SUBSTITUTE(Table1[[#This Row],[Street]],"Road"," Road")</f>
        <v>Tyrell Street</v>
      </c>
      <c r="I611" t="str">
        <f>SUBSTITUTE(Table1[[#This Row],[Separate combined words ]],"?","")</f>
        <v>Tyrell Street</v>
      </c>
      <c r="J611" t="str">
        <f>TRIM(Table1[[#This Row],[Remove Question Mark "?"]])</f>
        <v>Tyrell Street</v>
      </c>
      <c r="K611" t="str">
        <f>PROPER(Table1[[#This Row],[Leading, Multiple &amp; Trailing spaces]])</f>
        <v>Tyrell Street</v>
      </c>
      <c r="L611" t="str">
        <f t="shared" si="9"/>
        <v>Tyrell Street</v>
      </c>
      <c r="M611" t="s">
        <v>2261</v>
      </c>
    </row>
    <row r="612" spans="1:13" x14ac:dyDescent="0.3">
      <c r="A612">
        <v>609</v>
      </c>
      <c r="B612" t="s">
        <v>2262</v>
      </c>
      <c r="C612" t="s">
        <v>1268</v>
      </c>
      <c r="D612" t="s">
        <v>7</v>
      </c>
      <c r="E612" t="s">
        <v>2263</v>
      </c>
      <c r="F612" t="s">
        <v>409</v>
      </c>
      <c r="G612" t="str">
        <f xml:space="preserve"> PROPER(_xlfn.CONCAT(Table1[[#This Row],[Title]]," ",Table1[[#This Row],[First Name]]," ",Table1[[#This Row],[Last Name]]))</f>
        <v>Mrs Soila Stallings</v>
      </c>
      <c r="H612" t="str">
        <f>SUBSTITUTE(Table1[[#This Row],[Street]],"Road"," Road")</f>
        <v>Grosvenor Villas</v>
      </c>
      <c r="I612" t="str">
        <f>SUBSTITUTE(Table1[[#This Row],[Separate combined words ]],"?","")</f>
        <v>Grosvenor Villas</v>
      </c>
      <c r="J612" t="str">
        <f>TRIM(Table1[[#This Row],[Remove Question Mark "?"]])</f>
        <v>Grosvenor Villas</v>
      </c>
      <c r="K612" t="str">
        <f>PROPER(Table1[[#This Row],[Leading, Multiple &amp; Trailing spaces]])</f>
        <v>Grosvenor Villas</v>
      </c>
      <c r="L612" t="str">
        <f t="shared" si="9"/>
        <v>Grosvenor Villas</v>
      </c>
      <c r="M612" t="s">
        <v>2263</v>
      </c>
    </row>
    <row r="613" spans="1:13" x14ac:dyDescent="0.3">
      <c r="A613">
        <v>610</v>
      </c>
      <c r="B613" t="s">
        <v>2264</v>
      </c>
      <c r="C613" t="s">
        <v>123</v>
      </c>
      <c r="D613" t="s">
        <v>18</v>
      </c>
      <c r="E613" t="s">
        <v>2265</v>
      </c>
      <c r="F613" t="s">
        <v>2266</v>
      </c>
      <c r="G613" t="str">
        <f xml:space="preserve"> PROPER(_xlfn.CONCAT(Table1[[#This Row],[Title]]," ",Table1[[#This Row],[First Name]]," ",Table1[[#This Row],[Last Name]]))</f>
        <v>Miss Asley Oneal</v>
      </c>
      <c r="H613" t="str">
        <f>SUBSTITUTE(Table1[[#This Row],[Street]],"Road"," Road")</f>
        <v>Coveland Cottage</v>
      </c>
      <c r="I613" t="str">
        <f>SUBSTITUTE(Table1[[#This Row],[Separate combined words ]],"?","")</f>
        <v>Coveland Cottage</v>
      </c>
      <c r="J613" t="str">
        <f>TRIM(Table1[[#This Row],[Remove Question Mark "?"]])</f>
        <v>Coveland Cottage</v>
      </c>
      <c r="K613" t="str">
        <f>PROPER(Table1[[#This Row],[Leading, Multiple &amp; Trailing spaces]])</f>
        <v>Coveland Cottage</v>
      </c>
      <c r="L613" t="str">
        <f t="shared" si="9"/>
        <v>Coveland Cottage</v>
      </c>
      <c r="M613" t="s">
        <v>2265</v>
      </c>
    </row>
    <row r="614" spans="1:13" x14ac:dyDescent="0.3">
      <c r="A614">
        <v>611</v>
      </c>
      <c r="B614" t="s">
        <v>2267</v>
      </c>
      <c r="C614" t="s">
        <v>2268</v>
      </c>
      <c r="D614" t="s">
        <v>18</v>
      </c>
      <c r="E614" t="s">
        <v>2269</v>
      </c>
      <c r="F614" t="s">
        <v>2270</v>
      </c>
      <c r="G614" t="str">
        <f xml:space="preserve"> PROPER(_xlfn.CONCAT(Table1[[#This Row],[Title]]," ",Table1[[#This Row],[First Name]]," ",Table1[[#This Row],[Last Name]]))</f>
        <v>Miss Zoraida Bruce</v>
      </c>
      <c r="H614" t="str">
        <f>SUBSTITUTE(Table1[[#This Row],[Street]],"Road"," Road")</f>
        <v>Hawkwell Walk</v>
      </c>
      <c r="I614" t="str">
        <f>SUBSTITUTE(Table1[[#This Row],[Separate combined words ]],"?","")</f>
        <v>Hawkwell Walk</v>
      </c>
      <c r="J614" t="str">
        <f>TRIM(Table1[[#This Row],[Remove Question Mark "?"]])</f>
        <v>Hawkwell Walk</v>
      </c>
      <c r="K614" t="str">
        <f>PROPER(Table1[[#This Row],[Leading, Multiple &amp; Trailing spaces]])</f>
        <v>Hawkwell Walk</v>
      </c>
      <c r="L614" t="str">
        <f t="shared" si="9"/>
        <v>Hawkwell Walk</v>
      </c>
      <c r="M614" t="s">
        <v>2269</v>
      </c>
    </row>
    <row r="615" spans="1:13" x14ac:dyDescent="0.3">
      <c r="A615">
        <v>612</v>
      </c>
      <c r="B615" t="s">
        <v>2271</v>
      </c>
      <c r="C615" t="s">
        <v>166</v>
      </c>
      <c r="D615" t="s">
        <v>7</v>
      </c>
      <c r="E615" t="s">
        <v>2272</v>
      </c>
      <c r="F615" t="s">
        <v>2227</v>
      </c>
      <c r="G615" t="str">
        <f xml:space="preserve"> PROPER(_xlfn.CONCAT(Table1[[#This Row],[Title]]," ",Table1[[#This Row],[First Name]]," ",Table1[[#This Row],[Last Name]]))</f>
        <v>Mrs Jammie Joseph</v>
      </c>
      <c r="H615" t="str">
        <f>SUBSTITUTE(Table1[[#This Row],[Street]],"Road"," Road")</f>
        <v>Pavilion Mews</v>
      </c>
      <c r="I615" t="str">
        <f>SUBSTITUTE(Table1[[#This Row],[Separate combined words ]],"?","")</f>
        <v>Pavilion Mews</v>
      </c>
      <c r="J615" t="str">
        <f>TRIM(Table1[[#This Row],[Remove Question Mark "?"]])</f>
        <v>Pavilion Mews</v>
      </c>
      <c r="K615" t="str">
        <f>PROPER(Table1[[#This Row],[Leading, Multiple &amp; Trailing spaces]])</f>
        <v>Pavilion Mews</v>
      </c>
      <c r="L615" t="str">
        <f t="shared" si="9"/>
        <v>Pavilion Mews</v>
      </c>
      <c r="M615" t="s">
        <v>2272</v>
      </c>
    </row>
    <row r="616" spans="1:13" x14ac:dyDescent="0.3">
      <c r="A616">
        <v>613</v>
      </c>
      <c r="B616" t="s">
        <v>664</v>
      </c>
      <c r="C616" t="s">
        <v>2273</v>
      </c>
      <c r="D616" t="s">
        <v>7</v>
      </c>
      <c r="E616" t="s">
        <v>2274</v>
      </c>
      <c r="F616" t="s">
        <v>1056</v>
      </c>
      <c r="G616" t="str">
        <f xml:space="preserve"> PROPER(_xlfn.CONCAT(Table1[[#This Row],[Title]]," ",Table1[[#This Row],[First Name]]," ",Table1[[#This Row],[Last Name]]))</f>
        <v>Mrs Star Woodruff</v>
      </c>
      <c r="H616" t="str">
        <f>SUBSTITUTE(Table1[[#This Row],[Street]],"Road"," Road")</f>
        <v>Cline  Road</v>
      </c>
      <c r="I616" t="str">
        <f>SUBSTITUTE(Table1[[#This Row],[Separate combined words ]],"?","")</f>
        <v>Cline  Road</v>
      </c>
      <c r="J616" t="str">
        <f>TRIM(Table1[[#This Row],[Remove Question Mark "?"]])</f>
        <v>Cline Road</v>
      </c>
      <c r="K616" t="str">
        <f>PROPER(Table1[[#This Row],[Leading, Multiple &amp; Trailing spaces]])</f>
        <v>Cline Road</v>
      </c>
      <c r="L616" t="str">
        <f t="shared" si="9"/>
        <v>Cline Road</v>
      </c>
      <c r="M616" t="s">
        <v>2274</v>
      </c>
    </row>
    <row r="617" spans="1:13" x14ac:dyDescent="0.3">
      <c r="A617">
        <v>614</v>
      </c>
      <c r="B617" t="s">
        <v>372</v>
      </c>
      <c r="C617" t="s">
        <v>2275</v>
      </c>
      <c r="D617" t="s">
        <v>7</v>
      </c>
      <c r="E617" t="s">
        <v>2276</v>
      </c>
      <c r="F617" t="s">
        <v>2277</v>
      </c>
      <c r="G617" t="str">
        <f xml:space="preserve"> PROPER(_xlfn.CONCAT(Table1[[#This Row],[Title]]," ",Table1[[#This Row],[First Name]]," ",Table1[[#This Row],[Last Name]]))</f>
        <v>Mrs Wanda Faulk</v>
      </c>
      <c r="H617" t="str">
        <f>SUBSTITUTE(Table1[[#This Row],[Street]],"Road"," Road")</f>
        <v>Parkside Gardens</v>
      </c>
      <c r="I617" t="str">
        <f>SUBSTITUTE(Table1[[#This Row],[Separate combined words ]],"?","")</f>
        <v>Parkside Gardens</v>
      </c>
      <c r="J617" t="str">
        <f>TRIM(Table1[[#This Row],[Remove Question Mark "?"]])</f>
        <v>Parkside Gardens</v>
      </c>
      <c r="K617" t="str">
        <f>PROPER(Table1[[#This Row],[Leading, Multiple &amp; Trailing spaces]])</f>
        <v>Parkside Gardens</v>
      </c>
      <c r="L617" t="str">
        <f t="shared" si="9"/>
        <v>Parkside Gardens</v>
      </c>
      <c r="M617" t="s">
        <v>2276</v>
      </c>
    </row>
    <row r="618" spans="1:13" x14ac:dyDescent="0.3">
      <c r="A618">
        <v>615</v>
      </c>
      <c r="B618" t="s">
        <v>2278</v>
      </c>
      <c r="C618" t="s">
        <v>2279</v>
      </c>
      <c r="D618" t="s">
        <v>7</v>
      </c>
      <c r="E618" t="s">
        <v>2280</v>
      </c>
      <c r="F618" t="s">
        <v>1003</v>
      </c>
      <c r="G618" t="str">
        <f xml:space="preserve"> PROPER(_xlfn.CONCAT(Table1[[#This Row],[Title]]," ",Table1[[#This Row],[First Name]]," ",Table1[[#This Row],[Last Name]]))</f>
        <v>Mrs Hong Witherspoon</v>
      </c>
      <c r="H618" t="str">
        <f>SUBSTITUTE(Table1[[#This Row],[Street]],"Road"," Road")</f>
        <v>Goad's Place</v>
      </c>
      <c r="I618" t="str">
        <f>SUBSTITUTE(Table1[[#This Row],[Separate combined words ]],"?","")</f>
        <v>Goad's Place</v>
      </c>
      <c r="J618" t="str">
        <f>TRIM(Table1[[#This Row],[Remove Question Mark "?"]])</f>
        <v>Goad's Place</v>
      </c>
      <c r="K618" t="str">
        <f>PROPER(Table1[[#This Row],[Leading, Multiple &amp; Trailing spaces]])</f>
        <v>Goad'S Place</v>
      </c>
      <c r="L618" t="str">
        <f t="shared" si="9"/>
        <v>Goad'S Place</v>
      </c>
      <c r="M618" t="s">
        <v>3436</v>
      </c>
    </row>
    <row r="619" spans="1:13" x14ac:dyDescent="0.3">
      <c r="A619">
        <v>616</v>
      </c>
      <c r="B619" t="s">
        <v>2281</v>
      </c>
      <c r="C619" t="s">
        <v>2282</v>
      </c>
      <c r="D619" t="s">
        <v>18</v>
      </c>
      <c r="E619" t="s">
        <v>2283</v>
      </c>
      <c r="F619" t="s">
        <v>2284</v>
      </c>
      <c r="G619" t="str">
        <f xml:space="preserve"> PROPER(_xlfn.CONCAT(Table1[[#This Row],[Title]]," ",Table1[[#This Row],[First Name]]," ",Table1[[#This Row],[Last Name]]))</f>
        <v>Miss Jonelle Mcmahon</v>
      </c>
      <c r="H619" t="str">
        <f>SUBSTITUTE(Table1[[#This Row],[Street]],"Road"," Road")</f>
        <v>Thamesbank Place</v>
      </c>
      <c r="I619" t="str">
        <f>SUBSTITUTE(Table1[[#This Row],[Separate combined words ]],"?","")</f>
        <v>Thamesbank Place</v>
      </c>
      <c r="J619" t="str">
        <f>TRIM(Table1[[#This Row],[Remove Question Mark "?"]])</f>
        <v>Thamesbank Place</v>
      </c>
      <c r="K619" t="str">
        <f>PROPER(Table1[[#This Row],[Leading, Multiple &amp; Trailing spaces]])</f>
        <v>Thamesbank Place</v>
      </c>
      <c r="L619" t="str">
        <f t="shared" si="9"/>
        <v>Thamesbank Place</v>
      </c>
      <c r="M619" t="s">
        <v>2283</v>
      </c>
    </row>
    <row r="620" spans="1:13" x14ac:dyDescent="0.3">
      <c r="A620">
        <v>617</v>
      </c>
      <c r="B620" t="s">
        <v>2285</v>
      </c>
      <c r="C620" t="s">
        <v>2286</v>
      </c>
      <c r="D620" t="s">
        <v>7</v>
      </c>
      <c r="E620" t="s">
        <v>2287</v>
      </c>
      <c r="F620" t="s">
        <v>489</v>
      </c>
      <c r="G620" t="str">
        <f xml:space="preserve"> PROPER(_xlfn.CONCAT(Table1[[#This Row],[Title]]," ",Table1[[#This Row],[First Name]]," ",Table1[[#This Row],[Last Name]]))</f>
        <v>Mrs Lettie Pratt</v>
      </c>
      <c r="H620" t="str">
        <f>SUBSTITUTE(Table1[[#This Row],[Street]],"Road"," Road")</f>
        <v>Broad Way</v>
      </c>
      <c r="I620" t="str">
        <f>SUBSTITUTE(Table1[[#This Row],[Separate combined words ]],"?","")</f>
        <v>Broad Way</v>
      </c>
      <c r="J620" t="str">
        <f>TRIM(Table1[[#This Row],[Remove Question Mark "?"]])</f>
        <v>Broad Way</v>
      </c>
      <c r="K620" t="str">
        <f>PROPER(Table1[[#This Row],[Leading, Multiple &amp; Trailing spaces]])</f>
        <v>Broad Way</v>
      </c>
      <c r="L620" t="str">
        <f t="shared" si="9"/>
        <v>Broad Way</v>
      </c>
      <c r="M620" t="s">
        <v>2287</v>
      </c>
    </row>
    <row r="621" spans="1:13" x14ac:dyDescent="0.3">
      <c r="A621">
        <v>618</v>
      </c>
      <c r="B621" t="s">
        <v>2288</v>
      </c>
      <c r="C621" t="s">
        <v>2289</v>
      </c>
      <c r="D621" t="s">
        <v>7</v>
      </c>
      <c r="E621" t="s">
        <v>2290</v>
      </c>
      <c r="F621" t="s">
        <v>2291</v>
      </c>
      <c r="G621" t="str">
        <f xml:space="preserve"> PROPER(_xlfn.CONCAT(Table1[[#This Row],[Title]]," ",Table1[[#This Row],[First Name]]," ",Table1[[#This Row],[Last Name]]))</f>
        <v>Mrs Chante Pruitt</v>
      </c>
      <c r="H621" t="str">
        <f>SUBSTITUTE(Table1[[#This Row],[Street]],"Road"," Road")</f>
        <v>William Bonney</v>
      </c>
      <c r="I621" t="str">
        <f>SUBSTITUTE(Table1[[#This Row],[Separate combined words ]],"?","")</f>
        <v>William Bonney</v>
      </c>
      <c r="J621" t="str">
        <f>TRIM(Table1[[#This Row],[Remove Question Mark "?"]])</f>
        <v>William Bonney</v>
      </c>
      <c r="K621" t="str">
        <f>PROPER(Table1[[#This Row],[Leading, Multiple &amp; Trailing spaces]])</f>
        <v>William Bonney</v>
      </c>
      <c r="L621" t="str">
        <f t="shared" si="9"/>
        <v>William Bonney</v>
      </c>
      <c r="M621" t="s">
        <v>2290</v>
      </c>
    </row>
    <row r="622" spans="1:13" x14ac:dyDescent="0.3">
      <c r="A622">
        <v>619</v>
      </c>
      <c r="B622" t="s">
        <v>2292</v>
      </c>
      <c r="C622" t="s">
        <v>2293</v>
      </c>
      <c r="D622" t="s">
        <v>7</v>
      </c>
      <c r="E622" t="s">
        <v>2294</v>
      </c>
      <c r="F622" t="s">
        <v>2295</v>
      </c>
      <c r="G622" t="str">
        <f xml:space="preserve"> PROPER(_xlfn.CONCAT(Table1[[#This Row],[Title]]," ",Table1[[#This Row],[First Name]]," ",Table1[[#This Row],[Last Name]]))</f>
        <v>Mrs Sonya Dubois</v>
      </c>
      <c r="H622" t="str">
        <f>SUBSTITUTE(Table1[[#This Row],[Street]],"Road"," Road")</f>
        <v>Antrim  Road</v>
      </c>
      <c r="I622" t="str">
        <f>SUBSTITUTE(Table1[[#This Row],[Separate combined words ]],"?","")</f>
        <v>Antrim  Road</v>
      </c>
      <c r="J622" t="str">
        <f>TRIM(Table1[[#This Row],[Remove Question Mark "?"]])</f>
        <v>Antrim Road</v>
      </c>
      <c r="K622" t="str">
        <f>PROPER(Table1[[#This Row],[Leading, Multiple &amp; Trailing spaces]])</f>
        <v>Antrim Road</v>
      </c>
      <c r="L622" t="str">
        <f t="shared" si="9"/>
        <v>Antrim Road</v>
      </c>
      <c r="M622" t="s">
        <v>2294</v>
      </c>
    </row>
    <row r="623" spans="1:13" x14ac:dyDescent="0.3">
      <c r="A623">
        <v>620</v>
      </c>
      <c r="B623" t="s">
        <v>2296</v>
      </c>
      <c r="C623" t="s">
        <v>47</v>
      </c>
      <c r="D623" t="s">
        <v>18</v>
      </c>
      <c r="E623" t="s">
        <v>2297</v>
      </c>
      <c r="F623" t="s">
        <v>1598</v>
      </c>
      <c r="G623" t="str">
        <f xml:space="preserve"> PROPER(_xlfn.CONCAT(Table1[[#This Row],[Title]]," ",Table1[[#This Row],[First Name]]," ",Table1[[#This Row],[Last Name]]))</f>
        <v>Miss Lonna Culver</v>
      </c>
      <c r="H623" t="str">
        <f>SUBSTITUTE(Table1[[#This Row],[Street]],"Road"," Road")</f>
        <v>Sedding Street</v>
      </c>
      <c r="I623" t="str">
        <f>SUBSTITUTE(Table1[[#This Row],[Separate combined words ]],"?","")</f>
        <v>Sedding Street</v>
      </c>
      <c r="J623" t="str">
        <f>TRIM(Table1[[#This Row],[Remove Question Mark "?"]])</f>
        <v>Sedding Street</v>
      </c>
      <c r="K623" t="str">
        <f>PROPER(Table1[[#This Row],[Leading, Multiple &amp; Trailing spaces]])</f>
        <v>Sedding Street</v>
      </c>
      <c r="L623" t="str">
        <f t="shared" si="9"/>
        <v>Sedding Street</v>
      </c>
      <c r="M623" t="s">
        <v>2297</v>
      </c>
    </row>
    <row r="624" spans="1:13" x14ac:dyDescent="0.3">
      <c r="A624">
        <v>621</v>
      </c>
      <c r="B624" t="s">
        <v>2298</v>
      </c>
      <c r="C624" t="s">
        <v>2299</v>
      </c>
      <c r="D624" t="s">
        <v>18</v>
      </c>
      <c r="E624" t="s">
        <v>2300</v>
      </c>
      <c r="F624" t="s">
        <v>2301</v>
      </c>
      <c r="G624" t="str">
        <f xml:space="preserve"> PROPER(_xlfn.CONCAT(Table1[[#This Row],[Title]]," ",Table1[[#This Row],[First Name]]," ",Table1[[#This Row],[Last Name]]))</f>
        <v>Miss Holli Beal</v>
      </c>
      <c r="H624" t="str">
        <f>SUBSTITUTE(Table1[[#This Row],[Street]],"Road"," Road")</f>
        <v>Draycott Mews</v>
      </c>
      <c r="I624" t="str">
        <f>SUBSTITUTE(Table1[[#This Row],[Separate combined words ]],"?","")</f>
        <v>Draycott Mews</v>
      </c>
      <c r="J624" t="str">
        <f>TRIM(Table1[[#This Row],[Remove Question Mark "?"]])</f>
        <v>Draycott Mews</v>
      </c>
      <c r="K624" t="str">
        <f>PROPER(Table1[[#This Row],[Leading, Multiple &amp; Trailing spaces]])</f>
        <v>Draycott Mews</v>
      </c>
      <c r="L624" t="str">
        <f t="shared" si="9"/>
        <v>Draycott Mews</v>
      </c>
      <c r="M624" t="s">
        <v>2300</v>
      </c>
    </row>
    <row r="625" spans="1:13" x14ac:dyDescent="0.3">
      <c r="A625">
        <v>622</v>
      </c>
      <c r="B625" t="s">
        <v>1669</v>
      </c>
      <c r="C625" t="s">
        <v>2302</v>
      </c>
      <c r="D625" t="s">
        <v>18</v>
      </c>
      <c r="E625" t="s">
        <v>2303</v>
      </c>
      <c r="F625" t="s">
        <v>2304</v>
      </c>
      <c r="G625" t="str">
        <f xml:space="preserve"> PROPER(_xlfn.CONCAT(Table1[[#This Row],[Title]]," ",Table1[[#This Row],[First Name]]," ",Table1[[#This Row],[Last Name]]))</f>
        <v>Miss Freeda Richard</v>
      </c>
      <c r="H625" t="str">
        <f>SUBSTITUTE(Table1[[#This Row],[Street]],"Road"," Road")</f>
        <v>Lyvenden  Road</v>
      </c>
      <c r="I625" t="str">
        <f>SUBSTITUTE(Table1[[#This Row],[Separate combined words ]],"?","")</f>
        <v>Lyvenden  Road</v>
      </c>
      <c r="J625" t="str">
        <f>TRIM(Table1[[#This Row],[Remove Question Mark "?"]])</f>
        <v>Lyvenden Road</v>
      </c>
      <c r="K625" t="str">
        <f>PROPER(Table1[[#This Row],[Leading, Multiple &amp; Trailing spaces]])</f>
        <v>Lyvenden Road</v>
      </c>
      <c r="L625" t="str">
        <f t="shared" si="9"/>
        <v>Lyvenden Road</v>
      </c>
      <c r="M625" t="s">
        <v>2303</v>
      </c>
    </row>
    <row r="626" spans="1:13" x14ac:dyDescent="0.3">
      <c r="A626">
        <v>623</v>
      </c>
      <c r="B626" t="s">
        <v>2305</v>
      </c>
      <c r="C626" t="s">
        <v>173</v>
      </c>
      <c r="D626" t="s">
        <v>7</v>
      </c>
      <c r="E626" t="s">
        <v>2306</v>
      </c>
      <c r="F626" t="s">
        <v>1437</v>
      </c>
      <c r="G626" t="str">
        <f xml:space="preserve"> PROPER(_xlfn.CONCAT(Table1[[#This Row],[Title]]," ",Table1[[#This Row],[First Name]]," ",Table1[[#This Row],[Last Name]]))</f>
        <v>Mrs Zetta Cullen</v>
      </c>
      <c r="H626" t="str">
        <f>SUBSTITUTE(Table1[[#This Row],[Street]],"Road"," Road")</f>
        <v>Blenheim  Road</v>
      </c>
      <c r="I626" t="str">
        <f>SUBSTITUTE(Table1[[#This Row],[Separate combined words ]],"?","")</f>
        <v>Blenheim  Road</v>
      </c>
      <c r="J626" t="str">
        <f>TRIM(Table1[[#This Row],[Remove Question Mark "?"]])</f>
        <v>Blenheim Road</v>
      </c>
      <c r="K626" t="str">
        <f>PROPER(Table1[[#This Row],[Leading, Multiple &amp; Trailing spaces]])</f>
        <v>Blenheim Road</v>
      </c>
      <c r="L626" t="str">
        <f t="shared" si="9"/>
        <v>Blenheim Road</v>
      </c>
      <c r="M626" t="s">
        <v>2306</v>
      </c>
    </row>
    <row r="627" spans="1:13" x14ac:dyDescent="0.3">
      <c r="A627">
        <v>624</v>
      </c>
      <c r="B627" t="s">
        <v>2307</v>
      </c>
      <c r="C627" t="s">
        <v>2308</v>
      </c>
      <c r="D627" t="s">
        <v>7</v>
      </c>
      <c r="E627" t="s">
        <v>2309</v>
      </c>
      <c r="F627" t="s">
        <v>606</v>
      </c>
      <c r="G627" t="str">
        <f xml:space="preserve"> PROPER(_xlfn.CONCAT(Table1[[#This Row],[Title]]," ",Table1[[#This Row],[First Name]]," ",Table1[[#This Row],[Last Name]]))</f>
        <v>Mrs Rozanne May</v>
      </c>
      <c r="H627" t="str">
        <f>SUBSTITUTE(Table1[[#This Row],[Street]],"Road"," Road")</f>
        <v>James's Market</v>
      </c>
      <c r="I627" t="str">
        <f>SUBSTITUTE(Table1[[#This Row],[Separate combined words ]],"?","")</f>
        <v>James's Market</v>
      </c>
      <c r="J627" t="str">
        <f>TRIM(Table1[[#This Row],[Remove Question Mark "?"]])</f>
        <v>James's Market</v>
      </c>
      <c r="K627" t="str">
        <f>PROPER(Table1[[#This Row],[Leading, Multiple &amp; Trailing spaces]])</f>
        <v>James'S Market</v>
      </c>
      <c r="L627" t="str">
        <f t="shared" si="9"/>
        <v>James'S Market</v>
      </c>
      <c r="M627" t="s">
        <v>3437</v>
      </c>
    </row>
    <row r="628" spans="1:13" x14ac:dyDescent="0.3">
      <c r="A628">
        <v>625</v>
      </c>
      <c r="B628" t="s">
        <v>2310</v>
      </c>
      <c r="C628" t="s">
        <v>2311</v>
      </c>
      <c r="D628" t="s">
        <v>18</v>
      </c>
      <c r="E628" t="s">
        <v>2312</v>
      </c>
      <c r="F628" t="s">
        <v>2313</v>
      </c>
      <c r="G628" t="str">
        <f xml:space="preserve"> PROPER(_xlfn.CONCAT(Table1[[#This Row],[Title]]," ",Table1[[#This Row],[First Name]]," ",Table1[[#This Row],[Last Name]]))</f>
        <v>Miss Tanna Watson</v>
      </c>
      <c r="H628" t="str">
        <f>SUBSTITUTE(Table1[[#This Row],[Street]],"Road"," Road")</f>
        <v>Gladding  Road</v>
      </c>
      <c r="I628" t="str">
        <f>SUBSTITUTE(Table1[[#This Row],[Separate combined words ]],"?","")</f>
        <v>Gladding  Road</v>
      </c>
      <c r="J628" t="str">
        <f>TRIM(Table1[[#This Row],[Remove Question Mark "?"]])</f>
        <v>Gladding Road</v>
      </c>
      <c r="K628" t="str">
        <f>PROPER(Table1[[#This Row],[Leading, Multiple &amp; Trailing spaces]])</f>
        <v>Gladding Road</v>
      </c>
      <c r="L628" t="str">
        <f t="shared" si="9"/>
        <v>Gladding Road</v>
      </c>
      <c r="M628" t="s">
        <v>2312</v>
      </c>
    </row>
    <row r="629" spans="1:13" x14ac:dyDescent="0.3">
      <c r="A629">
        <v>626</v>
      </c>
      <c r="B629" t="s">
        <v>2314</v>
      </c>
      <c r="C629" t="s">
        <v>419</v>
      </c>
      <c r="D629" t="s">
        <v>18</v>
      </c>
      <c r="E629" t="s">
        <v>2315</v>
      </c>
      <c r="F629" t="s">
        <v>844</v>
      </c>
      <c r="G629" t="str">
        <f xml:space="preserve"> PROPER(_xlfn.CONCAT(Table1[[#This Row],[Title]]," ",Table1[[#This Row],[First Name]]," ",Table1[[#This Row],[Last Name]]))</f>
        <v>Miss Consuela Bonds</v>
      </c>
      <c r="H629" t="str">
        <f>SUBSTITUTE(Table1[[#This Row],[Street]],"Road"," Road")</f>
        <v>Hilgrove  Road</v>
      </c>
      <c r="I629" t="str">
        <f>SUBSTITUTE(Table1[[#This Row],[Separate combined words ]],"?","")</f>
        <v>Hilgrove  Road</v>
      </c>
      <c r="J629" t="str">
        <f>TRIM(Table1[[#This Row],[Remove Question Mark "?"]])</f>
        <v>Hilgrove Road</v>
      </c>
      <c r="K629" t="str">
        <f>PROPER(Table1[[#This Row],[Leading, Multiple &amp; Trailing spaces]])</f>
        <v>Hilgrove Road</v>
      </c>
      <c r="L629" t="str">
        <f t="shared" si="9"/>
        <v>Hilgrove Road</v>
      </c>
      <c r="M629" t="s">
        <v>2315</v>
      </c>
    </row>
    <row r="630" spans="1:13" x14ac:dyDescent="0.3">
      <c r="A630">
        <v>627</v>
      </c>
      <c r="B630" t="s">
        <v>2316</v>
      </c>
      <c r="C630" t="s">
        <v>2317</v>
      </c>
      <c r="D630" t="s">
        <v>18</v>
      </c>
      <c r="E630" t="s">
        <v>2318</v>
      </c>
      <c r="F630" t="s">
        <v>1255</v>
      </c>
      <c r="G630" t="str">
        <f xml:space="preserve"> PROPER(_xlfn.CONCAT(Table1[[#This Row],[Title]]," ",Table1[[#This Row],[First Name]]," ",Table1[[#This Row],[Last Name]]))</f>
        <v>Miss Cherrie Rocha</v>
      </c>
      <c r="H630" t="str">
        <f>SUBSTITUTE(Table1[[#This Row],[Street]],"Road"," Road")</f>
        <v>Moselle Avenue</v>
      </c>
      <c r="I630" t="str">
        <f>SUBSTITUTE(Table1[[#This Row],[Separate combined words ]],"?","")</f>
        <v>Moselle Avenue</v>
      </c>
      <c r="J630" t="str">
        <f>TRIM(Table1[[#This Row],[Remove Question Mark "?"]])</f>
        <v>Moselle Avenue</v>
      </c>
      <c r="K630" t="str">
        <f>PROPER(Table1[[#This Row],[Leading, Multiple &amp; Trailing spaces]])</f>
        <v>Moselle Avenue</v>
      </c>
      <c r="L630" t="str">
        <f t="shared" si="9"/>
        <v>Moselle Avenue</v>
      </c>
      <c r="M630" t="s">
        <v>2318</v>
      </c>
    </row>
    <row r="631" spans="1:13" x14ac:dyDescent="0.3">
      <c r="A631">
        <v>628</v>
      </c>
      <c r="B631" t="s">
        <v>2319</v>
      </c>
      <c r="C631" t="s">
        <v>2320</v>
      </c>
      <c r="D631" t="s">
        <v>7</v>
      </c>
      <c r="E631" t="s">
        <v>2321</v>
      </c>
      <c r="F631" t="s">
        <v>2322</v>
      </c>
      <c r="G631" t="str">
        <f xml:space="preserve"> PROPER(_xlfn.CONCAT(Table1[[#This Row],[Title]]," ",Table1[[#This Row],[First Name]]," ",Table1[[#This Row],[Last Name]]))</f>
        <v>Mrs Danyelle Emery</v>
      </c>
      <c r="H631" t="str">
        <f>SUBSTITUTE(Table1[[#This Row],[Street]],"Road"," Road")</f>
        <v>China Hall</v>
      </c>
      <c r="I631" t="str">
        <f>SUBSTITUTE(Table1[[#This Row],[Separate combined words ]],"?","")</f>
        <v>China Hall</v>
      </c>
      <c r="J631" t="str">
        <f>TRIM(Table1[[#This Row],[Remove Question Mark "?"]])</f>
        <v>China Hall</v>
      </c>
      <c r="K631" t="str">
        <f>PROPER(Table1[[#This Row],[Leading, Multiple &amp; Trailing spaces]])</f>
        <v>China Hall</v>
      </c>
      <c r="L631" t="str">
        <f t="shared" si="9"/>
        <v>China Hall</v>
      </c>
      <c r="M631" t="s">
        <v>2321</v>
      </c>
    </row>
    <row r="632" spans="1:13" x14ac:dyDescent="0.3">
      <c r="A632">
        <v>629</v>
      </c>
      <c r="B632" t="s">
        <v>2323</v>
      </c>
      <c r="C632" t="s">
        <v>2324</v>
      </c>
      <c r="D632" t="s">
        <v>18</v>
      </c>
      <c r="E632" t="s">
        <v>2325</v>
      </c>
      <c r="F632" t="s">
        <v>2326</v>
      </c>
      <c r="G632" t="str">
        <f xml:space="preserve"> PROPER(_xlfn.CONCAT(Table1[[#This Row],[Title]]," ",Table1[[#This Row],[First Name]]," ",Table1[[#This Row],[Last Name]]))</f>
        <v>Miss Kyra Cortez</v>
      </c>
      <c r="H632" t="str">
        <f>SUBSTITUTE(Table1[[#This Row],[Street]],"Road"," Road")</f>
        <v>Chalfont  Road</v>
      </c>
      <c r="I632" t="str">
        <f>SUBSTITUTE(Table1[[#This Row],[Separate combined words ]],"?","")</f>
        <v>Chalfont  Road</v>
      </c>
      <c r="J632" t="str">
        <f>TRIM(Table1[[#This Row],[Remove Question Mark "?"]])</f>
        <v>Chalfont Road</v>
      </c>
      <c r="K632" t="str">
        <f>PROPER(Table1[[#This Row],[Leading, Multiple &amp; Trailing spaces]])</f>
        <v>Chalfont Road</v>
      </c>
      <c r="L632" t="str">
        <f t="shared" si="9"/>
        <v>Chalfont Road</v>
      </c>
      <c r="M632" t="s">
        <v>2325</v>
      </c>
    </row>
    <row r="633" spans="1:13" x14ac:dyDescent="0.3">
      <c r="A633">
        <v>630</v>
      </c>
      <c r="B633" t="s">
        <v>2327</v>
      </c>
      <c r="C633" t="s">
        <v>2328</v>
      </c>
      <c r="D633" t="s">
        <v>18</v>
      </c>
      <c r="E633" t="s">
        <v>2329</v>
      </c>
      <c r="F633" t="s">
        <v>2330</v>
      </c>
      <c r="G633" t="str">
        <f xml:space="preserve"> PROPER(_xlfn.CONCAT(Table1[[#This Row],[Title]]," ",Table1[[#This Row],[First Name]]," ",Table1[[#This Row],[Last Name]]))</f>
        <v>Miss Tressa Yazzie</v>
      </c>
      <c r="H633" t="str">
        <f>SUBSTITUTE(Table1[[#This Row],[Street]],"Road"," Road")</f>
        <v>King Frederick</v>
      </c>
      <c r="I633" t="str">
        <f>SUBSTITUTE(Table1[[#This Row],[Separate combined words ]],"?","")</f>
        <v>King Frederick</v>
      </c>
      <c r="J633" t="str">
        <f>TRIM(Table1[[#This Row],[Remove Question Mark "?"]])</f>
        <v>King Frederick</v>
      </c>
      <c r="K633" t="str">
        <f>PROPER(Table1[[#This Row],[Leading, Multiple &amp; Trailing spaces]])</f>
        <v>King Frederick</v>
      </c>
      <c r="L633" t="str">
        <f t="shared" si="9"/>
        <v>King Frederick</v>
      </c>
      <c r="M633" t="s">
        <v>2329</v>
      </c>
    </row>
    <row r="634" spans="1:13" x14ac:dyDescent="0.3">
      <c r="A634">
        <v>631</v>
      </c>
      <c r="B634" t="s">
        <v>699</v>
      </c>
      <c r="C634" t="s">
        <v>136</v>
      </c>
      <c r="D634" t="s">
        <v>7</v>
      </c>
      <c r="E634" t="s">
        <v>2331</v>
      </c>
      <c r="F634" t="s">
        <v>1641</v>
      </c>
      <c r="G634" t="str">
        <f xml:space="preserve"> PROPER(_xlfn.CONCAT(Table1[[#This Row],[Title]]," ",Table1[[#This Row],[First Name]]," ",Table1[[#This Row],[Last Name]]))</f>
        <v>Mrs Traci Akers</v>
      </c>
      <c r="H634" t="str">
        <f>SUBSTITUTE(Table1[[#This Row],[Street]],"Road"," Road")</f>
        <v>Kirkdale  Road</v>
      </c>
      <c r="I634" t="str">
        <f>SUBSTITUTE(Table1[[#This Row],[Separate combined words ]],"?","")</f>
        <v>Kirkdale  Road</v>
      </c>
      <c r="J634" t="str">
        <f>TRIM(Table1[[#This Row],[Remove Question Mark "?"]])</f>
        <v>Kirkdale Road</v>
      </c>
      <c r="K634" t="str">
        <f>PROPER(Table1[[#This Row],[Leading, Multiple &amp; Trailing spaces]])</f>
        <v>Kirkdale Road</v>
      </c>
      <c r="L634" t="str">
        <f t="shared" si="9"/>
        <v>Kirkdale Road</v>
      </c>
      <c r="M634" t="s">
        <v>2331</v>
      </c>
    </row>
    <row r="635" spans="1:13" x14ac:dyDescent="0.3">
      <c r="A635">
        <v>632</v>
      </c>
      <c r="B635" t="s">
        <v>2332</v>
      </c>
      <c r="C635" t="s">
        <v>2282</v>
      </c>
      <c r="D635" t="s">
        <v>7</v>
      </c>
      <c r="E635" t="s">
        <v>2333</v>
      </c>
      <c r="F635" t="s">
        <v>592</v>
      </c>
      <c r="G635" t="str">
        <f xml:space="preserve"> PROPER(_xlfn.CONCAT(Table1[[#This Row],[Title]]," ",Table1[[#This Row],[First Name]]," ",Table1[[#This Row],[Last Name]]))</f>
        <v>Mrs Maragret Mcmahon</v>
      </c>
      <c r="H635" t="str">
        <f>SUBSTITUTE(Table1[[#This Row],[Street]],"Road"," Road")</f>
        <v>Stokesley Street</v>
      </c>
      <c r="I635" t="str">
        <f>SUBSTITUTE(Table1[[#This Row],[Separate combined words ]],"?","")</f>
        <v>Stokesley Street</v>
      </c>
      <c r="J635" t="str">
        <f>TRIM(Table1[[#This Row],[Remove Question Mark "?"]])</f>
        <v>Stokesley Street</v>
      </c>
      <c r="K635" t="str">
        <f>PROPER(Table1[[#This Row],[Leading, Multiple &amp; Trailing spaces]])</f>
        <v>Stokesley Street</v>
      </c>
      <c r="L635" t="str">
        <f t="shared" si="9"/>
        <v>Stokesley Street</v>
      </c>
      <c r="M635" t="s">
        <v>2333</v>
      </c>
    </row>
    <row r="636" spans="1:13" x14ac:dyDescent="0.3">
      <c r="A636">
        <v>633</v>
      </c>
      <c r="B636" t="s">
        <v>2334</v>
      </c>
      <c r="C636" t="s">
        <v>2335</v>
      </c>
      <c r="D636" t="s">
        <v>7</v>
      </c>
      <c r="E636" t="s">
        <v>2336</v>
      </c>
      <c r="F636" t="s">
        <v>550</v>
      </c>
      <c r="G636" t="str">
        <f xml:space="preserve"> PROPER(_xlfn.CONCAT(Table1[[#This Row],[Title]]," ",Table1[[#This Row],[First Name]]," ",Table1[[#This Row],[Last Name]]))</f>
        <v>Mrs Clarisa Geiger</v>
      </c>
      <c r="H636" t="str">
        <f>SUBSTITUTE(Table1[[#This Row],[Street]],"Road"," Road")</f>
        <v>Ashby Grove</v>
      </c>
      <c r="I636" t="str">
        <f>SUBSTITUTE(Table1[[#This Row],[Separate combined words ]],"?","")</f>
        <v>Ashby Grove</v>
      </c>
      <c r="J636" t="str">
        <f>TRIM(Table1[[#This Row],[Remove Question Mark "?"]])</f>
        <v>Ashby Grove</v>
      </c>
      <c r="K636" t="str">
        <f>PROPER(Table1[[#This Row],[Leading, Multiple &amp; Trailing spaces]])</f>
        <v>Ashby Grove</v>
      </c>
      <c r="L636" t="str">
        <f t="shared" si="9"/>
        <v>Ashby Grove</v>
      </c>
      <c r="M636" t="s">
        <v>2336</v>
      </c>
    </row>
    <row r="637" spans="1:13" x14ac:dyDescent="0.3">
      <c r="A637">
        <v>634</v>
      </c>
      <c r="B637" t="s">
        <v>2337</v>
      </c>
      <c r="C637" t="s">
        <v>2338</v>
      </c>
      <c r="D637" t="s">
        <v>7</v>
      </c>
      <c r="E637" t="s">
        <v>2339</v>
      </c>
      <c r="F637" t="s">
        <v>2340</v>
      </c>
      <c r="G637" t="str">
        <f xml:space="preserve"> PROPER(_xlfn.CONCAT(Table1[[#This Row],[Title]]," ",Table1[[#This Row],[First Name]]," ",Table1[[#This Row],[Last Name]]))</f>
        <v>Mrs Birdie Bravo</v>
      </c>
      <c r="H637" t="str">
        <f>SUBSTITUTE(Table1[[#This Row],[Street]],"Road"," Road")</f>
        <v>Blanchedowne</v>
      </c>
      <c r="I637" t="str">
        <f>SUBSTITUTE(Table1[[#This Row],[Separate combined words ]],"?","")</f>
        <v>Blanchedowne</v>
      </c>
      <c r="J637" t="str">
        <f>TRIM(Table1[[#This Row],[Remove Question Mark "?"]])</f>
        <v>Blanchedowne</v>
      </c>
      <c r="K637" t="str">
        <f>PROPER(Table1[[#This Row],[Leading, Multiple &amp; Trailing spaces]])</f>
        <v>Blanchedowne</v>
      </c>
      <c r="L637" t="str">
        <f t="shared" si="9"/>
        <v>Blanchedowne</v>
      </c>
      <c r="M637" t="s">
        <v>2339</v>
      </c>
    </row>
    <row r="638" spans="1:13" x14ac:dyDescent="0.3">
      <c r="A638">
        <v>635</v>
      </c>
      <c r="B638" t="s">
        <v>2341</v>
      </c>
      <c r="C638" t="s">
        <v>2342</v>
      </c>
      <c r="D638" t="s">
        <v>18</v>
      </c>
      <c r="E638" t="s">
        <v>2343</v>
      </c>
      <c r="F638" t="s">
        <v>2344</v>
      </c>
      <c r="G638" t="str">
        <f xml:space="preserve"> PROPER(_xlfn.CONCAT(Table1[[#This Row],[Title]]," ",Table1[[#This Row],[First Name]]," ",Table1[[#This Row],[Last Name]]))</f>
        <v>Miss Lavon Mcconnell</v>
      </c>
      <c r="H638" t="str">
        <f>SUBSTITUTE(Table1[[#This Row],[Street]],"Road"," Road")</f>
        <v>Wards Wharf</v>
      </c>
      <c r="I638" t="str">
        <f>SUBSTITUTE(Table1[[#This Row],[Separate combined words ]],"?","")</f>
        <v>Wards Wharf</v>
      </c>
      <c r="J638" t="str">
        <f>TRIM(Table1[[#This Row],[Remove Question Mark "?"]])</f>
        <v>Wards Wharf</v>
      </c>
      <c r="K638" t="str">
        <f>PROPER(Table1[[#This Row],[Leading, Multiple &amp; Trailing spaces]])</f>
        <v>Wards Wharf</v>
      </c>
      <c r="L638" t="str">
        <f t="shared" si="9"/>
        <v>Wards Wharf</v>
      </c>
      <c r="M638" t="s">
        <v>2343</v>
      </c>
    </row>
    <row r="639" spans="1:13" x14ac:dyDescent="0.3">
      <c r="A639">
        <v>636</v>
      </c>
      <c r="B639" t="s">
        <v>2345</v>
      </c>
      <c r="C639" t="s">
        <v>2346</v>
      </c>
      <c r="D639" t="s">
        <v>18</v>
      </c>
      <c r="E639" t="s">
        <v>2347</v>
      </c>
      <c r="F639" t="s">
        <v>358</v>
      </c>
      <c r="G639" t="str">
        <f xml:space="preserve"> PROPER(_xlfn.CONCAT(Table1[[#This Row],[Title]]," ",Table1[[#This Row],[First Name]]," ",Table1[[#This Row],[Last Name]]))</f>
        <v>Miss Lesha Means</v>
      </c>
      <c r="H639" t="str">
        <f>SUBSTITUTE(Table1[[#This Row],[Street]],"Road"," Road")</f>
        <v>Meliot  Road</v>
      </c>
      <c r="I639" t="str">
        <f>SUBSTITUTE(Table1[[#This Row],[Separate combined words ]],"?","")</f>
        <v>Meliot  Road</v>
      </c>
      <c r="J639" t="str">
        <f>TRIM(Table1[[#This Row],[Remove Question Mark "?"]])</f>
        <v>Meliot Road</v>
      </c>
      <c r="K639" t="str">
        <f>PROPER(Table1[[#This Row],[Leading, Multiple &amp; Trailing spaces]])</f>
        <v>Meliot Road</v>
      </c>
      <c r="L639" t="str">
        <f t="shared" si="9"/>
        <v>Meliot Road</v>
      </c>
      <c r="M639" t="s">
        <v>2347</v>
      </c>
    </row>
    <row r="640" spans="1:13" x14ac:dyDescent="0.3">
      <c r="A640">
        <v>637</v>
      </c>
      <c r="B640" t="s">
        <v>2348</v>
      </c>
      <c r="C640" t="s">
        <v>2349</v>
      </c>
      <c r="D640" t="s">
        <v>18</v>
      </c>
      <c r="E640" t="s">
        <v>2350</v>
      </c>
      <c r="F640" t="s">
        <v>670</v>
      </c>
      <c r="G640" t="str">
        <f xml:space="preserve"> PROPER(_xlfn.CONCAT(Table1[[#This Row],[Title]]," ",Table1[[#This Row],[First Name]]," ",Table1[[#This Row],[Last Name]]))</f>
        <v>Miss Lucilla Delacruz</v>
      </c>
      <c r="H640" t="str">
        <f>SUBSTITUTE(Table1[[#This Row],[Street]],"Road"," Road")</f>
        <v>Great New</v>
      </c>
      <c r="I640" t="str">
        <f>SUBSTITUTE(Table1[[#This Row],[Separate combined words ]],"?","")</f>
        <v>Great New</v>
      </c>
      <c r="J640" t="str">
        <f>TRIM(Table1[[#This Row],[Remove Question Mark "?"]])</f>
        <v>Great New</v>
      </c>
      <c r="K640" t="str">
        <f>PROPER(Table1[[#This Row],[Leading, Multiple &amp; Trailing spaces]])</f>
        <v>Great New</v>
      </c>
      <c r="L640" t="str">
        <f t="shared" si="9"/>
        <v>Great New</v>
      </c>
      <c r="M640" t="s">
        <v>2350</v>
      </c>
    </row>
    <row r="641" spans="1:13" x14ac:dyDescent="0.3">
      <c r="A641">
        <v>638</v>
      </c>
      <c r="B641" t="s">
        <v>2351</v>
      </c>
      <c r="C641" t="s">
        <v>2352</v>
      </c>
      <c r="D641" t="s">
        <v>2353</v>
      </c>
      <c r="E641" t="s">
        <v>2354</v>
      </c>
      <c r="F641" t="s">
        <v>2355</v>
      </c>
      <c r="G641" t="str">
        <f xml:space="preserve"> PROPER(_xlfn.CONCAT(Table1[[#This Row],[Title]]," ",Table1[[#This Row],[First Name]]," ",Table1[[#This Row],[Last Name]]))</f>
        <v>Mr Jonathan Roach</v>
      </c>
      <c r="H641" t="str">
        <f>SUBSTITUTE(Table1[[#This Row],[Street]],"Road"," Road")</f>
        <v>Lansdowne  Road</v>
      </c>
      <c r="I641" t="str">
        <f>SUBSTITUTE(Table1[[#This Row],[Separate combined words ]],"?","")</f>
        <v>Lansdowne  Road</v>
      </c>
      <c r="J641" t="str">
        <f>TRIM(Table1[[#This Row],[Remove Question Mark "?"]])</f>
        <v>Lansdowne Road</v>
      </c>
      <c r="K641" t="str">
        <f>PROPER(Table1[[#This Row],[Leading, Multiple &amp; Trailing spaces]])</f>
        <v>Lansdowne Road</v>
      </c>
      <c r="L641" t="str">
        <f t="shared" si="9"/>
        <v>Lansdowne Road</v>
      </c>
      <c r="M641" t="s">
        <v>2354</v>
      </c>
    </row>
    <row r="642" spans="1:13" x14ac:dyDescent="0.3">
      <c r="A642">
        <v>639</v>
      </c>
      <c r="B642" t="s">
        <v>2356</v>
      </c>
      <c r="C642" t="s">
        <v>2357</v>
      </c>
      <c r="D642" t="s">
        <v>2353</v>
      </c>
      <c r="E642" t="s">
        <v>2358</v>
      </c>
      <c r="F642" t="s">
        <v>379</v>
      </c>
      <c r="G642" t="str">
        <f xml:space="preserve"> PROPER(_xlfn.CONCAT(Table1[[#This Row],[Title]]," ",Table1[[#This Row],[First Name]]," ",Table1[[#This Row],[Last Name]]))</f>
        <v>Mr Kermit Lynch</v>
      </c>
      <c r="H642" t="str">
        <f>SUBSTITUTE(Table1[[#This Row],[Street]],"Road"," Road")</f>
        <v>Wesley Square</v>
      </c>
      <c r="I642" t="str">
        <f>SUBSTITUTE(Table1[[#This Row],[Separate combined words ]],"?","")</f>
        <v>Wesley Square</v>
      </c>
      <c r="J642" t="str">
        <f>TRIM(Table1[[#This Row],[Remove Question Mark "?"]])</f>
        <v>Wesley Square</v>
      </c>
      <c r="K642" t="str">
        <f>PROPER(Table1[[#This Row],[Leading, Multiple &amp; Trailing spaces]])</f>
        <v>Wesley Square</v>
      </c>
      <c r="L642" t="str">
        <f t="shared" si="9"/>
        <v>Wesley Square</v>
      </c>
      <c r="M642" t="s">
        <v>2358</v>
      </c>
    </row>
    <row r="643" spans="1:13" x14ac:dyDescent="0.3">
      <c r="A643">
        <v>640</v>
      </c>
      <c r="B643" t="s">
        <v>2359</v>
      </c>
      <c r="C643" t="s">
        <v>2360</v>
      </c>
      <c r="D643" t="s">
        <v>2353</v>
      </c>
      <c r="E643" t="s">
        <v>2361</v>
      </c>
      <c r="F643" t="s">
        <v>440</v>
      </c>
      <c r="G643" t="str">
        <f xml:space="preserve"> PROPER(_xlfn.CONCAT(Table1[[#This Row],[Title]]," ",Table1[[#This Row],[First Name]]," ",Table1[[#This Row],[Last Name]]))</f>
        <v>Mr Garth Bowling</v>
      </c>
      <c r="H643" t="str">
        <f>SUBSTITUTE(Table1[[#This Row],[Street]],"Road"," Road")</f>
        <v>Epsom  Road</v>
      </c>
      <c r="I643" t="str">
        <f>SUBSTITUTE(Table1[[#This Row],[Separate combined words ]],"?","")</f>
        <v>Epsom  Road</v>
      </c>
      <c r="J643" t="str">
        <f>TRIM(Table1[[#This Row],[Remove Question Mark "?"]])</f>
        <v>Epsom Road</v>
      </c>
      <c r="K643" t="str">
        <f>PROPER(Table1[[#This Row],[Leading, Multiple &amp; Trailing spaces]])</f>
        <v>Epsom Road</v>
      </c>
      <c r="L643" t="str">
        <f t="shared" si="9"/>
        <v>Epsom Road</v>
      </c>
      <c r="M643" t="s">
        <v>2361</v>
      </c>
    </row>
    <row r="644" spans="1:13" x14ac:dyDescent="0.3">
      <c r="A644">
        <v>641</v>
      </c>
      <c r="B644" t="s">
        <v>2362</v>
      </c>
      <c r="C644" t="s">
        <v>2363</v>
      </c>
      <c r="D644" t="s">
        <v>2353</v>
      </c>
      <c r="E644" t="s">
        <v>2364</v>
      </c>
      <c r="F644" t="s">
        <v>913</v>
      </c>
      <c r="G644" t="str">
        <f xml:space="preserve"> PROPER(_xlfn.CONCAT(Table1[[#This Row],[Title]]," ",Table1[[#This Row],[First Name]]," ",Table1[[#This Row],[Last Name]]))</f>
        <v>Mr Ken Bouchard</v>
      </c>
      <c r="H644" t="str">
        <f>SUBSTITUTE(Table1[[#This Row],[Street]],"Road"," Road")</f>
        <v>Dale Green</v>
      </c>
      <c r="I644" t="str">
        <f>SUBSTITUTE(Table1[[#This Row],[Separate combined words ]],"?","")</f>
        <v>Dale Green</v>
      </c>
      <c r="J644" t="str">
        <f>TRIM(Table1[[#This Row],[Remove Question Mark "?"]])</f>
        <v>Dale Green</v>
      </c>
      <c r="K644" t="str">
        <f>PROPER(Table1[[#This Row],[Leading, Multiple &amp; Trailing spaces]])</f>
        <v>Dale Green</v>
      </c>
      <c r="L644" t="str">
        <f t="shared" si="9"/>
        <v>Dale Green</v>
      </c>
      <c r="M644" t="s">
        <v>2364</v>
      </c>
    </row>
    <row r="645" spans="1:13" x14ac:dyDescent="0.3">
      <c r="A645">
        <v>642</v>
      </c>
      <c r="B645" t="s">
        <v>2365</v>
      </c>
      <c r="C645" t="s">
        <v>2366</v>
      </c>
      <c r="D645" t="s">
        <v>2353</v>
      </c>
      <c r="E645" t="s">
        <v>2367</v>
      </c>
      <c r="F645" t="s">
        <v>342</v>
      </c>
      <c r="G645" t="str">
        <f xml:space="preserve"> PROPER(_xlfn.CONCAT(Table1[[#This Row],[Title]]," ",Table1[[#This Row],[First Name]]," ",Table1[[#This Row],[Last Name]]))</f>
        <v>Mr Peter Coleman</v>
      </c>
      <c r="H645" t="str">
        <f>SUBSTITUTE(Table1[[#This Row],[Street]],"Road"," Road")</f>
        <v>Lovegrove Cottages</v>
      </c>
      <c r="I645" t="str">
        <f>SUBSTITUTE(Table1[[#This Row],[Separate combined words ]],"?","")</f>
        <v>Lovegrove Cottages</v>
      </c>
      <c r="J645" t="str">
        <f>TRIM(Table1[[#This Row],[Remove Question Mark "?"]])</f>
        <v>Lovegrove Cottages</v>
      </c>
      <c r="K645" t="str">
        <f>PROPER(Table1[[#This Row],[Leading, Multiple &amp; Trailing spaces]])</f>
        <v>Lovegrove Cottages</v>
      </c>
      <c r="L645" t="str">
        <f t="shared" ref="L645:L708" si="10">TRIM(PROPER(SUBSTITUTE(SUBSTITUTE((E645),"?",""),"Road"," Road")))</f>
        <v>Lovegrove Cottages</v>
      </c>
      <c r="M645" t="s">
        <v>2367</v>
      </c>
    </row>
    <row r="646" spans="1:13" x14ac:dyDescent="0.3">
      <c r="A646">
        <v>643</v>
      </c>
      <c r="B646" t="s">
        <v>2368</v>
      </c>
      <c r="C646" t="s">
        <v>377</v>
      </c>
      <c r="D646" t="s">
        <v>2353</v>
      </c>
      <c r="E646" t="s">
        <v>2369</v>
      </c>
      <c r="F646" t="s">
        <v>639</v>
      </c>
      <c r="G646" t="str">
        <f xml:space="preserve"> PROPER(_xlfn.CONCAT(Table1[[#This Row],[Title]]," ",Table1[[#This Row],[First Name]]," ",Table1[[#This Row],[Last Name]]))</f>
        <v>Mr Vincent Mcnally</v>
      </c>
      <c r="H646" t="str">
        <f>SUBSTITUTE(Table1[[#This Row],[Street]],"Road"," Road")</f>
        <v>Turner Avenue</v>
      </c>
      <c r="I646" t="str">
        <f>SUBSTITUTE(Table1[[#This Row],[Separate combined words ]],"?","")</f>
        <v>Turner Avenue</v>
      </c>
      <c r="J646" t="str">
        <f>TRIM(Table1[[#This Row],[Remove Question Mark "?"]])</f>
        <v>Turner Avenue</v>
      </c>
      <c r="K646" t="str">
        <f>PROPER(Table1[[#This Row],[Leading, Multiple &amp; Trailing spaces]])</f>
        <v>Turner Avenue</v>
      </c>
      <c r="L646" t="str">
        <f t="shared" si="10"/>
        <v>Turner Avenue</v>
      </c>
      <c r="M646" t="s">
        <v>2369</v>
      </c>
    </row>
    <row r="647" spans="1:13" x14ac:dyDescent="0.3">
      <c r="A647">
        <v>644</v>
      </c>
      <c r="B647" t="s">
        <v>2370</v>
      </c>
      <c r="C647" t="s">
        <v>831</v>
      </c>
      <c r="D647" t="s">
        <v>2353</v>
      </c>
      <c r="E647" t="s">
        <v>2371</v>
      </c>
      <c r="F647" t="s">
        <v>1538</v>
      </c>
      <c r="G647" t="str">
        <f xml:space="preserve"> PROPER(_xlfn.CONCAT(Table1[[#This Row],[Title]]," ",Table1[[#This Row],[First Name]]," ",Table1[[#This Row],[Last Name]]))</f>
        <v>Mr Nigel Lindsey</v>
      </c>
      <c r="H647" t="str">
        <f>SUBSTITUTE(Table1[[#This Row],[Street]],"Road"," Road")</f>
        <v>Appleby  Road</v>
      </c>
      <c r="I647" t="str">
        <f>SUBSTITUTE(Table1[[#This Row],[Separate combined words ]],"?","")</f>
        <v>Appleby  Road</v>
      </c>
      <c r="J647" t="str">
        <f>TRIM(Table1[[#This Row],[Remove Question Mark "?"]])</f>
        <v>Appleby Road</v>
      </c>
      <c r="K647" t="str">
        <f>PROPER(Table1[[#This Row],[Leading, Multiple &amp; Trailing spaces]])</f>
        <v>Appleby Road</v>
      </c>
      <c r="L647" t="str">
        <f t="shared" si="10"/>
        <v>Appleby Road</v>
      </c>
      <c r="M647" t="s">
        <v>2371</v>
      </c>
    </row>
    <row r="648" spans="1:13" x14ac:dyDescent="0.3">
      <c r="A648">
        <v>645</v>
      </c>
      <c r="B648" t="s">
        <v>2372</v>
      </c>
      <c r="C648" t="s">
        <v>1380</v>
      </c>
      <c r="D648" t="s">
        <v>2353</v>
      </c>
      <c r="E648" t="s">
        <v>2373</v>
      </c>
      <c r="F648" t="s">
        <v>2374</v>
      </c>
      <c r="G648" t="str">
        <f xml:space="preserve"> PROPER(_xlfn.CONCAT(Table1[[#This Row],[Title]]," ",Table1[[#This Row],[First Name]]," ",Table1[[#This Row],[Last Name]]))</f>
        <v>Mr Judson Wall</v>
      </c>
      <c r="H648" t="str">
        <f>SUBSTITUTE(Table1[[#This Row],[Street]],"Road"," Road")</f>
        <v>Percy Mews</v>
      </c>
      <c r="I648" t="str">
        <f>SUBSTITUTE(Table1[[#This Row],[Separate combined words ]],"?","")</f>
        <v>Percy Mews</v>
      </c>
      <c r="J648" t="str">
        <f>TRIM(Table1[[#This Row],[Remove Question Mark "?"]])</f>
        <v>Percy Mews</v>
      </c>
      <c r="K648" t="str">
        <f>PROPER(Table1[[#This Row],[Leading, Multiple &amp; Trailing spaces]])</f>
        <v>Percy Mews</v>
      </c>
      <c r="L648" t="str">
        <f t="shared" si="10"/>
        <v>Percy Mews</v>
      </c>
      <c r="M648" t="s">
        <v>2373</v>
      </c>
    </row>
    <row r="649" spans="1:13" x14ac:dyDescent="0.3">
      <c r="A649">
        <v>646</v>
      </c>
      <c r="B649" t="s">
        <v>2375</v>
      </c>
      <c r="C649" t="s">
        <v>2376</v>
      </c>
      <c r="D649" t="s">
        <v>2353</v>
      </c>
      <c r="E649" t="s">
        <v>2377</v>
      </c>
      <c r="F649" t="s">
        <v>725</v>
      </c>
      <c r="G649" t="str">
        <f xml:space="preserve"> PROPER(_xlfn.CONCAT(Table1[[#This Row],[Title]]," ",Table1[[#This Row],[First Name]]," ",Table1[[#This Row],[Last Name]]))</f>
        <v>Mr Jerrell Hogue</v>
      </c>
      <c r="H649" t="str">
        <f>SUBSTITUTE(Table1[[#This Row],[Street]],"Road"," Road")</f>
        <v>Verity Close</v>
      </c>
      <c r="I649" t="str">
        <f>SUBSTITUTE(Table1[[#This Row],[Separate combined words ]],"?","")</f>
        <v>Verity Close</v>
      </c>
      <c r="J649" t="str">
        <f>TRIM(Table1[[#This Row],[Remove Question Mark "?"]])</f>
        <v>Verity Close</v>
      </c>
      <c r="K649" t="str">
        <f>PROPER(Table1[[#This Row],[Leading, Multiple &amp; Trailing spaces]])</f>
        <v>Verity Close</v>
      </c>
      <c r="L649" t="str">
        <f t="shared" si="10"/>
        <v>Verity Close</v>
      </c>
      <c r="M649" t="s">
        <v>2377</v>
      </c>
    </row>
    <row r="650" spans="1:13" x14ac:dyDescent="0.3">
      <c r="A650">
        <v>647</v>
      </c>
      <c r="B650" t="s">
        <v>2378</v>
      </c>
      <c r="C650" t="s">
        <v>2379</v>
      </c>
      <c r="D650" t="s">
        <v>2353</v>
      </c>
      <c r="E650" t="s">
        <v>2380</v>
      </c>
      <c r="F650" t="s">
        <v>590</v>
      </c>
      <c r="G650" t="str">
        <f xml:space="preserve"> PROPER(_xlfn.CONCAT(Table1[[#This Row],[Title]]," ",Table1[[#This Row],[First Name]]," ",Table1[[#This Row],[Last Name]]))</f>
        <v>Mr Dirk Flood</v>
      </c>
      <c r="H650" t="str">
        <f>SUBSTITUTE(Table1[[#This Row],[Street]],"Road"," Road")</f>
        <v>York Square</v>
      </c>
      <c r="I650" t="str">
        <f>SUBSTITUTE(Table1[[#This Row],[Separate combined words ]],"?","")</f>
        <v>York Square</v>
      </c>
      <c r="J650" t="str">
        <f>TRIM(Table1[[#This Row],[Remove Question Mark "?"]])</f>
        <v>York Square</v>
      </c>
      <c r="K650" t="str">
        <f>PROPER(Table1[[#This Row],[Leading, Multiple &amp; Trailing spaces]])</f>
        <v>York Square</v>
      </c>
      <c r="L650" t="str">
        <f t="shared" si="10"/>
        <v>York Square</v>
      </c>
      <c r="M650" t="s">
        <v>2380</v>
      </c>
    </row>
    <row r="651" spans="1:13" x14ac:dyDescent="0.3">
      <c r="A651">
        <v>648</v>
      </c>
      <c r="B651" t="s">
        <v>2381</v>
      </c>
      <c r="C651" t="s">
        <v>2212</v>
      </c>
      <c r="D651" t="s">
        <v>2353</v>
      </c>
      <c r="E651" t="s">
        <v>2382</v>
      </c>
      <c r="F651" t="s">
        <v>1902</v>
      </c>
      <c r="G651" t="str">
        <f xml:space="preserve"> PROPER(_xlfn.CONCAT(Table1[[#This Row],[Title]]," ",Table1[[#This Row],[First Name]]," ",Table1[[#This Row],[Last Name]]))</f>
        <v>Mr Chas Blackmon</v>
      </c>
      <c r="H651" t="str">
        <f>SUBSTITUTE(Table1[[#This Row],[Street]],"Road"," Road")</f>
        <v>Kempshead  Road</v>
      </c>
      <c r="I651" t="str">
        <f>SUBSTITUTE(Table1[[#This Row],[Separate combined words ]],"?","")</f>
        <v>Kempshead  Road</v>
      </c>
      <c r="J651" t="str">
        <f>TRIM(Table1[[#This Row],[Remove Question Mark "?"]])</f>
        <v>Kempshead Road</v>
      </c>
      <c r="K651" t="str">
        <f>PROPER(Table1[[#This Row],[Leading, Multiple &amp; Trailing spaces]])</f>
        <v>Kempshead Road</v>
      </c>
      <c r="L651" t="str">
        <f t="shared" si="10"/>
        <v>Kempshead Road</v>
      </c>
      <c r="M651" t="s">
        <v>2382</v>
      </c>
    </row>
    <row r="652" spans="1:13" x14ac:dyDescent="0.3">
      <c r="A652">
        <v>649</v>
      </c>
      <c r="B652" t="s">
        <v>1070</v>
      </c>
      <c r="C652" t="s">
        <v>519</v>
      </c>
      <c r="D652" t="s">
        <v>2353</v>
      </c>
      <c r="E652" t="s">
        <v>2383</v>
      </c>
      <c r="F652" t="s">
        <v>2384</v>
      </c>
      <c r="G652" t="str">
        <f xml:space="preserve"> PROPER(_xlfn.CONCAT(Table1[[#This Row],[Title]]," ",Table1[[#This Row],[First Name]]," ",Table1[[#This Row],[Last Name]]))</f>
        <v>Mr Leon Montano</v>
      </c>
      <c r="H652" t="str">
        <f>SUBSTITUTE(Table1[[#This Row],[Street]],"Road"," Road")</f>
        <v>Gwudon Lodge</v>
      </c>
      <c r="I652" t="str">
        <f>SUBSTITUTE(Table1[[#This Row],[Separate combined words ]],"?","")</f>
        <v>Gwudon Lodge</v>
      </c>
      <c r="J652" t="str">
        <f>TRIM(Table1[[#This Row],[Remove Question Mark "?"]])</f>
        <v>Gwudon Lodge</v>
      </c>
      <c r="K652" t="str">
        <f>PROPER(Table1[[#This Row],[Leading, Multiple &amp; Trailing spaces]])</f>
        <v>Gwudon Lodge</v>
      </c>
      <c r="L652" t="str">
        <f t="shared" si="10"/>
        <v>Gwudon Lodge</v>
      </c>
      <c r="M652" t="s">
        <v>2383</v>
      </c>
    </row>
    <row r="653" spans="1:13" x14ac:dyDescent="0.3">
      <c r="A653">
        <v>650</v>
      </c>
      <c r="B653" t="s">
        <v>2385</v>
      </c>
      <c r="C653" t="s">
        <v>2386</v>
      </c>
      <c r="D653" t="s">
        <v>2353</v>
      </c>
      <c r="E653" t="s">
        <v>2387</v>
      </c>
      <c r="F653" t="s">
        <v>605</v>
      </c>
      <c r="G653" t="str">
        <f xml:space="preserve"> PROPER(_xlfn.CONCAT(Table1[[#This Row],[Title]]," ",Table1[[#This Row],[First Name]]," ",Table1[[#This Row],[Last Name]]))</f>
        <v>Mr Jed Barnhart</v>
      </c>
      <c r="H653" t="str">
        <f>SUBSTITUTE(Table1[[#This Row],[Street]],"Road"," Road")</f>
        <v>Sailsbury Villas</v>
      </c>
      <c r="I653" t="str">
        <f>SUBSTITUTE(Table1[[#This Row],[Separate combined words ]],"?","")</f>
        <v>Sailsbury Villas</v>
      </c>
      <c r="J653" t="str">
        <f>TRIM(Table1[[#This Row],[Remove Question Mark "?"]])</f>
        <v>Sailsbury Villas</v>
      </c>
      <c r="K653" t="str">
        <f>PROPER(Table1[[#This Row],[Leading, Multiple &amp; Trailing spaces]])</f>
        <v>Sailsbury Villas</v>
      </c>
      <c r="L653" t="str">
        <f t="shared" si="10"/>
        <v>Sailsbury Villas</v>
      </c>
      <c r="M653" t="s">
        <v>2387</v>
      </c>
    </row>
    <row r="654" spans="1:13" x14ac:dyDescent="0.3">
      <c r="A654">
        <v>651</v>
      </c>
      <c r="B654" t="s">
        <v>547</v>
      </c>
      <c r="C654" t="s">
        <v>453</v>
      </c>
      <c r="D654" t="s">
        <v>2353</v>
      </c>
      <c r="E654" t="s">
        <v>2388</v>
      </c>
      <c r="F654" t="s">
        <v>399</v>
      </c>
      <c r="G654" t="str">
        <f xml:space="preserve"> PROPER(_xlfn.CONCAT(Table1[[#This Row],[Title]]," ",Table1[[#This Row],[First Name]]," ",Table1[[#This Row],[Last Name]]))</f>
        <v>Mr Boyd Franks</v>
      </c>
      <c r="H654" t="str">
        <f>SUBSTITUTE(Table1[[#This Row],[Street]],"Road"," Road")</f>
        <v>Queen Place</v>
      </c>
      <c r="I654" t="str">
        <f>SUBSTITUTE(Table1[[#This Row],[Separate combined words ]],"?","")</f>
        <v>Queen Place</v>
      </c>
      <c r="J654" t="str">
        <f>TRIM(Table1[[#This Row],[Remove Question Mark "?"]])</f>
        <v>Queen Place</v>
      </c>
      <c r="K654" t="str">
        <f>PROPER(Table1[[#This Row],[Leading, Multiple &amp; Trailing spaces]])</f>
        <v>Queen Place</v>
      </c>
      <c r="L654" t="str">
        <f t="shared" si="10"/>
        <v>Queen Place</v>
      </c>
      <c r="M654" t="s">
        <v>2388</v>
      </c>
    </row>
    <row r="655" spans="1:13" x14ac:dyDescent="0.3">
      <c r="A655">
        <v>652</v>
      </c>
      <c r="B655" t="s">
        <v>2389</v>
      </c>
      <c r="C655" t="s">
        <v>2390</v>
      </c>
      <c r="D655" t="s">
        <v>2353</v>
      </c>
      <c r="E655" t="s">
        <v>2391</v>
      </c>
      <c r="F655" t="s">
        <v>2392</v>
      </c>
      <c r="G655" t="str">
        <f xml:space="preserve"> PROPER(_xlfn.CONCAT(Table1[[#This Row],[Title]]," ",Table1[[#This Row],[First Name]]," ",Table1[[#This Row],[Last Name]]))</f>
        <v>Mr Bryce Ritter</v>
      </c>
      <c r="H655" t="str">
        <f>SUBSTITUTE(Table1[[#This Row],[Street]],"Road"," Road")</f>
        <v>Paley Street</v>
      </c>
      <c r="I655" t="str">
        <f>SUBSTITUTE(Table1[[#This Row],[Separate combined words ]],"?","")</f>
        <v>Paley Street</v>
      </c>
      <c r="J655" t="str">
        <f>TRIM(Table1[[#This Row],[Remove Question Mark "?"]])</f>
        <v>Paley Street</v>
      </c>
      <c r="K655" t="str">
        <f>PROPER(Table1[[#This Row],[Leading, Multiple &amp; Trailing spaces]])</f>
        <v>Paley Street</v>
      </c>
      <c r="L655" t="str">
        <f t="shared" si="10"/>
        <v>Paley Street</v>
      </c>
      <c r="M655" t="s">
        <v>2391</v>
      </c>
    </row>
    <row r="656" spans="1:13" x14ac:dyDescent="0.3">
      <c r="A656">
        <v>653</v>
      </c>
      <c r="B656" t="s">
        <v>2123</v>
      </c>
      <c r="C656" t="s">
        <v>2393</v>
      </c>
      <c r="D656" t="s">
        <v>2353</v>
      </c>
      <c r="E656" t="s">
        <v>2394</v>
      </c>
      <c r="F656" t="s">
        <v>2395</v>
      </c>
      <c r="G656" t="str">
        <f xml:space="preserve"> PROPER(_xlfn.CONCAT(Table1[[#This Row],[Title]]," ",Table1[[#This Row],[First Name]]," ",Table1[[#This Row],[Last Name]]))</f>
        <v>Mr Henry Shultz</v>
      </c>
      <c r="H656" t="str">
        <f>SUBSTITUTE(Table1[[#This Row],[Street]],"Road"," Road")</f>
        <v>Branford Terrace</v>
      </c>
      <c r="I656" t="str">
        <f>SUBSTITUTE(Table1[[#This Row],[Separate combined words ]],"?","")</f>
        <v>Branford Terrace</v>
      </c>
      <c r="J656" t="str">
        <f>TRIM(Table1[[#This Row],[Remove Question Mark "?"]])</f>
        <v>Branford Terrace</v>
      </c>
      <c r="K656" t="str">
        <f>PROPER(Table1[[#This Row],[Leading, Multiple &amp; Trailing spaces]])</f>
        <v>Branford Terrace</v>
      </c>
      <c r="L656" t="str">
        <f t="shared" si="10"/>
        <v>Branford Terrace</v>
      </c>
      <c r="M656" t="s">
        <v>2394</v>
      </c>
    </row>
    <row r="657" spans="1:13" x14ac:dyDescent="0.3">
      <c r="A657">
        <v>654</v>
      </c>
      <c r="B657" t="s">
        <v>2396</v>
      </c>
      <c r="C657" t="s">
        <v>1691</v>
      </c>
      <c r="D657" t="s">
        <v>2353</v>
      </c>
      <c r="E657" t="s">
        <v>2397</v>
      </c>
      <c r="F657" t="s">
        <v>438</v>
      </c>
      <c r="G657" t="str">
        <f xml:space="preserve"> PROPER(_xlfn.CONCAT(Table1[[#This Row],[Title]]," ",Table1[[#This Row],[First Name]]," ",Table1[[#This Row],[Last Name]]))</f>
        <v>Mr Jared Pierce</v>
      </c>
      <c r="H657" t="str">
        <f>SUBSTITUTE(Table1[[#This Row],[Street]],"Road"," Road")</f>
        <v>Dale Row</v>
      </c>
      <c r="I657" t="str">
        <f>SUBSTITUTE(Table1[[#This Row],[Separate combined words ]],"?","")</f>
        <v>Dale Row</v>
      </c>
      <c r="J657" t="str">
        <f>TRIM(Table1[[#This Row],[Remove Question Mark "?"]])</f>
        <v>Dale Row</v>
      </c>
      <c r="K657" t="str">
        <f>PROPER(Table1[[#This Row],[Leading, Multiple &amp; Trailing spaces]])</f>
        <v>Dale Row</v>
      </c>
      <c r="L657" t="str">
        <f t="shared" si="10"/>
        <v>Dale Row</v>
      </c>
      <c r="M657" t="s">
        <v>2397</v>
      </c>
    </row>
    <row r="658" spans="1:13" x14ac:dyDescent="0.3">
      <c r="A658">
        <v>655</v>
      </c>
      <c r="B658" t="s">
        <v>1371</v>
      </c>
      <c r="C658" t="s">
        <v>2398</v>
      </c>
      <c r="D658" t="s">
        <v>2353</v>
      </c>
      <c r="E658" t="s">
        <v>2399</v>
      </c>
      <c r="F658" t="s">
        <v>33</v>
      </c>
      <c r="G658" t="str">
        <f xml:space="preserve"> PROPER(_xlfn.CONCAT(Table1[[#This Row],[Title]]," ",Table1[[#This Row],[First Name]]," ",Table1[[#This Row],[Last Name]]))</f>
        <v>Mr Toney Pickens</v>
      </c>
      <c r="H658" t="str">
        <f>SUBSTITUTE(Table1[[#This Row],[Street]],"Road"," Road")</f>
        <v>Homelands</v>
      </c>
      <c r="I658" t="str">
        <f>SUBSTITUTE(Table1[[#This Row],[Separate combined words ]],"?","")</f>
        <v>Homelands</v>
      </c>
      <c r="J658" t="str">
        <f>TRIM(Table1[[#This Row],[Remove Question Mark "?"]])</f>
        <v>Homelands</v>
      </c>
      <c r="K658" t="str">
        <f>PROPER(Table1[[#This Row],[Leading, Multiple &amp; Trailing spaces]])</f>
        <v>Homelands</v>
      </c>
      <c r="L658" t="str">
        <f t="shared" si="10"/>
        <v>Homelands</v>
      </c>
      <c r="M658" t="s">
        <v>2399</v>
      </c>
    </row>
    <row r="659" spans="1:13" x14ac:dyDescent="0.3">
      <c r="A659">
        <v>656</v>
      </c>
      <c r="B659" t="s">
        <v>406</v>
      </c>
      <c r="C659" t="s">
        <v>759</v>
      </c>
      <c r="D659" t="s">
        <v>55</v>
      </c>
      <c r="E659" t="s">
        <v>2400</v>
      </c>
      <c r="F659" t="s">
        <v>1560</v>
      </c>
      <c r="G659" t="str">
        <f xml:space="preserve"> PROPER(_xlfn.CONCAT(Table1[[#This Row],[Title]]," ",Table1[[#This Row],[First Name]]," ",Table1[[#This Row],[Last Name]]))</f>
        <v>Prof Bobbie Vernon</v>
      </c>
      <c r="H659" t="str">
        <f>SUBSTITUTE(Table1[[#This Row],[Street]],"Road"," Road")</f>
        <v>Crummock Gardens</v>
      </c>
      <c r="I659" t="str">
        <f>SUBSTITUTE(Table1[[#This Row],[Separate combined words ]],"?","")</f>
        <v>Crummock Gardens</v>
      </c>
      <c r="J659" t="str">
        <f>TRIM(Table1[[#This Row],[Remove Question Mark "?"]])</f>
        <v>Crummock Gardens</v>
      </c>
      <c r="K659" t="str">
        <f>PROPER(Table1[[#This Row],[Leading, Multiple &amp; Trailing spaces]])</f>
        <v>Crummock Gardens</v>
      </c>
      <c r="L659" t="str">
        <f t="shared" si="10"/>
        <v>Crummock Gardens</v>
      </c>
      <c r="M659" t="s">
        <v>2400</v>
      </c>
    </row>
    <row r="660" spans="1:13" x14ac:dyDescent="0.3">
      <c r="A660">
        <v>657</v>
      </c>
      <c r="B660" t="s">
        <v>2401</v>
      </c>
      <c r="C660" t="s">
        <v>2402</v>
      </c>
      <c r="D660" t="s">
        <v>2353</v>
      </c>
      <c r="E660" t="s">
        <v>2403</v>
      </c>
      <c r="F660" t="s">
        <v>600</v>
      </c>
      <c r="G660" t="str">
        <f xml:space="preserve"> PROPER(_xlfn.CONCAT(Table1[[#This Row],[Title]]," ",Table1[[#This Row],[First Name]]," ",Table1[[#This Row],[Last Name]]))</f>
        <v>Mr Philip Rushing</v>
      </c>
      <c r="H660" t="str">
        <f>SUBSTITUTE(Table1[[#This Row],[Street]],"Road"," Road")</f>
        <v>Burdett Avenue</v>
      </c>
      <c r="I660" t="str">
        <f>SUBSTITUTE(Table1[[#This Row],[Separate combined words ]],"?","")</f>
        <v>Burdett Avenue</v>
      </c>
      <c r="J660" t="str">
        <f>TRIM(Table1[[#This Row],[Remove Question Mark "?"]])</f>
        <v>Burdett Avenue</v>
      </c>
      <c r="K660" t="str">
        <f>PROPER(Table1[[#This Row],[Leading, Multiple &amp; Trailing spaces]])</f>
        <v>Burdett Avenue</v>
      </c>
      <c r="L660" t="str">
        <f t="shared" si="10"/>
        <v>Burdett Avenue</v>
      </c>
      <c r="M660" t="s">
        <v>2403</v>
      </c>
    </row>
    <row r="661" spans="1:13" x14ac:dyDescent="0.3">
      <c r="A661">
        <v>658</v>
      </c>
      <c r="B661" t="s">
        <v>2404</v>
      </c>
      <c r="C661" t="s">
        <v>2405</v>
      </c>
      <c r="D661" t="s">
        <v>2353</v>
      </c>
      <c r="E661" t="s">
        <v>2406</v>
      </c>
      <c r="F661" t="s">
        <v>2407</v>
      </c>
      <c r="G661" t="str">
        <f xml:space="preserve"> PROPER(_xlfn.CONCAT(Table1[[#This Row],[Title]]," ",Table1[[#This Row],[First Name]]," ",Table1[[#This Row],[Last Name]]))</f>
        <v>Mr Lamont Nunez</v>
      </c>
      <c r="H661" t="str">
        <f>SUBSTITUTE(Table1[[#This Row],[Street]],"Road"," Road")</f>
        <v>Union Drive</v>
      </c>
      <c r="I661" t="str">
        <f>SUBSTITUTE(Table1[[#This Row],[Separate combined words ]],"?","")</f>
        <v>Union Drive</v>
      </c>
      <c r="J661" t="str">
        <f>TRIM(Table1[[#This Row],[Remove Question Mark "?"]])</f>
        <v>Union Drive</v>
      </c>
      <c r="K661" t="str">
        <f>PROPER(Table1[[#This Row],[Leading, Multiple &amp; Trailing spaces]])</f>
        <v>Union Drive</v>
      </c>
      <c r="L661" t="str">
        <f t="shared" si="10"/>
        <v>Union Drive</v>
      </c>
      <c r="M661" t="s">
        <v>2406</v>
      </c>
    </row>
    <row r="662" spans="1:13" x14ac:dyDescent="0.3">
      <c r="A662">
        <v>659</v>
      </c>
      <c r="B662" t="s">
        <v>692</v>
      </c>
      <c r="C662" t="s">
        <v>2408</v>
      </c>
      <c r="D662" t="s">
        <v>2353</v>
      </c>
      <c r="E662" t="s">
        <v>717</v>
      </c>
      <c r="F662" t="s">
        <v>178</v>
      </c>
      <c r="G662" t="str">
        <f xml:space="preserve"> PROPER(_xlfn.CONCAT(Table1[[#This Row],[Title]]," ",Table1[[#This Row],[First Name]]," ",Table1[[#This Row],[Last Name]]))</f>
        <v>Mr Walter Lange</v>
      </c>
      <c r="H662" t="str">
        <f>SUBSTITUTE(Table1[[#This Row],[Street]],"Road"," Road")</f>
        <v>Sutherland Avenue</v>
      </c>
      <c r="I662" t="str">
        <f>SUBSTITUTE(Table1[[#This Row],[Separate combined words ]],"?","")</f>
        <v>Sutherland Avenue</v>
      </c>
      <c r="J662" t="str">
        <f>TRIM(Table1[[#This Row],[Remove Question Mark "?"]])</f>
        <v>Sutherland Avenue</v>
      </c>
      <c r="K662" t="str">
        <f>PROPER(Table1[[#This Row],[Leading, Multiple &amp; Trailing spaces]])</f>
        <v>Sutherland Avenue</v>
      </c>
      <c r="L662" t="str">
        <f t="shared" si="10"/>
        <v>Sutherland Avenue</v>
      </c>
      <c r="M662" t="s">
        <v>717</v>
      </c>
    </row>
    <row r="663" spans="1:13" x14ac:dyDescent="0.3">
      <c r="A663">
        <v>660</v>
      </c>
      <c r="B663" t="s">
        <v>2409</v>
      </c>
      <c r="C663" t="s">
        <v>2410</v>
      </c>
      <c r="D663" t="s">
        <v>2353</v>
      </c>
      <c r="E663" t="s">
        <v>2411</v>
      </c>
      <c r="F663" t="s">
        <v>2412</v>
      </c>
      <c r="G663" t="str">
        <f xml:space="preserve"> PROPER(_xlfn.CONCAT(Table1[[#This Row],[Title]]," ",Table1[[#This Row],[First Name]]," ",Table1[[#This Row],[Last Name]]))</f>
        <v>Mr Ahmed Dahl</v>
      </c>
      <c r="H663" t="str">
        <f>SUBSTITUTE(Table1[[#This Row],[Street]],"Road"," Road")</f>
        <v>Bangor Street</v>
      </c>
      <c r="I663" t="str">
        <f>SUBSTITUTE(Table1[[#This Row],[Separate combined words ]],"?","")</f>
        <v>Bangor Street</v>
      </c>
      <c r="J663" t="str">
        <f>TRIM(Table1[[#This Row],[Remove Question Mark "?"]])</f>
        <v>Bangor Street</v>
      </c>
      <c r="K663" t="str">
        <f>PROPER(Table1[[#This Row],[Leading, Multiple &amp; Trailing spaces]])</f>
        <v>Bangor Street</v>
      </c>
      <c r="L663" t="str">
        <f t="shared" si="10"/>
        <v>Bangor Street</v>
      </c>
      <c r="M663" t="s">
        <v>2411</v>
      </c>
    </row>
    <row r="664" spans="1:13" x14ac:dyDescent="0.3">
      <c r="A664">
        <v>661</v>
      </c>
      <c r="B664" t="s">
        <v>1061</v>
      </c>
      <c r="C664" t="s">
        <v>1777</v>
      </c>
      <c r="D664" t="s">
        <v>2353</v>
      </c>
      <c r="E664" t="s">
        <v>2413</v>
      </c>
      <c r="F664" t="s">
        <v>2326</v>
      </c>
      <c r="G664" t="str">
        <f xml:space="preserve"> PROPER(_xlfn.CONCAT(Table1[[#This Row],[Title]]," ",Table1[[#This Row],[First Name]]," ",Table1[[#This Row],[Last Name]]))</f>
        <v>Mr Wallace Metcalf</v>
      </c>
      <c r="H664" t="str">
        <f>SUBSTITUTE(Table1[[#This Row],[Street]],"Road"," Road")</f>
        <v>Thomas Doyle</v>
      </c>
      <c r="I664" t="str">
        <f>SUBSTITUTE(Table1[[#This Row],[Separate combined words ]],"?","")</f>
        <v>Thomas Doyle</v>
      </c>
      <c r="J664" t="str">
        <f>TRIM(Table1[[#This Row],[Remove Question Mark "?"]])</f>
        <v>Thomas Doyle</v>
      </c>
      <c r="K664" t="str">
        <f>PROPER(Table1[[#This Row],[Leading, Multiple &amp; Trailing spaces]])</f>
        <v>Thomas Doyle</v>
      </c>
      <c r="L664" t="str">
        <f t="shared" si="10"/>
        <v>Thomas Doyle</v>
      </c>
      <c r="M664" t="s">
        <v>2413</v>
      </c>
    </row>
    <row r="665" spans="1:13" x14ac:dyDescent="0.3">
      <c r="A665">
        <v>662</v>
      </c>
      <c r="B665" t="s">
        <v>2414</v>
      </c>
      <c r="C665" t="s">
        <v>2415</v>
      </c>
      <c r="D665" t="s">
        <v>2353</v>
      </c>
      <c r="E665" t="s">
        <v>2416</v>
      </c>
      <c r="F665" t="s">
        <v>2417</v>
      </c>
      <c r="G665" t="str">
        <f xml:space="preserve"> PROPER(_xlfn.CONCAT(Table1[[#This Row],[Title]]," ",Table1[[#This Row],[First Name]]," ",Table1[[#This Row],[Last Name]]))</f>
        <v>Mr Randell Dye</v>
      </c>
      <c r="H665" t="str">
        <f>SUBSTITUTE(Table1[[#This Row],[Street]],"Road"," Road")</f>
        <v>Echo Heights</v>
      </c>
      <c r="I665" t="str">
        <f>SUBSTITUTE(Table1[[#This Row],[Separate combined words ]],"?","")</f>
        <v>Echo Heights</v>
      </c>
      <c r="J665" t="str">
        <f>TRIM(Table1[[#This Row],[Remove Question Mark "?"]])</f>
        <v>Echo Heights</v>
      </c>
      <c r="K665" t="str">
        <f>PROPER(Table1[[#This Row],[Leading, Multiple &amp; Trailing spaces]])</f>
        <v>Echo Heights</v>
      </c>
      <c r="L665" t="str">
        <f t="shared" si="10"/>
        <v>Echo Heights</v>
      </c>
      <c r="M665" t="s">
        <v>2416</v>
      </c>
    </row>
    <row r="666" spans="1:13" x14ac:dyDescent="0.3">
      <c r="A666">
        <v>663</v>
      </c>
      <c r="B666" t="s">
        <v>2396</v>
      </c>
      <c r="C666" t="s">
        <v>2418</v>
      </c>
      <c r="D666" t="s">
        <v>2353</v>
      </c>
      <c r="E666" t="s">
        <v>2419</v>
      </c>
      <c r="F666" t="s">
        <v>2420</v>
      </c>
      <c r="G666" t="str">
        <f xml:space="preserve"> PROPER(_xlfn.CONCAT(Table1[[#This Row],[Title]]," ",Table1[[#This Row],[First Name]]," ",Table1[[#This Row],[Last Name]]))</f>
        <v>Mr Jared Darnell</v>
      </c>
      <c r="H666" t="str">
        <f>SUBSTITUTE(Table1[[#This Row],[Street]],"Road"," Road")</f>
        <v>Hasler Close</v>
      </c>
      <c r="I666" t="str">
        <f>SUBSTITUTE(Table1[[#This Row],[Separate combined words ]],"?","")</f>
        <v>Hasler Close</v>
      </c>
      <c r="J666" t="str">
        <f>TRIM(Table1[[#This Row],[Remove Question Mark "?"]])</f>
        <v>Hasler Close</v>
      </c>
      <c r="K666" t="str">
        <f>PROPER(Table1[[#This Row],[Leading, Multiple &amp; Trailing spaces]])</f>
        <v>Hasler Close</v>
      </c>
      <c r="L666" t="str">
        <f t="shared" si="10"/>
        <v>Hasler Close</v>
      </c>
      <c r="M666" t="s">
        <v>2419</v>
      </c>
    </row>
    <row r="667" spans="1:13" x14ac:dyDescent="0.3">
      <c r="A667">
        <v>664</v>
      </c>
      <c r="B667" t="s">
        <v>2421</v>
      </c>
      <c r="C667" t="s">
        <v>2422</v>
      </c>
      <c r="D667" t="s">
        <v>2353</v>
      </c>
      <c r="E667" t="s">
        <v>2423</v>
      </c>
      <c r="F667" t="s">
        <v>473</v>
      </c>
      <c r="G667" t="str">
        <f xml:space="preserve"> PROPER(_xlfn.CONCAT(Table1[[#This Row],[Title]]," ",Table1[[#This Row],[First Name]]," ",Table1[[#This Row],[Last Name]]))</f>
        <v>Mr Troy Harden</v>
      </c>
      <c r="H667" t="str">
        <f>SUBSTITUTE(Table1[[#This Row],[Street]],"Road"," Road")</f>
        <v>Oldbury Place</v>
      </c>
      <c r="I667" t="str">
        <f>SUBSTITUTE(Table1[[#This Row],[Separate combined words ]],"?","")</f>
        <v>Oldbury Place</v>
      </c>
      <c r="J667" t="str">
        <f>TRIM(Table1[[#This Row],[Remove Question Mark "?"]])</f>
        <v>Oldbury Place</v>
      </c>
      <c r="K667" t="str">
        <f>PROPER(Table1[[#This Row],[Leading, Multiple &amp; Trailing spaces]])</f>
        <v>Oldbury Place</v>
      </c>
      <c r="L667" t="str">
        <f t="shared" si="10"/>
        <v>Oldbury Place</v>
      </c>
      <c r="M667" t="s">
        <v>2423</v>
      </c>
    </row>
    <row r="668" spans="1:13" x14ac:dyDescent="0.3">
      <c r="A668">
        <v>665</v>
      </c>
      <c r="B668" t="s">
        <v>2424</v>
      </c>
      <c r="C668" t="s">
        <v>958</v>
      </c>
      <c r="D668" t="s">
        <v>2353</v>
      </c>
      <c r="E668" t="s">
        <v>2425</v>
      </c>
      <c r="F668" t="s">
        <v>2426</v>
      </c>
      <c r="G668" t="str">
        <f xml:space="preserve"> PROPER(_xlfn.CONCAT(Table1[[#This Row],[Title]]," ",Table1[[#This Row],[First Name]]," ",Table1[[#This Row],[Last Name]]))</f>
        <v>Mr Spencer Edmonds</v>
      </c>
      <c r="H668" t="str">
        <f>SUBSTITUTE(Table1[[#This Row],[Street]],"Road"," Road")</f>
        <v>Faulkners Alley</v>
      </c>
      <c r="I668" t="str">
        <f>SUBSTITUTE(Table1[[#This Row],[Separate combined words ]],"?","")</f>
        <v>Faulkners Alley</v>
      </c>
      <c r="J668" t="str">
        <f>TRIM(Table1[[#This Row],[Remove Question Mark "?"]])</f>
        <v>Faulkners Alley</v>
      </c>
      <c r="K668" t="str">
        <f>PROPER(Table1[[#This Row],[Leading, Multiple &amp; Trailing spaces]])</f>
        <v>Faulkners Alley</v>
      </c>
      <c r="L668" t="str">
        <f t="shared" si="10"/>
        <v>Faulkners Alley</v>
      </c>
      <c r="M668" t="s">
        <v>2425</v>
      </c>
    </row>
    <row r="669" spans="1:13" x14ac:dyDescent="0.3">
      <c r="A669">
        <v>666</v>
      </c>
      <c r="B669" t="s">
        <v>2427</v>
      </c>
      <c r="C669" t="s">
        <v>884</v>
      </c>
      <c r="D669" t="s">
        <v>2353</v>
      </c>
      <c r="E669" t="s">
        <v>2428</v>
      </c>
      <c r="F669" t="s">
        <v>81</v>
      </c>
      <c r="G669" t="str">
        <f xml:space="preserve"> PROPER(_xlfn.CONCAT(Table1[[#This Row],[Title]]," ",Table1[[#This Row],[First Name]]," ",Table1[[#This Row],[Last Name]]))</f>
        <v>Mr Parker Malone</v>
      </c>
      <c r="H669" t="str">
        <f>SUBSTITUTE(Table1[[#This Row],[Street]],"Road"," Road")</f>
        <v>Goldcrest Mews</v>
      </c>
      <c r="I669" t="str">
        <f>SUBSTITUTE(Table1[[#This Row],[Separate combined words ]],"?","")</f>
        <v>Goldcrest Mews</v>
      </c>
      <c r="J669" t="str">
        <f>TRIM(Table1[[#This Row],[Remove Question Mark "?"]])</f>
        <v>Goldcrest Mews</v>
      </c>
      <c r="K669" t="str">
        <f>PROPER(Table1[[#This Row],[Leading, Multiple &amp; Trailing spaces]])</f>
        <v>Goldcrest Mews</v>
      </c>
      <c r="L669" t="str">
        <f t="shared" si="10"/>
        <v>Goldcrest Mews</v>
      </c>
      <c r="M669" t="s">
        <v>2428</v>
      </c>
    </row>
    <row r="670" spans="1:13" x14ac:dyDescent="0.3">
      <c r="A670">
        <v>667</v>
      </c>
      <c r="B670" t="s">
        <v>2429</v>
      </c>
      <c r="C670" t="s">
        <v>2430</v>
      </c>
      <c r="D670" t="s">
        <v>2353</v>
      </c>
      <c r="E670" t="s">
        <v>2431</v>
      </c>
      <c r="F670" t="s">
        <v>501</v>
      </c>
      <c r="G670" t="str">
        <f xml:space="preserve"> PROPER(_xlfn.CONCAT(Table1[[#This Row],[Title]]," ",Table1[[#This Row],[First Name]]," ",Table1[[#This Row],[Last Name]]))</f>
        <v>Mr Dorian Schmitz</v>
      </c>
      <c r="H670" t="str">
        <f>SUBSTITUTE(Table1[[#This Row],[Street]],"Road"," Road")</f>
        <v>Wykeham Rise</v>
      </c>
      <c r="I670" t="str">
        <f>SUBSTITUTE(Table1[[#This Row],[Separate combined words ]],"?","")</f>
        <v>Wykeham Rise</v>
      </c>
      <c r="J670" t="str">
        <f>TRIM(Table1[[#This Row],[Remove Question Mark "?"]])</f>
        <v>Wykeham Rise</v>
      </c>
      <c r="K670" t="str">
        <f>PROPER(Table1[[#This Row],[Leading, Multiple &amp; Trailing spaces]])</f>
        <v>Wykeham Rise</v>
      </c>
      <c r="L670" t="str">
        <f t="shared" si="10"/>
        <v>Wykeham Rise</v>
      </c>
      <c r="M670" t="s">
        <v>2431</v>
      </c>
    </row>
    <row r="671" spans="1:13" x14ac:dyDescent="0.3">
      <c r="A671">
        <v>668</v>
      </c>
      <c r="B671" t="s">
        <v>2432</v>
      </c>
      <c r="C671" t="s">
        <v>1114</v>
      </c>
      <c r="D671" t="s">
        <v>2353</v>
      </c>
      <c r="E671" t="s">
        <v>2433</v>
      </c>
      <c r="F671" t="s">
        <v>530</v>
      </c>
      <c r="G671" t="str">
        <f xml:space="preserve"> PROPER(_xlfn.CONCAT(Table1[[#This Row],[Title]]," ",Table1[[#This Row],[First Name]]," ",Table1[[#This Row],[Last Name]]))</f>
        <v>Mr Wilbert Self</v>
      </c>
      <c r="H671" t="str">
        <f>SUBSTITUTE(Table1[[#This Row],[Street]],"Road"," Road")</f>
        <v>Tapp Street</v>
      </c>
      <c r="I671" t="str">
        <f>SUBSTITUTE(Table1[[#This Row],[Separate combined words ]],"?","")</f>
        <v>Tapp Street</v>
      </c>
      <c r="J671" t="str">
        <f>TRIM(Table1[[#This Row],[Remove Question Mark "?"]])</f>
        <v>Tapp Street</v>
      </c>
      <c r="K671" t="str">
        <f>PROPER(Table1[[#This Row],[Leading, Multiple &amp; Trailing spaces]])</f>
        <v>Tapp Street</v>
      </c>
      <c r="L671" t="str">
        <f t="shared" si="10"/>
        <v>Tapp Street</v>
      </c>
      <c r="M671" t="s">
        <v>2433</v>
      </c>
    </row>
    <row r="672" spans="1:13" x14ac:dyDescent="0.3">
      <c r="A672">
        <v>669</v>
      </c>
      <c r="B672" t="s">
        <v>2434</v>
      </c>
      <c r="C672" t="s">
        <v>2435</v>
      </c>
      <c r="D672" t="s">
        <v>2353</v>
      </c>
      <c r="E672" t="s">
        <v>2436</v>
      </c>
      <c r="F672" t="s">
        <v>2437</v>
      </c>
      <c r="G672" t="str">
        <f xml:space="preserve"> PROPER(_xlfn.CONCAT(Table1[[#This Row],[Title]]," ",Table1[[#This Row],[First Name]]," ",Table1[[#This Row],[Last Name]]))</f>
        <v>Mr Winston Daly</v>
      </c>
      <c r="H672" t="str">
        <f>SUBSTITUTE(Table1[[#This Row],[Street]],"Road"," Road")</f>
        <v>Leafield Close</v>
      </c>
      <c r="I672" t="str">
        <f>SUBSTITUTE(Table1[[#This Row],[Separate combined words ]],"?","")</f>
        <v>Leafield Close</v>
      </c>
      <c r="J672" t="str">
        <f>TRIM(Table1[[#This Row],[Remove Question Mark "?"]])</f>
        <v>Leafield Close</v>
      </c>
      <c r="K672" t="str">
        <f>PROPER(Table1[[#This Row],[Leading, Multiple &amp; Trailing spaces]])</f>
        <v>Leafield Close</v>
      </c>
      <c r="L672" t="str">
        <f t="shared" si="10"/>
        <v>Leafield Close</v>
      </c>
      <c r="M672" t="s">
        <v>2436</v>
      </c>
    </row>
    <row r="673" spans="1:13" x14ac:dyDescent="0.3">
      <c r="A673">
        <v>670</v>
      </c>
      <c r="B673" t="s">
        <v>2438</v>
      </c>
      <c r="C673" t="s">
        <v>1335</v>
      </c>
      <c r="D673" t="s">
        <v>2353</v>
      </c>
      <c r="E673" t="s">
        <v>2439</v>
      </c>
      <c r="F673" t="s">
        <v>2440</v>
      </c>
      <c r="G673" t="str">
        <f xml:space="preserve"> PROPER(_xlfn.CONCAT(Table1[[#This Row],[Title]]," ",Table1[[#This Row],[First Name]]," ",Table1[[#This Row],[Last Name]]))</f>
        <v>Mr Thaddeus Valdez</v>
      </c>
      <c r="H673" t="str">
        <f>SUBSTITUTE(Table1[[#This Row],[Street]],"Road"," Road")</f>
        <v>Booker Close</v>
      </c>
      <c r="I673" t="str">
        <f>SUBSTITUTE(Table1[[#This Row],[Separate combined words ]],"?","")</f>
        <v>Booker Close</v>
      </c>
      <c r="J673" t="str">
        <f>TRIM(Table1[[#This Row],[Remove Question Mark "?"]])</f>
        <v>Booker Close</v>
      </c>
      <c r="K673" t="str">
        <f>PROPER(Table1[[#This Row],[Leading, Multiple &amp; Trailing spaces]])</f>
        <v>Booker Close</v>
      </c>
      <c r="L673" t="str">
        <f t="shared" si="10"/>
        <v>Booker Close</v>
      </c>
      <c r="M673" t="s">
        <v>2439</v>
      </c>
    </row>
    <row r="674" spans="1:13" x14ac:dyDescent="0.3">
      <c r="A674">
        <v>671</v>
      </c>
      <c r="B674" t="s">
        <v>2218</v>
      </c>
      <c r="C674" t="s">
        <v>2441</v>
      </c>
      <c r="D674" t="s">
        <v>2353</v>
      </c>
      <c r="E674" t="s">
        <v>2442</v>
      </c>
      <c r="F674" t="s">
        <v>2443</v>
      </c>
      <c r="G674" t="str">
        <f xml:space="preserve"> PROPER(_xlfn.CONCAT(Table1[[#This Row],[Title]]," ",Table1[[#This Row],[First Name]]," ",Table1[[#This Row],[Last Name]]))</f>
        <v>Mr Frank Brantley</v>
      </c>
      <c r="H674" t="str">
        <f>SUBSTITUTE(Table1[[#This Row],[Street]],"Road"," Road")</f>
        <v>Colquhoun Place</v>
      </c>
      <c r="I674" t="str">
        <f>SUBSTITUTE(Table1[[#This Row],[Separate combined words ]],"?","")</f>
        <v>Colquhoun Place</v>
      </c>
      <c r="J674" t="str">
        <f>TRIM(Table1[[#This Row],[Remove Question Mark "?"]])</f>
        <v>Colquhoun Place</v>
      </c>
      <c r="K674" t="str">
        <f>PROPER(Table1[[#This Row],[Leading, Multiple &amp; Trailing spaces]])</f>
        <v>Colquhoun Place</v>
      </c>
      <c r="L674" t="str">
        <f t="shared" si="10"/>
        <v>Colquhoun Place</v>
      </c>
      <c r="M674" t="s">
        <v>2442</v>
      </c>
    </row>
    <row r="675" spans="1:13" x14ac:dyDescent="0.3">
      <c r="A675">
        <v>672</v>
      </c>
      <c r="B675" t="s">
        <v>2444</v>
      </c>
      <c r="C675" t="s">
        <v>475</v>
      </c>
      <c r="D675" t="s">
        <v>2353</v>
      </c>
      <c r="E675" t="s">
        <v>2445</v>
      </c>
      <c r="F675" t="s">
        <v>1179</v>
      </c>
      <c r="G675" t="str">
        <f xml:space="preserve"> PROPER(_xlfn.CONCAT(Table1[[#This Row],[Title]]," ",Table1[[#This Row],[First Name]]," ",Table1[[#This Row],[Last Name]]))</f>
        <v>Mr Jae Pritchard</v>
      </c>
      <c r="H675" t="str">
        <f>SUBSTITUTE(Table1[[#This Row],[Street]],"Road"," Road")</f>
        <v>Britannia Close</v>
      </c>
      <c r="I675" t="str">
        <f>SUBSTITUTE(Table1[[#This Row],[Separate combined words ]],"?","")</f>
        <v>Britannia Close</v>
      </c>
      <c r="J675" t="str">
        <f>TRIM(Table1[[#This Row],[Remove Question Mark "?"]])</f>
        <v>Britannia Close</v>
      </c>
      <c r="K675" t="str">
        <f>PROPER(Table1[[#This Row],[Leading, Multiple &amp; Trailing spaces]])</f>
        <v>Britannia Close</v>
      </c>
      <c r="L675" t="str">
        <f t="shared" si="10"/>
        <v>Britannia Close</v>
      </c>
      <c r="M675" t="s">
        <v>2445</v>
      </c>
    </row>
    <row r="676" spans="1:13" x14ac:dyDescent="0.3">
      <c r="A676">
        <v>673</v>
      </c>
      <c r="B676" t="s">
        <v>2446</v>
      </c>
      <c r="C676" t="s">
        <v>398</v>
      </c>
      <c r="D676" t="s">
        <v>2353</v>
      </c>
      <c r="E676" t="s">
        <v>2447</v>
      </c>
      <c r="F676" t="s">
        <v>1737</v>
      </c>
      <c r="G676" t="str">
        <f xml:space="preserve"> PROPER(_xlfn.CONCAT(Table1[[#This Row],[Title]]," ",Table1[[#This Row],[First Name]]," ",Table1[[#This Row],[Last Name]]))</f>
        <v>Mr Morton Barrow</v>
      </c>
      <c r="H676" t="str">
        <f>SUBSTITUTE(Table1[[#This Row],[Street]],"Road"," Road")</f>
        <v>Brixton Station</v>
      </c>
      <c r="I676" t="str">
        <f>SUBSTITUTE(Table1[[#This Row],[Separate combined words ]],"?","")</f>
        <v>Brixton Station</v>
      </c>
      <c r="J676" t="str">
        <f>TRIM(Table1[[#This Row],[Remove Question Mark "?"]])</f>
        <v>Brixton Station</v>
      </c>
      <c r="K676" t="str">
        <f>PROPER(Table1[[#This Row],[Leading, Multiple &amp; Trailing spaces]])</f>
        <v>Brixton Station</v>
      </c>
      <c r="L676" t="str">
        <f t="shared" si="10"/>
        <v>Brixton Station</v>
      </c>
      <c r="M676" t="s">
        <v>2447</v>
      </c>
    </row>
    <row r="677" spans="1:13" x14ac:dyDescent="0.3">
      <c r="A677">
        <v>674</v>
      </c>
      <c r="B677" t="s">
        <v>2448</v>
      </c>
      <c r="C677" t="s">
        <v>2449</v>
      </c>
      <c r="D677" t="s">
        <v>2353</v>
      </c>
      <c r="E677" t="s">
        <v>2450</v>
      </c>
      <c r="F677" t="s">
        <v>2010</v>
      </c>
      <c r="G677" t="str">
        <f xml:space="preserve"> PROPER(_xlfn.CONCAT(Table1[[#This Row],[Title]]," ",Table1[[#This Row],[First Name]]," ",Table1[[#This Row],[Last Name]]))</f>
        <v>Mr Mitch Prince</v>
      </c>
      <c r="H677" t="str">
        <f>SUBSTITUTE(Table1[[#This Row],[Street]],"Road"," Road")</f>
        <v>Stockwell Terrace</v>
      </c>
      <c r="I677" t="str">
        <f>SUBSTITUTE(Table1[[#This Row],[Separate combined words ]],"?","")</f>
        <v>Stockwell Terrace</v>
      </c>
      <c r="J677" t="str">
        <f>TRIM(Table1[[#This Row],[Remove Question Mark "?"]])</f>
        <v>Stockwell Terrace</v>
      </c>
      <c r="K677" t="str">
        <f>PROPER(Table1[[#This Row],[Leading, Multiple &amp; Trailing spaces]])</f>
        <v>Stockwell Terrace</v>
      </c>
      <c r="L677" t="str">
        <f t="shared" si="10"/>
        <v>Stockwell Terrace</v>
      </c>
      <c r="M677" t="s">
        <v>2450</v>
      </c>
    </row>
    <row r="678" spans="1:13" x14ac:dyDescent="0.3">
      <c r="A678">
        <v>675</v>
      </c>
      <c r="B678" t="s">
        <v>2451</v>
      </c>
      <c r="C678">
        <v>0</v>
      </c>
      <c r="D678" t="s">
        <v>2353</v>
      </c>
      <c r="E678" t="s">
        <v>2452</v>
      </c>
      <c r="F678" t="s">
        <v>1779</v>
      </c>
      <c r="G678" t="str">
        <f xml:space="preserve"> PROPER(_xlfn.CONCAT(Table1[[#This Row],[Title]]," ",Table1[[#This Row],[First Name]]," ",Table1[[#This Row],[Last Name]]))</f>
        <v>Mr Alonso 0</v>
      </c>
      <c r="H678" t="str">
        <f>SUBSTITUTE(Table1[[#This Row],[Street]],"Road"," Road")</f>
        <v>Benthal  Road</v>
      </c>
      <c r="I678" t="str">
        <f>SUBSTITUTE(Table1[[#This Row],[Separate combined words ]],"?","")</f>
        <v>Benthal  Road</v>
      </c>
      <c r="J678" t="str">
        <f>TRIM(Table1[[#This Row],[Remove Question Mark "?"]])</f>
        <v>Benthal Road</v>
      </c>
      <c r="K678" t="str">
        <f>PROPER(Table1[[#This Row],[Leading, Multiple &amp; Trailing spaces]])</f>
        <v>Benthal Road</v>
      </c>
      <c r="L678" t="str">
        <f t="shared" si="10"/>
        <v>Benthal Road</v>
      </c>
      <c r="M678" t="s">
        <v>2452</v>
      </c>
    </row>
    <row r="679" spans="1:13" x14ac:dyDescent="0.3">
      <c r="A679">
        <v>676</v>
      </c>
      <c r="B679" t="s">
        <v>2453</v>
      </c>
      <c r="C679" t="s">
        <v>2454</v>
      </c>
      <c r="D679" t="s">
        <v>2353</v>
      </c>
      <c r="E679" t="s">
        <v>2455</v>
      </c>
      <c r="F679" t="s">
        <v>2456</v>
      </c>
      <c r="G679" t="str">
        <f xml:space="preserve"> PROPER(_xlfn.CONCAT(Table1[[#This Row],[Title]]," ",Table1[[#This Row],[First Name]]," ",Table1[[#This Row],[Last Name]]))</f>
        <v>Mr Guillermo Giles</v>
      </c>
      <c r="H679" t="str">
        <f>SUBSTITUTE(Table1[[#This Row],[Street]],"Road"," Road")</f>
        <v>Brackenbury Gardens</v>
      </c>
      <c r="I679" t="str">
        <f>SUBSTITUTE(Table1[[#This Row],[Separate combined words ]],"?","")</f>
        <v>Brackenbury Gardens</v>
      </c>
      <c r="J679" t="str">
        <f>TRIM(Table1[[#This Row],[Remove Question Mark "?"]])</f>
        <v>Brackenbury Gardens</v>
      </c>
      <c r="K679" t="str">
        <f>PROPER(Table1[[#This Row],[Leading, Multiple &amp; Trailing spaces]])</f>
        <v>Brackenbury Gardens</v>
      </c>
      <c r="L679" t="str">
        <f t="shared" si="10"/>
        <v>Brackenbury Gardens</v>
      </c>
      <c r="M679" t="s">
        <v>2455</v>
      </c>
    </row>
    <row r="680" spans="1:13" x14ac:dyDescent="0.3">
      <c r="A680">
        <v>677</v>
      </c>
      <c r="B680" t="s">
        <v>2457</v>
      </c>
      <c r="C680" t="s">
        <v>1771</v>
      </c>
      <c r="D680" t="s">
        <v>2353</v>
      </c>
      <c r="E680" t="s">
        <v>2458</v>
      </c>
      <c r="F680" t="s">
        <v>1099</v>
      </c>
      <c r="G680" t="str">
        <f xml:space="preserve"> PROPER(_xlfn.CONCAT(Table1[[#This Row],[Title]]," ",Table1[[#This Row],[First Name]]," ",Table1[[#This Row],[Last Name]]))</f>
        <v>Mr Adrian Parham</v>
      </c>
      <c r="H680" t="str">
        <f>SUBSTITUTE(Table1[[#This Row],[Street]],"Road"," Road")</f>
        <v>Sloane Court</v>
      </c>
      <c r="I680" t="str">
        <f>SUBSTITUTE(Table1[[#This Row],[Separate combined words ]],"?","")</f>
        <v>Sloane Court</v>
      </c>
      <c r="J680" t="str">
        <f>TRIM(Table1[[#This Row],[Remove Question Mark "?"]])</f>
        <v>Sloane Court</v>
      </c>
      <c r="K680" t="str">
        <f>PROPER(Table1[[#This Row],[Leading, Multiple &amp; Trailing spaces]])</f>
        <v>Sloane Court</v>
      </c>
      <c r="L680" t="str">
        <f t="shared" si="10"/>
        <v>Sloane Court</v>
      </c>
      <c r="M680" t="s">
        <v>2458</v>
      </c>
    </row>
    <row r="681" spans="1:13" x14ac:dyDescent="0.3">
      <c r="A681">
        <v>678</v>
      </c>
      <c r="B681" t="s">
        <v>2459</v>
      </c>
      <c r="C681" t="s">
        <v>2460</v>
      </c>
      <c r="D681" t="s">
        <v>2353</v>
      </c>
      <c r="E681" t="s">
        <v>617</v>
      </c>
      <c r="F681" t="s">
        <v>423</v>
      </c>
      <c r="G681" t="str">
        <f xml:space="preserve"> PROPER(_xlfn.CONCAT(Table1[[#This Row],[Title]]," ",Table1[[#This Row],[First Name]]," ",Table1[[#This Row],[Last Name]]))</f>
        <v>Mr Brain Calloway</v>
      </c>
      <c r="H681" t="str">
        <f>SUBSTITUTE(Table1[[#This Row],[Street]],"Road"," Road")</f>
        <v>Westminster Bridge</v>
      </c>
      <c r="I681" t="str">
        <f>SUBSTITUTE(Table1[[#This Row],[Separate combined words ]],"?","")</f>
        <v>Westminster Bridge</v>
      </c>
      <c r="J681" t="str">
        <f>TRIM(Table1[[#This Row],[Remove Question Mark "?"]])</f>
        <v>Westminster Bridge</v>
      </c>
      <c r="K681" t="str">
        <f>PROPER(Table1[[#This Row],[Leading, Multiple &amp; Trailing spaces]])</f>
        <v>Westminster Bridge</v>
      </c>
      <c r="L681" t="str">
        <f t="shared" si="10"/>
        <v>Westminster Bridge</v>
      </c>
      <c r="M681" t="s">
        <v>617</v>
      </c>
    </row>
    <row r="682" spans="1:13" x14ac:dyDescent="0.3">
      <c r="A682">
        <v>679</v>
      </c>
      <c r="B682" t="s">
        <v>2409</v>
      </c>
      <c r="C682" t="s">
        <v>616</v>
      </c>
      <c r="D682" t="s">
        <v>2353</v>
      </c>
      <c r="E682" t="s">
        <v>2461</v>
      </c>
      <c r="F682" t="s">
        <v>2462</v>
      </c>
      <c r="G682" t="str">
        <f xml:space="preserve"> PROPER(_xlfn.CONCAT(Table1[[#This Row],[Title]]," ",Table1[[#This Row],[First Name]]," ",Table1[[#This Row],[Last Name]]))</f>
        <v>Mr Ahmed Rudolph</v>
      </c>
      <c r="H682" t="str">
        <f>SUBSTITUTE(Table1[[#This Row],[Street]],"Road"," Road")</f>
        <v>Greenwood Terrace</v>
      </c>
      <c r="I682" t="str">
        <f>SUBSTITUTE(Table1[[#This Row],[Separate combined words ]],"?","")</f>
        <v>Greenwood Terrace</v>
      </c>
      <c r="J682" t="str">
        <f>TRIM(Table1[[#This Row],[Remove Question Mark "?"]])</f>
        <v>Greenwood Terrace</v>
      </c>
      <c r="K682" t="str">
        <f>PROPER(Table1[[#This Row],[Leading, Multiple &amp; Trailing spaces]])</f>
        <v>Greenwood Terrace</v>
      </c>
      <c r="L682" t="str">
        <f t="shared" si="10"/>
        <v>Greenwood Terrace</v>
      </c>
      <c r="M682" t="s">
        <v>2461</v>
      </c>
    </row>
    <row r="683" spans="1:13" x14ac:dyDescent="0.3">
      <c r="A683">
        <v>680</v>
      </c>
      <c r="B683" t="s">
        <v>1768</v>
      </c>
      <c r="C683" t="s">
        <v>2463</v>
      </c>
      <c r="D683" t="s">
        <v>2353</v>
      </c>
      <c r="E683" t="s">
        <v>2464</v>
      </c>
      <c r="F683" t="s">
        <v>703</v>
      </c>
      <c r="G683" t="str">
        <f xml:space="preserve"> PROPER(_xlfn.CONCAT(Table1[[#This Row],[Title]]," ",Table1[[#This Row],[First Name]]," ",Table1[[#This Row],[Last Name]]))</f>
        <v>Mr Billy Starr</v>
      </c>
      <c r="H683" t="str">
        <f>SUBSTITUTE(Table1[[#This Row],[Street]],"Road"," Road")</f>
        <v>Coke Street</v>
      </c>
      <c r="I683" t="str">
        <f>SUBSTITUTE(Table1[[#This Row],[Separate combined words ]],"?","")</f>
        <v>Coke Street</v>
      </c>
      <c r="J683" t="str">
        <f>TRIM(Table1[[#This Row],[Remove Question Mark "?"]])</f>
        <v>Coke Street</v>
      </c>
      <c r="K683" t="str">
        <f>PROPER(Table1[[#This Row],[Leading, Multiple &amp; Trailing spaces]])</f>
        <v>Coke Street</v>
      </c>
      <c r="L683" t="str">
        <f t="shared" si="10"/>
        <v>Coke Street</v>
      </c>
      <c r="M683" t="s">
        <v>2464</v>
      </c>
    </row>
    <row r="684" spans="1:13" x14ac:dyDescent="0.3">
      <c r="A684">
        <v>681</v>
      </c>
      <c r="B684" t="s">
        <v>2465</v>
      </c>
      <c r="C684" t="s">
        <v>2422</v>
      </c>
      <c r="D684" t="s">
        <v>2353</v>
      </c>
      <c r="E684" t="s">
        <v>2466</v>
      </c>
      <c r="F684" t="s">
        <v>440</v>
      </c>
      <c r="G684" t="str">
        <f xml:space="preserve"> PROPER(_xlfn.CONCAT(Table1[[#This Row],[Title]]," ",Table1[[#This Row],[First Name]]," ",Table1[[#This Row],[Last Name]]))</f>
        <v>Mr Ezekiel Harden</v>
      </c>
      <c r="H684" t="str">
        <f>SUBSTITUTE(Table1[[#This Row],[Street]],"Road"," Road")</f>
        <v>Trafalgar Square</v>
      </c>
      <c r="I684" t="str">
        <f>SUBSTITUTE(Table1[[#This Row],[Separate combined words ]],"?","")</f>
        <v>Trafalgar Square</v>
      </c>
      <c r="J684" t="str">
        <f>TRIM(Table1[[#This Row],[Remove Question Mark "?"]])</f>
        <v>Trafalgar Square</v>
      </c>
      <c r="K684" t="str">
        <f>PROPER(Table1[[#This Row],[Leading, Multiple &amp; Trailing spaces]])</f>
        <v>Trafalgar Square</v>
      </c>
      <c r="L684" t="str">
        <f t="shared" si="10"/>
        <v>Trafalgar Square</v>
      </c>
      <c r="M684" t="s">
        <v>2466</v>
      </c>
    </row>
    <row r="685" spans="1:13" x14ac:dyDescent="0.3">
      <c r="A685">
        <v>682</v>
      </c>
      <c r="B685" t="s">
        <v>2467</v>
      </c>
      <c r="C685" t="s">
        <v>2468</v>
      </c>
      <c r="D685" t="s">
        <v>2469</v>
      </c>
      <c r="E685" t="s">
        <v>2470</v>
      </c>
      <c r="F685" t="s">
        <v>2471</v>
      </c>
      <c r="G685" t="str">
        <f xml:space="preserve"> PROPER(_xlfn.CONCAT(Table1[[#This Row],[Title]]," ",Table1[[#This Row],[First Name]]," ",Table1[[#This Row],[Last Name]]))</f>
        <v>Rev Josue Marrero</v>
      </c>
      <c r="H685" t="str">
        <f>SUBSTITUTE(Table1[[#This Row],[Street]],"Road"," Road")</f>
        <v>Courtleigh Gardens</v>
      </c>
      <c r="I685" t="str">
        <f>SUBSTITUTE(Table1[[#This Row],[Separate combined words ]],"?","")</f>
        <v>Courtleigh Gardens</v>
      </c>
      <c r="J685" t="str">
        <f>TRIM(Table1[[#This Row],[Remove Question Mark "?"]])</f>
        <v>Courtleigh Gardens</v>
      </c>
      <c r="K685" t="str">
        <f>PROPER(Table1[[#This Row],[Leading, Multiple &amp; Trailing spaces]])</f>
        <v>Courtleigh Gardens</v>
      </c>
      <c r="L685" t="str">
        <f t="shared" si="10"/>
        <v>Courtleigh Gardens</v>
      </c>
      <c r="M685" t="s">
        <v>2470</v>
      </c>
    </row>
    <row r="686" spans="1:13" x14ac:dyDescent="0.3">
      <c r="A686">
        <v>683</v>
      </c>
      <c r="B686" t="s">
        <v>2472</v>
      </c>
      <c r="C686" t="s">
        <v>2473</v>
      </c>
      <c r="D686" t="s">
        <v>2353</v>
      </c>
      <c r="E686" t="s">
        <v>2474</v>
      </c>
      <c r="F686" t="s">
        <v>607</v>
      </c>
      <c r="G686" t="str">
        <f xml:space="preserve"> PROPER(_xlfn.CONCAT(Table1[[#This Row],[Title]]," ",Table1[[#This Row],[First Name]]," ",Table1[[#This Row],[Last Name]]))</f>
        <v>Mr Adolfo Downing</v>
      </c>
      <c r="H686" t="str">
        <f>SUBSTITUTE(Table1[[#This Row],[Street]],"Road"," Road")</f>
        <v>Esmerelda  Road</v>
      </c>
      <c r="I686" t="str">
        <f>SUBSTITUTE(Table1[[#This Row],[Separate combined words ]],"?","")</f>
        <v>Esmerelda  Road</v>
      </c>
      <c r="J686" t="str">
        <f>TRIM(Table1[[#This Row],[Remove Question Mark "?"]])</f>
        <v>Esmerelda Road</v>
      </c>
      <c r="K686" t="str">
        <f>PROPER(Table1[[#This Row],[Leading, Multiple &amp; Trailing spaces]])</f>
        <v>Esmerelda Road</v>
      </c>
      <c r="L686" t="str">
        <f t="shared" si="10"/>
        <v>Esmerelda Road</v>
      </c>
      <c r="M686" t="s">
        <v>2474</v>
      </c>
    </row>
    <row r="687" spans="1:13" x14ac:dyDescent="0.3">
      <c r="A687">
        <v>684</v>
      </c>
      <c r="B687" t="s">
        <v>2475</v>
      </c>
      <c r="C687" t="s">
        <v>618</v>
      </c>
      <c r="D687" t="s">
        <v>2353</v>
      </c>
      <c r="E687" t="s">
        <v>2476</v>
      </c>
      <c r="F687" t="s">
        <v>1163</v>
      </c>
      <c r="G687" t="str">
        <f xml:space="preserve"> PROPER(_xlfn.CONCAT(Table1[[#This Row],[Title]]," ",Table1[[#This Row],[First Name]]," ",Table1[[#This Row],[Last Name]]))</f>
        <v>Mr Armando Kemp</v>
      </c>
      <c r="H687" t="str">
        <f>SUBSTITUTE(Table1[[#This Row],[Street]],"Road"," Road")</f>
        <v>Aftab Terrace</v>
      </c>
      <c r="I687" t="str">
        <f>SUBSTITUTE(Table1[[#This Row],[Separate combined words ]],"?","")</f>
        <v>Aftab Terrace</v>
      </c>
      <c r="J687" t="str">
        <f>TRIM(Table1[[#This Row],[Remove Question Mark "?"]])</f>
        <v>Aftab Terrace</v>
      </c>
      <c r="K687" t="str">
        <f>PROPER(Table1[[#This Row],[Leading, Multiple &amp; Trailing spaces]])</f>
        <v>Aftab Terrace</v>
      </c>
      <c r="L687" t="str">
        <f t="shared" si="10"/>
        <v>Aftab Terrace</v>
      </c>
      <c r="M687" t="s">
        <v>2476</v>
      </c>
    </row>
    <row r="688" spans="1:13" x14ac:dyDescent="0.3">
      <c r="A688">
        <v>685</v>
      </c>
      <c r="B688" t="s">
        <v>2477</v>
      </c>
      <c r="C688" t="s">
        <v>2478</v>
      </c>
      <c r="D688" t="s">
        <v>2353</v>
      </c>
      <c r="E688" t="s">
        <v>2479</v>
      </c>
      <c r="F688" t="s">
        <v>430</v>
      </c>
      <c r="G688" t="str">
        <f xml:space="preserve"> PROPER(_xlfn.CONCAT(Table1[[#This Row],[Title]]," ",Table1[[#This Row],[First Name]]," ",Table1[[#This Row],[Last Name]]))</f>
        <v>Mr Markus Seals</v>
      </c>
      <c r="H688" t="str">
        <f>SUBSTITUTE(Table1[[#This Row],[Street]],"Road"," Road")</f>
        <v>Redcliffe Mews</v>
      </c>
      <c r="I688" t="str">
        <f>SUBSTITUTE(Table1[[#This Row],[Separate combined words ]],"?","")</f>
        <v>Redcliffe Mews</v>
      </c>
      <c r="J688" t="str">
        <f>TRIM(Table1[[#This Row],[Remove Question Mark "?"]])</f>
        <v>Redcliffe Mews</v>
      </c>
      <c r="K688" t="str">
        <f>PROPER(Table1[[#This Row],[Leading, Multiple &amp; Trailing spaces]])</f>
        <v>Redcliffe Mews</v>
      </c>
      <c r="L688" t="str">
        <f t="shared" si="10"/>
        <v>Redcliffe Mews</v>
      </c>
      <c r="M688" t="s">
        <v>2479</v>
      </c>
    </row>
    <row r="689" spans="1:13" x14ac:dyDescent="0.3">
      <c r="A689">
        <v>686</v>
      </c>
      <c r="B689" t="s">
        <v>665</v>
      </c>
      <c r="C689" t="s">
        <v>2480</v>
      </c>
      <c r="D689" t="s">
        <v>2353</v>
      </c>
      <c r="E689" t="s">
        <v>2481</v>
      </c>
      <c r="F689" t="s">
        <v>2482</v>
      </c>
      <c r="G689" t="str">
        <f xml:space="preserve"> PROPER(_xlfn.CONCAT(Table1[[#This Row],[Title]]," ",Table1[[#This Row],[First Name]]," ",Table1[[#This Row],[Last Name]]))</f>
        <v>Mr Reyes Swift</v>
      </c>
      <c r="H689" t="str">
        <f>SUBSTITUTE(Table1[[#This Row],[Street]],"Road"," Road")</f>
        <v>Hambledown Chase</v>
      </c>
      <c r="I689" t="str">
        <f>SUBSTITUTE(Table1[[#This Row],[Separate combined words ]],"?","")</f>
        <v>Hambledown Chase</v>
      </c>
      <c r="J689" t="str">
        <f>TRIM(Table1[[#This Row],[Remove Question Mark "?"]])</f>
        <v>Hambledown Chase</v>
      </c>
      <c r="K689" t="str">
        <f>PROPER(Table1[[#This Row],[Leading, Multiple &amp; Trailing spaces]])</f>
        <v>Hambledown Chase</v>
      </c>
      <c r="L689" t="str">
        <f t="shared" si="10"/>
        <v>Hambledown Chase</v>
      </c>
      <c r="M689" t="s">
        <v>2481</v>
      </c>
    </row>
    <row r="690" spans="1:13" x14ac:dyDescent="0.3">
      <c r="A690">
        <v>687</v>
      </c>
      <c r="B690" t="s">
        <v>2483</v>
      </c>
      <c r="C690" t="s">
        <v>261</v>
      </c>
      <c r="D690" t="s">
        <v>2353</v>
      </c>
      <c r="E690" t="s">
        <v>2484</v>
      </c>
      <c r="F690" t="s">
        <v>2485</v>
      </c>
      <c r="G690" t="str">
        <f xml:space="preserve"> PROPER(_xlfn.CONCAT(Table1[[#This Row],[Title]]," ",Table1[[#This Row],[First Name]]," ",Table1[[#This Row],[Last Name]]))</f>
        <v>Mr Graham Payton</v>
      </c>
      <c r="H690" t="str">
        <f>SUBSTITUTE(Table1[[#This Row],[Street]],"Road"," Road")</f>
        <v>Shepperton Street</v>
      </c>
      <c r="I690" t="str">
        <f>SUBSTITUTE(Table1[[#This Row],[Separate combined words ]],"?","")</f>
        <v>Shepperton Street</v>
      </c>
      <c r="J690" t="str">
        <f>TRIM(Table1[[#This Row],[Remove Question Mark "?"]])</f>
        <v>Shepperton Street</v>
      </c>
      <c r="K690" t="str">
        <f>PROPER(Table1[[#This Row],[Leading, Multiple &amp; Trailing spaces]])</f>
        <v>Shepperton Street</v>
      </c>
      <c r="L690" t="str">
        <f t="shared" si="10"/>
        <v>Shepperton Street</v>
      </c>
      <c r="M690" t="s">
        <v>2484</v>
      </c>
    </row>
    <row r="691" spans="1:13" x14ac:dyDescent="0.3">
      <c r="A691">
        <v>688</v>
      </c>
      <c r="B691" t="s">
        <v>2486</v>
      </c>
      <c r="C691" t="s">
        <v>2487</v>
      </c>
      <c r="D691" t="s">
        <v>2353</v>
      </c>
      <c r="E691" t="s">
        <v>2488</v>
      </c>
      <c r="F691" t="s">
        <v>2489</v>
      </c>
      <c r="G691" t="str">
        <f xml:space="preserve"> PROPER(_xlfn.CONCAT(Table1[[#This Row],[Title]]," ",Table1[[#This Row],[First Name]]," ",Table1[[#This Row],[Last Name]]))</f>
        <v>Mr Dominique Zamora</v>
      </c>
      <c r="H691" t="str">
        <f>SUBSTITUTE(Table1[[#This Row],[Street]],"Road"," Road")</f>
        <v>Sanders Buildings</v>
      </c>
      <c r="I691" t="str">
        <f>SUBSTITUTE(Table1[[#This Row],[Separate combined words ]],"?","")</f>
        <v>Sanders Buildings</v>
      </c>
      <c r="J691" t="str">
        <f>TRIM(Table1[[#This Row],[Remove Question Mark "?"]])</f>
        <v>Sanders Buildings</v>
      </c>
      <c r="K691" t="str">
        <f>PROPER(Table1[[#This Row],[Leading, Multiple &amp; Trailing spaces]])</f>
        <v>Sanders Buildings</v>
      </c>
      <c r="L691" t="str">
        <f t="shared" si="10"/>
        <v>Sanders Buildings</v>
      </c>
      <c r="M691" t="s">
        <v>2488</v>
      </c>
    </row>
    <row r="692" spans="1:13" x14ac:dyDescent="0.3">
      <c r="A692">
        <v>689</v>
      </c>
      <c r="B692" t="s">
        <v>2490</v>
      </c>
      <c r="C692" t="s">
        <v>2491</v>
      </c>
      <c r="D692" t="s">
        <v>2353</v>
      </c>
      <c r="E692" t="s">
        <v>2492</v>
      </c>
      <c r="F692" t="s">
        <v>587</v>
      </c>
      <c r="G692" t="str">
        <f xml:space="preserve"> PROPER(_xlfn.CONCAT(Table1[[#This Row],[Title]]," ",Table1[[#This Row],[First Name]]," ",Table1[[#This Row],[Last Name]]))</f>
        <v>Mr Rodger Meyer</v>
      </c>
      <c r="H692" t="str">
        <f>SUBSTITUTE(Table1[[#This Row],[Street]],"Road"," Road")</f>
        <v>Edwards Cottages</v>
      </c>
      <c r="I692" t="str">
        <f>SUBSTITUTE(Table1[[#This Row],[Separate combined words ]],"?","")</f>
        <v>Edwards Cottages</v>
      </c>
      <c r="J692" t="str">
        <f>TRIM(Table1[[#This Row],[Remove Question Mark "?"]])</f>
        <v>Edwards Cottages</v>
      </c>
      <c r="K692" t="str">
        <f>PROPER(Table1[[#This Row],[Leading, Multiple &amp; Trailing spaces]])</f>
        <v>Edwards Cottages</v>
      </c>
      <c r="L692" t="str">
        <f t="shared" si="10"/>
        <v>Edwards Cottages</v>
      </c>
      <c r="M692" t="s">
        <v>2492</v>
      </c>
    </row>
    <row r="693" spans="1:13" x14ac:dyDescent="0.3">
      <c r="A693">
        <v>690</v>
      </c>
      <c r="B693" t="s">
        <v>2493</v>
      </c>
      <c r="C693" t="s">
        <v>2494</v>
      </c>
      <c r="D693" t="s">
        <v>55</v>
      </c>
      <c r="E693" t="s">
        <v>2495</v>
      </c>
      <c r="F693" t="s">
        <v>666</v>
      </c>
      <c r="G693" t="str">
        <f xml:space="preserve"> PROPER(_xlfn.CONCAT(Table1[[#This Row],[Title]]," ",Table1[[#This Row],[First Name]]," ",Table1[[#This Row],[Last Name]]))</f>
        <v>Prof Gerald Buckner</v>
      </c>
      <c r="H693" t="str">
        <f>SUBSTITUTE(Table1[[#This Row],[Street]],"Road"," Road")</f>
        <v>Perry Avenue</v>
      </c>
      <c r="I693" t="str">
        <f>SUBSTITUTE(Table1[[#This Row],[Separate combined words ]],"?","")</f>
        <v>Perry Avenue</v>
      </c>
      <c r="J693" t="str">
        <f>TRIM(Table1[[#This Row],[Remove Question Mark "?"]])</f>
        <v>Perry Avenue</v>
      </c>
      <c r="K693" t="str">
        <f>PROPER(Table1[[#This Row],[Leading, Multiple &amp; Trailing spaces]])</f>
        <v>Perry Avenue</v>
      </c>
      <c r="L693" t="str">
        <f t="shared" si="10"/>
        <v>Perry Avenue</v>
      </c>
      <c r="M693" t="s">
        <v>2495</v>
      </c>
    </row>
    <row r="694" spans="1:13" x14ac:dyDescent="0.3">
      <c r="A694">
        <v>691</v>
      </c>
      <c r="B694" t="s">
        <v>2496</v>
      </c>
      <c r="C694" t="s">
        <v>2497</v>
      </c>
      <c r="D694" t="s">
        <v>2353</v>
      </c>
      <c r="E694" t="s">
        <v>2498</v>
      </c>
      <c r="F694" t="s">
        <v>92</v>
      </c>
      <c r="G694" t="str">
        <f xml:space="preserve"> PROPER(_xlfn.CONCAT(Table1[[#This Row],[Title]]," ",Table1[[#This Row],[First Name]]," ",Table1[[#This Row],[Last Name]]))</f>
        <v>Mr Derrick Ruffin</v>
      </c>
      <c r="H694" t="str">
        <f>SUBSTITUTE(Table1[[#This Row],[Street]],"Road"," Road")</f>
        <v>Capel  Road</v>
      </c>
      <c r="I694" t="str">
        <f>SUBSTITUTE(Table1[[#This Row],[Separate combined words ]],"?","")</f>
        <v>Capel  Road</v>
      </c>
      <c r="J694" t="str">
        <f>TRIM(Table1[[#This Row],[Remove Question Mark "?"]])</f>
        <v>Capel Road</v>
      </c>
      <c r="K694" t="str">
        <f>PROPER(Table1[[#This Row],[Leading, Multiple &amp; Trailing spaces]])</f>
        <v>Capel Road</v>
      </c>
      <c r="L694" t="str">
        <f t="shared" si="10"/>
        <v>Capel Road</v>
      </c>
      <c r="M694" t="s">
        <v>2498</v>
      </c>
    </row>
    <row r="695" spans="1:13" x14ac:dyDescent="0.3">
      <c r="A695">
        <v>692</v>
      </c>
      <c r="B695" t="s">
        <v>558</v>
      </c>
      <c r="C695" t="s">
        <v>648</v>
      </c>
      <c r="D695" t="s">
        <v>2353</v>
      </c>
      <c r="E695" t="s">
        <v>2499</v>
      </c>
      <c r="F695" t="s">
        <v>392</v>
      </c>
      <c r="G695" t="str">
        <f xml:space="preserve"> PROPER(_xlfn.CONCAT(Table1[[#This Row],[Title]]," ",Table1[[#This Row],[First Name]]," ",Table1[[#This Row],[Last Name]]))</f>
        <v>Mr Jarrett Copeland</v>
      </c>
      <c r="H695" t="str">
        <f>SUBSTITUTE(Table1[[#This Row],[Street]],"Road"," Road")</f>
        <v>Ashworth  Road</v>
      </c>
      <c r="I695" t="str">
        <f>SUBSTITUTE(Table1[[#This Row],[Separate combined words ]],"?","")</f>
        <v>Ashworth  Road</v>
      </c>
      <c r="J695" t="str">
        <f>TRIM(Table1[[#This Row],[Remove Question Mark "?"]])</f>
        <v>Ashworth Road</v>
      </c>
      <c r="K695" t="str">
        <f>PROPER(Table1[[#This Row],[Leading, Multiple &amp; Trailing spaces]])</f>
        <v>Ashworth Road</v>
      </c>
      <c r="L695" t="str">
        <f t="shared" si="10"/>
        <v>Ashworth Road</v>
      </c>
      <c r="M695" t="s">
        <v>2499</v>
      </c>
    </row>
    <row r="696" spans="1:13" x14ac:dyDescent="0.3">
      <c r="A696">
        <v>693</v>
      </c>
      <c r="B696" t="s">
        <v>2324</v>
      </c>
      <c r="C696" t="s">
        <v>2500</v>
      </c>
      <c r="D696" t="s">
        <v>318</v>
      </c>
      <c r="E696" t="s">
        <v>2501</v>
      </c>
      <c r="F696" t="s">
        <v>2502</v>
      </c>
      <c r="G696" t="str">
        <f xml:space="preserve"> PROPER(_xlfn.CONCAT(Table1[[#This Row],[Title]]," ",Table1[[#This Row],[First Name]]," ",Table1[[#This Row],[Last Name]]))</f>
        <v>Dr Cortez Shaw</v>
      </c>
      <c r="H696" t="str">
        <f>SUBSTITUTE(Table1[[#This Row],[Street]],"Road"," Road")</f>
        <v>Marden  Road</v>
      </c>
      <c r="I696" t="str">
        <f>SUBSTITUTE(Table1[[#This Row],[Separate combined words ]],"?","")</f>
        <v>Marden  Road</v>
      </c>
      <c r="J696" t="str">
        <f>TRIM(Table1[[#This Row],[Remove Question Mark "?"]])</f>
        <v>Marden Road</v>
      </c>
      <c r="K696" t="str">
        <f>PROPER(Table1[[#This Row],[Leading, Multiple &amp; Trailing spaces]])</f>
        <v>Marden Road</v>
      </c>
      <c r="L696" t="str">
        <f t="shared" si="10"/>
        <v>Marden Road</v>
      </c>
      <c r="M696" t="s">
        <v>2501</v>
      </c>
    </row>
    <row r="697" spans="1:13" x14ac:dyDescent="0.3">
      <c r="A697">
        <v>694</v>
      </c>
      <c r="B697" t="s">
        <v>2503</v>
      </c>
      <c r="C697" t="s">
        <v>2504</v>
      </c>
      <c r="D697" t="s">
        <v>2353</v>
      </c>
      <c r="E697" t="s">
        <v>2505</v>
      </c>
      <c r="F697" t="s">
        <v>2506</v>
      </c>
      <c r="G697" t="str">
        <f xml:space="preserve"> PROPER(_xlfn.CONCAT(Table1[[#This Row],[Title]]," ",Table1[[#This Row],[First Name]]," ",Table1[[#This Row],[Last Name]]))</f>
        <v>Mr Bradford Nickerson</v>
      </c>
      <c r="H697" t="str">
        <f>SUBSTITUTE(Table1[[#This Row],[Street]],"Road"," Road")</f>
        <v>Dartford Street</v>
      </c>
      <c r="I697" t="str">
        <f>SUBSTITUTE(Table1[[#This Row],[Separate combined words ]],"?","")</f>
        <v>Dartford Street</v>
      </c>
      <c r="J697" t="str">
        <f>TRIM(Table1[[#This Row],[Remove Question Mark "?"]])</f>
        <v>Dartford Street</v>
      </c>
      <c r="K697" t="str">
        <f>PROPER(Table1[[#This Row],[Leading, Multiple &amp; Trailing spaces]])</f>
        <v>Dartford Street</v>
      </c>
      <c r="L697" t="str">
        <f t="shared" si="10"/>
        <v>Dartford Street</v>
      </c>
      <c r="M697" t="s">
        <v>2505</v>
      </c>
    </row>
    <row r="698" spans="1:13" x14ac:dyDescent="0.3">
      <c r="A698">
        <v>695</v>
      </c>
      <c r="B698" t="s">
        <v>2507</v>
      </c>
      <c r="C698" t="s">
        <v>2508</v>
      </c>
      <c r="D698" t="s">
        <v>2353</v>
      </c>
      <c r="E698" t="s">
        <v>2509</v>
      </c>
      <c r="F698" t="s">
        <v>2510</v>
      </c>
      <c r="G698" t="str">
        <f xml:space="preserve"> PROPER(_xlfn.CONCAT(Table1[[#This Row],[Title]]," ",Table1[[#This Row],[First Name]]," ",Table1[[#This Row],[Last Name]]))</f>
        <v>Mr Jerrod Xiong</v>
      </c>
      <c r="H698" t="str">
        <f>SUBSTITUTE(Table1[[#This Row],[Street]],"Road"," Road")</f>
        <v>Kimberley Gardens</v>
      </c>
      <c r="I698" t="str">
        <f>SUBSTITUTE(Table1[[#This Row],[Separate combined words ]],"?","")</f>
        <v>Kimberley Gardens</v>
      </c>
      <c r="J698" t="str">
        <f>TRIM(Table1[[#This Row],[Remove Question Mark "?"]])</f>
        <v>Kimberley Gardens</v>
      </c>
      <c r="K698" t="str">
        <f>PROPER(Table1[[#This Row],[Leading, Multiple &amp; Trailing spaces]])</f>
        <v>Kimberley Gardens</v>
      </c>
      <c r="L698" t="str">
        <f t="shared" si="10"/>
        <v>Kimberley Gardens</v>
      </c>
      <c r="M698" t="s">
        <v>2509</v>
      </c>
    </row>
    <row r="699" spans="1:13" x14ac:dyDescent="0.3">
      <c r="A699">
        <v>696</v>
      </c>
      <c r="B699" t="s">
        <v>2511</v>
      </c>
      <c r="C699" t="s">
        <v>660</v>
      </c>
      <c r="D699" t="s">
        <v>2353</v>
      </c>
      <c r="E699" t="s">
        <v>2512</v>
      </c>
      <c r="F699" t="s">
        <v>860</v>
      </c>
      <c r="G699" t="str">
        <f xml:space="preserve"> PROPER(_xlfn.CONCAT(Table1[[#This Row],[Title]]," ",Table1[[#This Row],[First Name]]," ",Table1[[#This Row],[Last Name]]))</f>
        <v>Mr Alden Bolden</v>
      </c>
      <c r="H699" t="str">
        <f>SUBSTITUTE(Table1[[#This Row],[Street]],"Road"," Road")</f>
        <v>Westholm</v>
      </c>
      <c r="I699" t="str">
        <f>SUBSTITUTE(Table1[[#This Row],[Separate combined words ]],"?","")</f>
        <v>Westholm</v>
      </c>
      <c r="J699" t="str">
        <f>TRIM(Table1[[#This Row],[Remove Question Mark "?"]])</f>
        <v>Westholm</v>
      </c>
      <c r="K699" t="str">
        <f>PROPER(Table1[[#This Row],[Leading, Multiple &amp; Trailing spaces]])</f>
        <v>Westholm</v>
      </c>
      <c r="L699" t="str">
        <f t="shared" si="10"/>
        <v>Westholm</v>
      </c>
      <c r="M699" t="s">
        <v>2512</v>
      </c>
    </row>
    <row r="700" spans="1:13" x14ac:dyDescent="0.3">
      <c r="A700">
        <v>697</v>
      </c>
      <c r="B700" t="s">
        <v>2351</v>
      </c>
      <c r="C700" t="s">
        <v>1122</v>
      </c>
      <c r="D700" t="s">
        <v>2353</v>
      </c>
      <c r="E700" t="s">
        <v>2513</v>
      </c>
      <c r="F700" t="s">
        <v>2130</v>
      </c>
      <c r="G700" t="str">
        <f xml:space="preserve"> PROPER(_xlfn.CONCAT(Table1[[#This Row],[Title]]," ",Table1[[#This Row],[First Name]]," ",Table1[[#This Row],[Last Name]]))</f>
        <v>Mr Jonathan Laird</v>
      </c>
      <c r="H700" t="str">
        <f>SUBSTITUTE(Table1[[#This Row],[Street]],"Road"," Road")</f>
        <v>Cokers Lane</v>
      </c>
      <c r="I700" t="str">
        <f>SUBSTITUTE(Table1[[#This Row],[Separate combined words ]],"?","")</f>
        <v>Cokers Lane</v>
      </c>
      <c r="J700" t="str">
        <f>TRIM(Table1[[#This Row],[Remove Question Mark "?"]])</f>
        <v>Cokers Lane</v>
      </c>
      <c r="K700" t="str">
        <f>PROPER(Table1[[#This Row],[Leading, Multiple &amp; Trailing spaces]])</f>
        <v>Cokers Lane</v>
      </c>
      <c r="L700" t="str">
        <f t="shared" si="10"/>
        <v>Cokers Lane</v>
      </c>
      <c r="M700" t="s">
        <v>2513</v>
      </c>
    </row>
    <row r="701" spans="1:13" x14ac:dyDescent="0.3">
      <c r="A701">
        <v>698</v>
      </c>
      <c r="B701" t="s">
        <v>2514</v>
      </c>
      <c r="C701" t="s">
        <v>2515</v>
      </c>
      <c r="D701" t="s">
        <v>2353</v>
      </c>
      <c r="E701" t="s">
        <v>2516</v>
      </c>
      <c r="F701" t="s">
        <v>1003</v>
      </c>
      <c r="G701" t="str">
        <f xml:space="preserve"> PROPER(_xlfn.CONCAT(Table1[[#This Row],[Title]]," ",Table1[[#This Row],[First Name]]," ",Table1[[#This Row],[Last Name]]))</f>
        <v>Mr Raul Sterling</v>
      </c>
      <c r="H701" t="str">
        <f>SUBSTITUTE(Table1[[#This Row],[Street]],"Road"," Road")</f>
        <v>Oxgate Court</v>
      </c>
      <c r="I701" t="str">
        <f>SUBSTITUTE(Table1[[#This Row],[Separate combined words ]],"?","")</f>
        <v>Oxgate Court</v>
      </c>
      <c r="J701" t="str">
        <f>TRIM(Table1[[#This Row],[Remove Question Mark "?"]])</f>
        <v>Oxgate Court</v>
      </c>
      <c r="K701" t="str">
        <f>PROPER(Table1[[#This Row],[Leading, Multiple &amp; Trailing spaces]])</f>
        <v>Oxgate Court</v>
      </c>
      <c r="L701" t="str">
        <f t="shared" si="10"/>
        <v>Oxgate Court</v>
      </c>
      <c r="M701" t="s">
        <v>2516</v>
      </c>
    </row>
    <row r="702" spans="1:13" x14ac:dyDescent="0.3">
      <c r="A702">
        <v>699</v>
      </c>
      <c r="B702" t="s">
        <v>2517</v>
      </c>
      <c r="C702" t="s">
        <v>2518</v>
      </c>
      <c r="D702" t="s">
        <v>2353</v>
      </c>
      <c r="E702" t="s">
        <v>2519</v>
      </c>
      <c r="F702" t="s">
        <v>1510</v>
      </c>
      <c r="G702" t="str">
        <f xml:space="preserve"> PROPER(_xlfn.CONCAT(Table1[[#This Row],[Title]]," ",Table1[[#This Row],[First Name]]," ",Table1[[#This Row],[Last Name]]))</f>
        <v>Mr Joshua Leary</v>
      </c>
      <c r="H702" t="str">
        <f>SUBSTITUTE(Table1[[#This Row],[Street]],"Road"," Road")</f>
        <v>Edmund Place</v>
      </c>
      <c r="I702" t="str">
        <f>SUBSTITUTE(Table1[[#This Row],[Separate combined words ]],"?","")</f>
        <v>Edmund Place</v>
      </c>
      <c r="J702" t="str">
        <f>TRIM(Table1[[#This Row],[Remove Question Mark "?"]])</f>
        <v>Edmund Place</v>
      </c>
      <c r="K702" t="str">
        <f>PROPER(Table1[[#This Row],[Leading, Multiple &amp; Trailing spaces]])</f>
        <v>Edmund Place</v>
      </c>
      <c r="L702" t="str">
        <f t="shared" si="10"/>
        <v>Edmund Place</v>
      </c>
      <c r="M702" t="s">
        <v>2519</v>
      </c>
    </row>
    <row r="703" spans="1:13" x14ac:dyDescent="0.3">
      <c r="A703">
        <v>700</v>
      </c>
      <c r="B703" t="s">
        <v>2520</v>
      </c>
      <c r="C703" t="s">
        <v>2521</v>
      </c>
      <c r="D703" t="s">
        <v>2353</v>
      </c>
      <c r="E703" t="s">
        <v>2522</v>
      </c>
      <c r="F703" t="s">
        <v>2417</v>
      </c>
      <c r="G703" t="str">
        <f xml:space="preserve"> PROPER(_xlfn.CONCAT(Table1[[#This Row],[Title]]," ",Table1[[#This Row],[First Name]]," ",Table1[[#This Row],[Last Name]]))</f>
        <v>Mr Lamar Naquin</v>
      </c>
      <c r="H703" t="str">
        <f>SUBSTITUTE(Table1[[#This Row],[Street]],"Road"," Road")</f>
        <v>Walton Terrace</v>
      </c>
      <c r="I703" t="str">
        <f>SUBSTITUTE(Table1[[#This Row],[Separate combined words ]],"?","")</f>
        <v>Walton Terrace</v>
      </c>
      <c r="J703" t="str">
        <f>TRIM(Table1[[#This Row],[Remove Question Mark "?"]])</f>
        <v>Walton Terrace</v>
      </c>
      <c r="K703" t="str">
        <f>PROPER(Table1[[#This Row],[Leading, Multiple &amp; Trailing spaces]])</f>
        <v>Walton Terrace</v>
      </c>
      <c r="L703" t="str">
        <f t="shared" si="10"/>
        <v>Walton Terrace</v>
      </c>
      <c r="M703" t="s">
        <v>2522</v>
      </c>
    </row>
    <row r="704" spans="1:13" x14ac:dyDescent="0.3">
      <c r="A704">
        <v>701</v>
      </c>
      <c r="B704" t="s">
        <v>2523</v>
      </c>
      <c r="C704" t="s">
        <v>2524</v>
      </c>
      <c r="D704" t="s">
        <v>2353</v>
      </c>
      <c r="E704" t="s">
        <v>2525</v>
      </c>
      <c r="F704" t="s">
        <v>2270</v>
      </c>
      <c r="G704" t="str">
        <f xml:space="preserve"> PROPER(_xlfn.CONCAT(Table1[[#This Row],[Title]]," ",Table1[[#This Row],[First Name]]," ",Table1[[#This Row],[Last Name]]))</f>
        <v>Mr Andreas Holt</v>
      </c>
      <c r="H704" t="str">
        <f>SUBSTITUTE(Table1[[#This Row],[Street]],"Road"," Road")</f>
        <v>Stoneyard Place</v>
      </c>
      <c r="I704" t="str">
        <f>SUBSTITUTE(Table1[[#This Row],[Separate combined words ]],"?","")</f>
        <v>Stoneyard Place</v>
      </c>
      <c r="J704" t="str">
        <f>TRIM(Table1[[#This Row],[Remove Question Mark "?"]])</f>
        <v>Stoneyard Place</v>
      </c>
      <c r="K704" t="str">
        <f>PROPER(Table1[[#This Row],[Leading, Multiple &amp; Trailing spaces]])</f>
        <v>Stoneyard Place</v>
      </c>
      <c r="L704" t="str">
        <f t="shared" si="10"/>
        <v>Stoneyard Place</v>
      </c>
      <c r="M704" t="s">
        <v>2525</v>
      </c>
    </row>
    <row r="705" spans="1:13" x14ac:dyDescent="0.3">
      <c r="A705">
        <v>702</v>
      </c>
      <c r="B705" t="s">
        <v>2526</v>
      </c>
      <c r="C705" t="s">
        <v>623</v>
      </c>
      <c r="D705" t="s">
        <v>2353</v>
      </c>
      <c r="E705" t="s">
        <v>2527</v>
      </c>
      <c r="F705" t="s">
        <v>324</v>
      </c>
      <c r="G705" t="str">
        <f xml:space="preserve"> PROPER(_xlfn.CONCAT(Table1[[#This Row],[Title]]," ",Table1[[#This Row],[First Name]]," ",Table1[[#This Row],[Last Name]]))</f>
        <v>Mr Freddie Tilley</v>
      </c>
      <c r="H705" t="str">
        <f>SUBSTITUTE(Table1[[#This Row],[Street]],"Road"," Road")</f>
        <v>Leathermarket Court</v>
      </c>
      <c r="I705" t="str">
        <f>SUBSTITUTE(Table1[[#This Row],[Separate combined words ]],"?","")</f>
        <v>Leathermarket Court</v>
      </c>
      <c r="J705" t="str">
        <f>TRIM(Table1[[#This Row],[Remove Question Mark "?"]])</f>
        <v>Leathermarket Court</v>
      </c>
      <c r="K705" t="str">
        <f>PROPER(Table1[[#This Row],[Leading, Multiple &amp; Trailing spaces]])</f>
        <v>Leathermarket Court</v>
      </c>
      <c r="L705" t="str">
        <f t="shared" si="10"/>
        <v>Leathermarket Court</v>
      </c>
      <c r="M705" t="s">
        <v>2527</v>
      </c>
    </row>
    <row r="706" spans="1:13" x14ac:dyDescent="0.3">
      <c r="A706">
        <v>703</v>
      </c>
      <c r="B706" t="s">
        <v>2528</v>
      </c>
      <c r="C706" t="s">
        <v>650</v>
      </c>
      <c r="D706" t="s">
        <v>2353</v>
      </c>
      <c r="E706" t="s">
        <v>2529</v>
      </c>
      <c r="F706" t="s">
        <v>2530</v>
      </c>
      <c r="G706" t="str">
        <f xml:space="preserve"> PROPER(_xlfn.CONCAT(Table1[[#This Row],[Title]]," ",Table1[[#This Row],[First Name]]," ",Table1[[#This Row],[Last Name]]))</f>
        <v>Mr Rolando Hyde</v>
      </c>
      <c r="H706" t="str">
        <f>SUBSTITUTE(Table1[[#This Row],[Street]],"Road"," Road")</f>
        <v>Southholme Close</v>
      </c>
      <c r="I706" t="str">
        <f>SUBSTITUTE(Table1[[#This Row],[Separate combined words ]],"?","")</f>
        <v>Southholme Close</v>
      </c>
      <c r="J706" t="str">
        <f>TRIM(Table1[[#This Row],[Remove Question Mark "?"]])</f>
        <v>Southholme Close</v>
      </c>
      <c r="K706" t="str">
        <f>PROPER(Table1[[#This Row],[Leading, Multiple &amp; Trailing spaces]])</f>
        <v>Southholme Close</v>
      </c>
      <c r="L706" t="str">
        <f t="shared" si="10"/>
        <v>Southholme Close</v>
      </c>
      <c r="M706" t="s">
        <v>2529</v>
      </c>
    </row>
    <row r="707" spans="1:13" x14ac:dyDescent="0.3">
      <c r="A707">
        <v>704</v>
      </c>
      <c r="B707" t="s">
        <v>2531</v>
      </c>
      <c r="C707" t="s">
        <v>2532</v>
      </c>
      <c r="D707" t="s">
        <v>2353</v>
      </c>
      <c r="E707" t="s">
        <v>2533</v>
      </c>
      <c r="F707" t="s">
        <v>8</v>
      </c>
      <c r="G707" t="str">
        <f xml:space="preserve"> PROPER(_xlfn.CONCAT(Table1[[#This Row],[Title]]," ",Table1[[#This Row],[First Name]]," ",Table1[[#This Row],[Last Name]]))</f>
        <v>Mr Jan Cannon</v>
      </c>
      <c r="H707" t="str">
        <f>SUBSTITUTE(Table1[[#This Row],[Street]],"Road"," Road")</f>
        <v>Berryfield Street</v>
      </c>
      <c r="I707" t="str">
        <f>SUBSTITUTE(Table1[[#This Row],[Separate combined words ]],"?","")</f>
        <v>Berryfield Street</v>
      </c>
      <c r="J707" t="str">
        <f>TRIM(Table1[[#This Row],[Remove Question Mark "?"]])</f>
        <v>Berryfield Street</v>
      </c>
      <c r="K707" t="str">
        <f>PROPER(Table1[[#This Row],[Leading, Multiple &amp; Trailing spaces]])</f>
        <v>Berryfield Street</v>
      </c>
      <c r="L707" t="str">
        <f t="shared" si="10"/>
        <v>Berryfield Street</v>
      </c>
      <c r="M707" t="s">
        <v>2533</v>
      </c>
    </row>
    <row r="708" spans="1:13" x14ac:dyDescent="0.3">
      <c r="A708">
        <v>705</v>
      </c>
      <c r="B708" t="s">
        <v>2534</v>
      </c>
      <c r="C708" t="s">
        <v>2535</v>
      </c>
      <c r="D708" t="s">
        <v>2353</v>
      </c>
      <c r="E708" t="s">
        <v>2536</v>
      </c>
      <c r="F708" t="s">
        <v>2537</v>
      </c>
      <c r="G708" t="str">
        <f xml:space="preserve"> PROPER(_xlfn.CONCAT(Table1[[#This Row],[Title]]," ",Table1[[#This Row],[First Name]]," ",Table1[[#This Row],[Last Name]]))</f>
        <v>Mr Rayford Merritt</v>
      </c>
      <c r="H708" t="str">
        <f>SUBSTITUTE(Table1[[#This Row],[Street]],"Road"," Road")</f>
        <v>Roland Villas</v>
      </c>
      <c r="I708" t="str">
        <f>SUBSTITUTE(Table1[[#This Row],[Separate combined words ]],"?","")</f>
        <v>Roland Villas</v>
      </c>
      <c r="J708" t="str">
        <f>TRIM(Table1[[#This Row],[Remove Question Mark "?"]])</f>
        <v>Roland Villas</v>
      </c>
      <c r="K708" t="str">
        <f>PROPER(Table1[[#This Row],[Leading, Multiple &amp; Trailing spaces]])</f>
        <v>Roland Villas</v>
      </c>
      <c r="L708" t="str">
        <f t="shared" si="10"/>
        <v>Roland Villas</v>
      </c>
      <c r="M708" t="s">
        <v>2536</v>
      </c>
    </row>
    <row r="709" spans="1:13" x14ac:dyDescent="0.3">
      <c r="A709">
        <v>706</v>
      </c>
      <c r="B709" t="s">
        <v>2538</v>
      </c>
      <c r="C709" t="s">
        <v>2539</v>
      </c>
      <c r="D709" t="s">
        <v>318</v>
      </c>
      <c r="E709" t="s">
        <v>2540</v>
      </c>
      <c r="F709" t="s">
        <v>2541</v>
      </c>
      <c r="G709" t="str">
        <f xml:space="preserve"> PROPER(_xlfn.CONCAT(Table1[[#This Row],[Title]]," ",Table1[[#This Row],[First Name]]," ",Table1[[#This Row],[Last Name]]))</f>
        <v>Dr Danilo Riley</v>
      </c>
      <c r="H709" t="str">
        <f>SUBSTITUTE(Table1[[#This Row],[Street]],"Road"," Road")</f>
        <v>Spring Mount</v>
      </c>
      <c r="I709" t="str">
        <f>SUBSTITUTE(Table1[[#This Row],[Separate combined words ]],"?","")</f>
        <v>Spring Mount</v>
      </c>
      <c r="J709" t="str">
        <f>TRIM(Table1[[#This Row],[Remove Question Mark "?"]])</f>
        <v>Spring Mount</v>
      </c>
      <c r="K709" t="str">
        <f>PROPER(Table1[[#This Row],[Leading, Multiple &amp; Trailing spaces]])</f>
        <v>Spring Mount</v>
      </c>
      <c r="L709" t="str">
        <f t="shared" ref="L709:L772" si="11">TRIM(PROPER(SUBSTITUTE(SUBSTITUTE((E709),"?",""),"Road"," Road")))</f>
        <v>Spring Mount</v>
      </c>
      <c r="M709" t="s">
        <v>2540</v>
      </c>
    </row>
    <row r="710" spans="1:13" x14ac:dyDescent="0.3">
      <c r="A710">
        <v>707</v>
      </c>
      <c r="B710" t="s">
        <v>456</v>
      </c>
      <c r="C710" t="s">
        <v>492</v>
      </c>
      <c r="D710" t="s">
        <v>2353</v>
      </c>
      <c r="E710" t="s">
        <v>2542</v>
      </c>
      <c r="F710" t="s">
        <v>2543</v>
      </c>
      <c r="G710" t="str">
        <f xml:space="preserve"> PROPER(_xlfn.CONCAT(Table1[[#This Row],[Title]]," ",Table1[[#This Row],[First Name]]," ",Table1[[#This Row],[Last Name]]))</f>
        <v>Mr Victor Beltran</v>
      </c>
      <c r="H710" t="str">
        <f>SUBSTITUTE(Table1[[#This Row],[Street]],"Road"," Road")</f>
        <v>Passmore Street</v>
      </c>
      <c r="I710" t="str">
        <f>SUBSTITUTE(Table1[[#This Row],[Separate combined words ]],"?","")</f>
        <v>Passmore Street</v>
      </c>
      <c r="J710" t="str">
        <f>TRIM(Table1[[#This Row],[Remove Question Mark "?"]])</f>
        <v>Passmore Street</v>
      </c>
      <c r="K710" t="str">
        <f>PROPER(Table1[[#This Row],[Leading, Multiple &amp; Trailing spaces]])</f>
        <v>Passmore Street</v>
      </c>
      <c r="L710" t="str">
        <f t="shared" si="11"/>
        <v>Passmore Street</v>
      </c>
      <c r="M710" t="s">
        <v>2542</v>
      </c>
    </row>
    <row r="711" spans="1:13" x14ac:dyDescent="0.3">
      <c r="A711">
        <v>708</v>
      </c>
      <c r="B711" t="s">
        <v>2544</v>
      </c>
      <c r="C711" t="s">
        <v>265</v>
      </c>
      <c r="D711" t="s">
        <v>2353</v>
      </c>
      <c r="E711" t="s">
        <v>2545</v>
      </c>
      <c r="F711" t="s">
        <v>2546</v>
      </c>
      <c r="G711" t="str">
        <f xml:space="preserve"> PROPER(_xlfn.CONCAT(Table1[[#This Row],[Title]]," ",Table1[[#This Row],[First Name]]," ",Table1[[#This Row],[Last Name]]))</f>
        <v>Mr Arnoldo Abel</v>
      </c>
      <c r="H711" t="str">
        <f>SUBSTITUTE(Table1[[#This Row],[Street]],"Road"," Road")</f>
        <v>Parkdale  Road</v>
      </c>
      <c r="I711" t="str">
        <f>SUBSTITUTE(Table1[[#This Row],[Separate combined words ]],"?","")</f>
        <v>Parkdale  Road</v>
      </c>
      <c r="J711" t="str">
        <f>TRIM(Table1[[#This Row],[Remove Question Mark "?"]])</f>
        <v>Parkdale Road</v>
      </c>
      <c r="K711" t="str">
        <f>PROPER(Table1[[#This Row],[Leading, Multiple &amp; Trailing spaces]])</f>
        <v>Parkdale Road</v>
      </c>
      <c r="L711" t="str">
        <f t="shared" si="11"/>
        <v>Parkdale Road</v>
      </c>
      <c r="M711" t="s">
        <v>2545</v>
      </c>
    </row>
    <row r="712" spans="1:13" x14ac:dyDescent="0.3">
      <c r="A712">
        <v>709</v>
      </c>
      <c r="B712" t="s">
        <v>2154</v>
      </c>
      <c r="C712" t="s">
        <v>2268</v>
      </c>
      <c r="D712" t="s">
        <v>2353</v>
      </c>
      <c r="E712" t="s">
        <v>2547</v>
      </c>
      <c r="F712" t="s">
        <v>737</v>
      </c>
      <c r="G712" t="str">
        <f xml:space="preserve"> PROPER(_xlfn.CONCAT(Table1[[#This Row],[Title]]," ",Table1[[#This Row],[First Name]]," ",Table1[[#This Row],[Last Name]]))</f>
        <v>Mr Dewitt Bruce</v>
      </c>
      <c r="H712" t="str">
        <f>SUBSTITUTE(Table1[[#This Row],[Street]],"Road"," Road")</f>
        <v>East Place</v>
      </c>
      <c r="I712" t="str">
        <f>SUBSTITUTE(Table1[[#This Row],[Separate combined words ]],"?","")</f>
        <v>East Place</v>
      </c>
      <c r="J712" t="str">
        <f>TRIM(Table1[[#This Row],[Remove Question Mark "?"]])</f>
        <v>East Place</v>
      </c>
      <c r="K712" t="str">
        <f>PROPER(Table1[[#This Row],[Leading, Multiple &amp; Trailing spaces]])</f>
        <v>East Place</v>
      </c>
      <c r="L712" t="str">
        <f t="shared" si="11"/>
        <v>East Place</v>
      </c>
      <c r="M712" t="s">
        <v>2547</v>
      </c>
    </row>
    <row r="713" spans="1:13" x14ac:dyDescent="0.3">
      <c r="A713">
        <v>710</v>
      </c>
      <c r="B713" t="s">
        <v>2548</v>
      </c>
      <c r="C713" t="s">
        <v>2087</v>
      </c>
      <c r="D713" t="s">
        <v>2353</v>
      </c>
      <c r="E713" t="s">
        <v>2549</v>
      </c>
      <c r="F713" t="s">
        <v>1167</v>
      </c>
      <c r="G713" t="str">
        <f xml:space="preserve"> PROPER(_xlfn.CONCAT(Table1[[#This Row],[Title]]," ",Table1[[#This Row],[First Name]]," ",Table1[[#This Row],[Last Name]]))</f>
        <v>Mr Louis Skinner</v>
      </c>
      <c r="H713" t="str">
        <f>SUBSTITUTE(Table1[[#This Row],[Street]],"Road"," Road")</f>
        <v>Leeson  Road</v>
      </c>
      <c r="I713" t="str">
        <f>SUBSTITUTE(Table1[[#This Row],[Separate combined words ]],"?","")</f>
        <v>Leeson  Road</v>
      </c>
      <c r="J713" t="str">
        <f>TRIM(Table1[[#This Row],[Remove Question Mark "?"]])</f>
        <v>Leeson Road</v>
      </c>
      <c r="K713" t="str">
        <f>PROPER(Table1[[#This Row],[Leading, Multiple &amp; Trailing spaces]])</f>
        <v>Leeson Road</v>
      </c>
      <c r="L713" t="str">
        <f t="shared" si="11"/>
        <v>Leeson Road</v>
      </c>
      <c r="M713" t="s">
        <v>2549</v>
      </c>
    </row>
    <row r="714" spans="1:13" x14ac:dyDescent="0.3">
      <c r="A714">
        <v>711</v>
      </c>
      <c r="B714" t="s">
        <v>2550</v>
      </c>
      <c r="C714" t="s">
        <v>691</v>
      </c>
      <c r="D714" t="s">
        <v>55</v>
      </c>
      <c r="E714" t="s">
        <v>2551</v>
      </c>
      <c r="F714" t="s">
        <v>484</v>
      </c>
      <c r="G714" t="str">
        <f xml:space="preserve"> PROPER(_xlfn.CONCAT(Table1[[#This Row],[Title]]," ",Table1[[#This Row],[First Name]]," ",Table1[[#This Row],[Last Name]]))</f>
        <v>Prof Scottie Delaney</v>
      </c>
      <c r="H714" t="str">
        <f>SUBSTITUTE(Table1[[#This Row],[Street]],"Road"," Road")</f>
        <v>Findon Close</v>
      </c>
      <c r="I714" t="str">
        <f>SUBSTITUTE(Table1[[#This Row],[Separate combined words ]],"?","")</f>
        <v>Findon Close</v>
      </c>
      <c r="J714" t="str">
        <f>TRIM(Table1[[#This Row],[Remove Question Mark "?"]])</f>
        <v>Findon Close</v>
      </c>
      <c r="K714" t="str">
        <f>PROPER(Table1[[#This Row],[Leading, Multiple &amp; Trailing spaces]])</f>
        <v>Findon Close</v>
      </c>
      <c r="L714" t="str">
        <f t="shared" si="11"/>
        <v>Findon Close</v>
      </c>
      <c r="M714" t="s">
        <v>2551</v>
      </c>
    </row>
    <row r="715" spans="1:13" x14ac:dyDescent="0.3">
      <c r="A715">
        <v>712</v>
      </c>
      <c r="B715" t="s">
        <v>2552</v>
      </c>
      <c r="C715" t="s">
        <v>2553</v>
      </c>
      <c r="D715" t="s">
        <v>2353</v>
      </c>
      <c r="E715" t="s">
        <v>378</v>
      </c>
      <c r="F715" t="s">
        <v>148</v>
      </c>
      <c r="G715" t="str">
        <f xml:space="preserve"> PROPER(_xlfn.CONCAT(Table1[[#This Row],[Title]]," ",Table1[[#This Row],[First Name]]," ",Table1[[#This Row],[Last Name]]))</f>
        <v>Mr Felipe Inman</v>
      </c>
      <c r="H715" t="str">
        <f>SUBSTITUTE(Table1[[#This Row],[Street]],"Road"," Road")</f>
        <v>Rockhampton  Road</v>
      </c>
      <c r="I715" t="str">
        <f>SUBSTITUTE(Table1[[#This Row],[Separate combined words ]],"?","")</f>
        <v>Rockhampton  Road</v>
      </c>
      <c r="J715" t="str">
        <f>TRIM(Table1[[#This Row],[Remove Question Mark "?"]])</f>
        <v>Rockhampton Road</v>
      </c>
      <c r="K715" t="str">
        <f>PROPER(Table1[[#This Row],[Leading, Multiple &amp; Trailing spaces]])</f>
        <v>Rockhampton Road</v>
      </c>
      <c r="L715" t="str">
        <f t="shared" si="11"/>
        <v>Rockhampton Road</v>
      </c>
      <c r="M715" t="s">
        <v>378</v>
      </c>
    </row>
    <row r="716" spans="1:13" x14ac:dyDescent="0.3">
      <c r="A716">
        <v>713</v>
      </c>
      <c r="B716" t="s">
        <v>2554</v>
      </c>
      <c r="C716" t="s">
        <v>2555</v>
      </c>
      <c r="D716" t="s">
        <v>2353</v>
      </c>
      <c r="E716" t="s">
        <v>2556</v>
      </c>
      <c r="F716" t="s">
        <v>2177</v>
      </c>
      <c r="G716" t="str">
        <f xml:space="preserve"> PROPER(_xlfn.CONCAT(Table1[[#This Row],[Title]]," ",Table1[[#This Row],[First Name]]," ",Table1[[#This Row],[Last Name]]))</f>
        <v>Mr Domenic Reed</v>
      </c>
      <c r="H716" t="str">
        <f>SUBSTITUTE(Table1[[#This Row],[Street]],"Road"," Road")</f>
        <v>Francis Court</v>
      </c>
      <c r="I716" t="str">
        <f>SUBSTITUTE(Table1[[#This Row],[Separate combined words ]],"?","")</f>
        <v>Francis Court</v>
      </c>
      <c r="J716" t="str">
        <f>TRIM(Table1[[#This Row],[Remove Question Mark "?"]])</f>
        <v>Francis Court</v>
      </c>
      <c r="K716" t="str">
        <f>PROPER(Table1[[#This Row],[Leading, Multiple &amp; Trailing spaces]])</f>
        <v>Francis Court</v>
      </c>
      <c r="L716" t="str">
        <f t="shared" si="11"/>
        <v>Francis Court</v>
      </c>
      <c r="M716" t="s">
        <v>2556</v>
      </c>
    </row>
    <row r="717" spans="1:13" x14ac:dyDescent="0.3">
      <c r="A717">
        <v>714</v>
      </c>
      <c r="B717" t="s">
        <v>2557</v>
      </c>
      <c r="C717" t="s">
        <v>2558</v>
      </c>
      <c r="D717" t="s">
        <v>2469</v>
      </c>
      <c r="E717" t="s">
        <v>2559</v>
      </c>
      <c r="F717" t="s">
        <v>2240</v>
      </c>
      <c r="G717" t="str">
        <f xml:space="preserve"> PROPER(_xlfn.CONCAT(Table1[[#This Row],[Title]]," ",Table1[[#This Row],[First Name]]," ",Table1[[#This Row],[Last Name]]))</f>
        <v>Rev Malcolm Mahoney</v>
      </c>
      <c r="H717" t="str">
        <f>SUBSTITUTE(Table1[[#This Row],[Street]],"Road"," Road")</f>
        <v>Beckett Street</v>
      </c>
      <c r="I717" t="str">
        <f>SUBSTITUTE(Table1[[#This Row],[Separate combined words ]],"?","")</f>
        <v>Beckett Street</v>
      </c>
      <c r="J717" t="str">
        <f>TRIM(Table1[[#This Row],[Remove Question Mark "?"]])</f>
        <v>Beckett Street</v>
      </c>
      <c r="K717" t="str">
        <f>PROPER(Table1[[#This Row],[Leading, Multiple &amp; Trailing spaces]])</f>
        <v>Beckett Street</v>
      </c>
      <c r="L717" t="str">
        <f t="shared" si="11"/>
        <v>Beckett Street</v>
      </c>
      <c r="M717" t="s">
        <v>2559</v>
      </c>
    </row>
    <row r="718" spans="1:13" x14ac:dyDescent="0.3">
      <c r="A718">
        <v>715</v>
      </c>
      <c r="B718" t="s">
        <v>2560</v>
      </c>
      <c r="C718" t="s">
        <v>2561</v>
      </c>
      <c r="D718" t="s">
        <v>2353</v>
      </c>
      <c r="E718" t="s">
        <v>2562</v>
      </c>
      <c r="F718" t="s">
        <v>373</v>
      </c>
      <c r="G718" t="str">
        <f xml:space="preserve"> PROPER(_xlfn.CONCAT(Table1[[#This Row],[Title]]," ",Table1[[#This Row],[First Name]]," ",Table1[[#This Row],[Last Name]]))</f>
        <v>Mr Emil Lund</v>
      </c>
      <c r="H718" t="str">
        <f>SUBSTITUTE(Table1[[#This Row],[Street]],"Road"," Road")</f>
        <v>Leaf Grove</v>
      </c>
      <c r="I718" t="str">
        <f>SUBSTITUTE(Table1[[#This Row],[Separate combined words ]],"?","")</f>
        <v>Leaf Grove</v>
      </c>
      <c r="J718" t="str">
        <f>TRIM(Table1[[#This Row],[Remove Question Mark "?"]])</f>
        <v>Leaf Grove</v>
      </c>
      <c r="K718" t="str">
        <f>PROPER(Table1[[#This Row],[Leading, Multiple &amp; Trailing spaces]])</f>
        <v>Leaf Grove</v>
      </c>
      <c r="L718" t="str">
        <f t="shared" si="11"/>
        <v>Leaf Grove</v>
      </c>
      <c r="M718" t="s">
        <v>2562</v>
      </c>
    </row>
    <row r="719" spans="1:13" x14ac:dyDescent="0.3">
      <c r="A719">
        <v>716</v>
      </c>
      <c r="B719" t="s">
        <v>1355</v>
      </c>
      <c r="C719" t="s">
        <v>2563</v>
      </c>
      <c r="D719" t="s">
        <v>2353</v>
      </c>
      <c r="E719" t="s">
        <v>2564</v>
      </c>
      <c r="F719" t="s">
        <v>2565</v>
      </c>
      <c r="G719" t="str">
        <f xml:space="preserve"> PROPER(_xlfn.CONCAT(Table1[[#This Row],[Title]]," ",Table1[[#This Row],[First Name]]," ",Table1[[#This Row],[Last Name]]))</f>
        <v>Mr Willard Booker</v>
      </c>
      <c r="H719" t="str">
        <f>SUBSTITUTE(Table1[[#This Row],[Street]],"Road"," Road")</f>
        <v>Knights Chambers</v>
      </c>
      <c r="I719" t="str">
        <f>SUBSTITUTE(Table1[[#This Row],[Separate combined words ]],"?","")</f>
        <v>Knights Chambers</v>
      </c>
      <c r="J719" t="str">
        <f>TRIM(Table1[[#This Row],[Remove Question Mark "?"]])</f>
        <v>Knights Chambers</v>
      </c>
      <c r="K719" t="str">
        <f>PROPER(Table1[[#This Row],[Leading, Multiple &amp; Trailing spaces]])</f>
        <v>Knights Chambers</v>
      </c>
      <c r="L719" t="str">
        <f t="shared" si="11"/>
        <v>Knights Chambers</v>
      </c>
      <c r="M719" t="s">
        <v>2564</v>
      </c>
    </row>
    <row r="720" spans="1:13" x14ac:dyDescent="0.3">
      <c r="A720">
        <v>717</v>
      </c>
      <c r="B720" t="s">
        <v>2566</v>
      </c>
      <c r="C720" t="s">
        <v>2095</v>
      </c>
      <c r="D720" t="s">
        <v>2353</v>
      </c>
      <c r="E720" t="s">
        <v>2567</v>
      </c>
      <c r="F720" t="s">
        <v>669</v>
      </c>
      <c r="G720" t="str">
        <f xml:space="preserve"> PROPER(_xlfn.CONCAT(Table1[[#This Row],[Title]]," ",Table1[[#This Row],[First Name]]," ",Table1[[#This Row],[Last Name]]))</f>
        <v>Mr Alejandro Harding</v>
      </c>
      <c r="H720" t="str">
        <f>SUBSTITUTE(Table1[[#This Row],[Street]],"Road"," Road")</f>
        <v>Vine Place</v>
      </c>
      <c r="I720" t="str">
        <f>SUBSTITUTE(Table1[[#This Row],[Separate combined words ]],"?","")</f>
        <v>Vine Place</v>
      </c>
      <c r="J720" t="str">
        <f>TRIM(Table1[[#This Row],[Remove Question Mark "?"]])</f>
        <v>Vine Place</v>
      </c>
      <c r="K720" t="str">
        <f>PROPER(Table1[[#This Row],[Leading, Multiple &amp; Trailing spaces]])</f>
        <v>Vine Place</v>
      </c>
      <c r="L720" t="str">
        <f t="shared" si="11"/>
        <v>Vine Place</v>
      </c>
      <c r="M720" t="s">
        <v>2567</v>
      </c>
    </row>
    <row r="721" spans="1:13" x14ac:dyDescent="0.3">
      <c r="A721">
        <v>718</v>
      </c>
      <c r="B721" t="s">
        <v>2459</v>
      </c>
      <c r="C721" t="s">
        <v>2568</v>
      </c>
      <c r="D721" t="s">
        <v>2353</v>
      </c>
      <c r="E721" t="s">
        <v>2569</v>
      </c>
      <c r="F721" t="s">
        <v>2570</v>
      </c>
      <c r="G721" t="str">
        <f xml:space="preserve"> PROPER(_xlfn.CONCAT(Table1[[#This Row],[Title]]," ",Table1[[#This Row],[First Name]]," ",Table1[[#This Row],[Last Name]]))</f>
        <v>Mr Brain Clifton</v>
      </c>
      <c r="H721" t="str">
        <f>SUBSTITUTE(Table1[[#This Row],[Street]],"Road"," Road")</f>
        <v>Shere  Road</v>
      </c>
      <c r="I721" t="str">
        <f>SUBSTITUTE(Table1[[#This Row],[Separate combined words ]],"?","")</f>
        <v>Shere  Road</v>
      </c>
      <c r="J721" t="str">
        <f>TRIM(Table1[[#This Row],[Remove Question Mark "?"]])</f>
        <v>Shere Road</v>
      </c>
      <c r="K721" t="str">
        <f>PROPER(Table1[[#This Row],[Leading, Multiple &amp; Trailing spaces]])</f>
        <v>Shere Road</v>
      </c>
      <c r="L721" t="str">
        <f t="shared" si="11"/>
        <v>Shere Road</v>
      </c>
      <c r="M721" t="s">
        <v>2569</v>
      </c>
    </row>
    <row r="722" spans="1:13" x14ac:dyDescent="0.3">
      <c r="A722">
        <v>719</v>
      </c>
      <c r="B722" t="s">
        <v>2571</v>
      </c>
      <c r="C722" t="s">
        <v>415</v>
      </c>
      <c r="D722" t="s">
        <v>2353</v>
      </c>
      <c r="E722" t="s">
        <v>2572</v>
      </c>
      <c r="F722" t="s">
        <v>2573</v>
      </c>
      <c r="G722" t="str">
        <f xml:space="preserve"> PROPER(_xlfn.CONCAT(Table1[[#This Row],[Title]]," ",Table1[[#This Row],[First Name]]," ",Table1[[#This Row],[Last Name]]))</f>
        <v>Mr Margarito Osborne</v>
      </c>
      <c r="H722" t="str">
        <f>SUBSTITUTE(Table1[[#This Row],[Street]],"Road"," Road")</f>
        <v>Taunton Avenue</v>
      </c>
      <c r="I722" t="str">
        <f>SUBSTITUTE(Table1[[#This Row],[Separate combined words ]],"?","")</f>
        <v>Taunton Avenue</v>
      </c>
      <c r="J722" t="str">
        <f>TRIM(Table1[[#This Row],[Remove Question Mark "?"]])</f>
        <v>Taunton Avenue</v>
      </c>
      <c r="K722" t="str">
        <f>PROPER(Table1[[#This Row],[Leading, Multiple &amp; Trailing spaces]])</f>
        <v>Taunton Avenue</v>
      </c>
      <c r="L722" t="str">
        <f t="shared" si="11"/>
        <v>Taunton Avenue</v>
      </c>
      <c r="M722" t="s">
        <v>2572</v>
      </c>
    </row>
    <row r="723" spans="1:13" x14ac:dyDescent="0.3">
      <c r="A723">
        <v>720</v>
      </c>
      <c r="B723" t="s">
        <v>2574</v>
      </c>
      <c r="C723" t="s">
        <v>2575</v>
      </c>
      <c r="D723" t="s">
        <v>2353</v>
      </c>
      <c r="E723" t="s">
        <v>2576</v>
      </c>
      <c r="F723" t="s">
        <v>1867</v>
      </c>
      <c r="G723" t="str">
        <f xml:space="preserve"> PROPER(_xlfn.CONCAT(Table1[[#This Row],[Title]]," ",Table1[[#This Row],[First Name]]," ",Table1[[#This Row],[Last Name]]))</f>
        <v>Mr Gerardo Stokes</v>
      </c>
      <c r="H723" t="str">
        <f>SUBSTITUTE(Table1[[#This Row],[Street]],"Road"," Road")</f>
        <v>Sturdys Cottage</v>
      </c>
      <c r="I723" t="str">
        <f>SUBSTITUTE(Table1[[#This Row],[Separate combined words ]],"?","")</f>
        <v>Sturdys Cottage</v>
      </c>
      <c r="J723" t="str">
        <f>TRIM(Table1[[#This Row],[Remove Question Mark "?"]])</f>
        <v>Sturdys Cottage</v>
      </c>
      <c r="K723" t="str">
        <f>PROPER(Table1[[#This Row],[Leading, Multiple &amp; Trailing spaces]])</f>
        <v>Sturdys Cottage</v>
      </c>
      <c r="L723" t="str">
        <f t="shared" si="11"/>
        <v>Sturdys Cottage</v>
      </c>
      <c r="M723" t="s">
        <v>2576</v>
      </c>
    </row>
    <row r="724" spans="1:13" x14ac:dyDescent="0.3">
      <c r="A724">
        <v>721</v>
      </c>
      <c r="B724" t="s">
        <v>166</v>
      </c>
      <c r="C724" t="s">
        <v>2091</v>
      </c>
      <c r="D724" t="s">
        <v>2353</v>
      </c>
      <c r="E724" t="s">
        <v>2577</v>
      </c>
      <c r="F724" t="s">
        <v>640</v>
      </c>
      <c r="G724" t="str">
        <f xml:space="preserve"> PROPER(_xlfn.CONCAT(Table1[[#This Row],[Title]]," ",Table1[[#This Row],[First Name]]," ",Table1[[#This Row],[Last Name]]))</f>
        <v>Mr Joseph Cornett</v>
      </c>
      <c r="H724" t="str">
        <f>SUBSTITUTE(Table1[[#This Row],[Street]],"Road"," Road")</f>
        <v>Memess Path</v>
      </c>
      <c r="I724" t="str">
        <f>SUBSTITUTE(Table1[[#This Row],[Separate combined words ]],"?","")</f>
        <v>Memess Path</v>
      </c>
      <c r="J724" t="str">
        <f>TRIM(Table1[[#This Row],[Remove Question Mark "?"]])</f>
        <v>Memess Path</v>
      </c>
      <c r="K724" t="str">
        <f>PROPER(Table1[[#This Row],[Leading, Multiple &amp; Trailing spaces]])</f>
        <v>Memess Path</v>
      </c>
      <c r="L724" t="str">
        <f t="shared" si="11"/>
        <v>Memess Path</v>
      </c>
      <c r="M724" t="s">
        <v>2577</v>
      </c>
    </row>
    <row r="725" spans="1:13" x14ac:dyDescent="0.3">
      <c r="A725">
        <v>722</v>
      </c>
      <c r="B725" t="s">
        <v>2578</v>
      </c>
      <c r="C725" t="s">
        <v>2579</v>
      </c>
      <c r="D725" t="s">
        <v>2353</v>
      </c>
      <c r="E725" t="s">
        <v>2580</v>
      </c>
      <c r="F725" t="s">
        <v>2581</v>
      </c>
      <c r="G725" t="str">
        <f xml:space="preserve"> PROPER(_xlfn.CONCAT(Table1[[#This Row],[Title]]," ",Table1[[#This Row],[First Name]]," ",Table1[[#This Row],[Last Name]]))</f>
        <v>Mr Walker Cormier</v>
      </c>
      <c r="H725" t="str">
        <f>SUBSTITUTE(Table1[[#This Row],[Street]],"Road"," Road")</f>
        <v>Lower Woolwich</v>
      </c>
      <c r="I725" t="str">
        <f>SUBSTITUTE(Table1[[#This Row],[Separate combined words ]],"?","")</f>
        <v>Lower Woolwich</v>
      </c>
      <c r="J725" t="str">
        <f>TRIM(Table1[[#This Row],[Remove Question Mark "?"]])</f>
        <v>Lower Woolwich</v>
      </c>
      <c r="K725" t="str">
        <f>PROPER(Table1[[#This Row],[Leading, Multiple &amp; Trailing spaces]])</f>
        <v>Lower Woolwich</v>
      </c>
      <c r="L725" t="str">
        <f t="shared" si="11"/>
        <v>Lower Woolwich</v>
      </c>
      <c r="M725" t="s">
        <v>2580</v>
      </c>
    </row>
    <row r="726" spans="1:13" x14ac:dyDescent="0.3">
      <c r="A726">
        <v>723</v>
      </c>
      <c r="B726" t="s">
        <v>2582</v>
      </c>
      <c r="C726" t="s">
        <v>2583</v>
      </c>
      <c r="D726" t="s">
        <v>2353</v>
      </c>
      <c r="E726" t="s">
        <v>2584</v>
      </c>
      <c r="F726" t="s">
        <v>2026</v>
      </c>
      <c r="G726" t="str">
        <f xml:space="preserve"> PROPER(_xlfn.CONCAT(Table1[[#This Row],[Title]]," ",Table1[[#This Row],[First Name]]," ",Table1[[#This Row],[Last Name]]))</f>
        <v>Mr Olen Pugh</v>
      </c>
      <c r="H726" t="str">
        <f>SUBSTITUTE(Table1[[#This Row],[Street]],"Road"," Road")</f>
        <v>Doctor Street</v>
      </c>
      <c r="I726" t="str">
        <f>SUBSTITUTE(Table1[[#This Row],[Separate combined words ]],"?","")</f>
        <v>Doctor Street</v>
      </c>
      <c r="J726" t="str">
        <f>TRIM(Table1[[#This Row],[Remove Question Mark "?"]])</f>
        <v>Doctor Street</v>
      </c>
      <c r="K726" t="str">
        <f>PROPER(Table1[[#This Row],[Leading, Multiple &amp; Trailing spaces]])</f>
        <v>Doctor Street</v>
      </c>
      <c r="L726" t="str">
        <f t="shared" si="11"/>
        <v>Doctor Street</v>
      </c>
      <c r="M726" t="s">
        <v>2584</v>
      </c>
    </row>
    <row r="727" spans="1:13" x14ac:dyDescent="0.3">
      <c r="A727">
        <v>724</v>
      </c>
      <c r="B727" t="s">
        <v>210</v>
      </c>
      <c r="C727" t="s">
        <v>2585</v>
      </c>
      <c r="D727" t="s">
        <v>2353</v>
      </c>
      <c r="E727" t="s">
        <v>2586</v>
      </c>
      <c r="F727" t="s">
        <v>2587</v>
      </c>
      <c r="G727" t="str">
        <f xml:space="preserve"> PROPER(_xlfn.CONCAT(Table1[[#This Row],[Title]]," ",Table1[[#This Row],[First Name]]," ",Table1[[#This Row],[Last Name]]))</f>
        <v>Mr Dannie Herrera</v>
      </c>
      <c r="H727" t="str">
        <f>SUBSTITUTE(Table1[[#This Row],[Street]],"Road"," Road")</f>
        <v>Torrington Villas</v>
      </c>
      <c r="I727" t="str">
        <f>SUBSTITUTE(Table1[[#This Row],[Separate combined words ]],"?","")</f>
        <v>Torrington Villas</v>
      </c>
      <c r="J727" t="str">
        <f>TRIM(Table1[[#This Row],[Remove Question Mark "?"]])</f>
        <v>Torrington Villas</v>
      </c>
      <c r="K727" t="str">
        <f>PROPER(Table1[[#This Row],[Leading, Multiple &amp; Trailing spaces]])</f>
        <v>Torrington Villas</v>
      </c>
      <c r="L727" t="str">
        <f t="shared" si="11"/>
        <v>Torrington Villas</v>
      </c>
      <c r="M727" t="s">
        <v>2586</v>
      </c>
    </row>
    <row r="728" spans="1:13" x14ac:dyDescent="0.3">
      <c r="A728">
        <v>725</v>
      </c>
      <c r="B728" t="s">
        <v>2588</v>
      </c>
      <c r="C728" t="s">
        <v>1785</v>
      </c>
      <c r="D728" t="s">
        <v>2353</v>
      </c>
      <c r="E728" t="s">
        <v>571</v>
      </c>
      <c r="F728" t="s">
        <v>713</v>
      </c>
      <c r="G728" t="str">
        <f xml:space="preserve"> PROPER(_xlfn.CONCAT(Table1[[#This Row],[Title]]," ",Table1[[#This Row],[First Name]]," ",Table1[[#This Row],[Last Name]]))</f>
        <v>Mr Colby Hopper</v>
      </c>
      <c r="H728" t="str">
        <f>SUBSTITUTE(Table1[[#This Row],[Street]],"Road"," Road")</f>
        <v>Appach  Road</v>
      </c>
      <c r="I728" t="str">
        <f>SUBSTITUTE(Table1[[#This Row],[Separate combined words ]],"?","")</f>
        <v>Appach  Road</v>
      </c>
      <c r="J728" t="str">
        <f>TRIM(Table1[[#This Row],[Remove Question Mark "?"]])</f>
        <v>Appach Road</v>
      </c>
      <c r="K728" t="str">
        <f>PROPER(Table1[[#This Row],[Leading, Multiple &amp; Trailing spaces]])</f>
        <v>Appach Road</v>
      </c>
      <c r="L728" t="str">
        <f t="shared" si="11"/>
        <v>Appach Road</v>
      </c>
      <c r="M728" t="s">
        <v>571</v>
      </c>
    </row>
    <row r="729" spans="1:13" x14ac:dyDescent="0.3">
      <c r="A729">
        <v>726</v>
      </c>
      <c r="B729" t="s">
        <v>2589</v>
      </c>
      <c r="C729" t="s">
        <v>2590</v>
      </c>
      <c r="D729" t="s">
        <v>2353</v>
      </c>
      <c r="E729" t="s">
        <v>2591</v>
      </c>
      <c r="F729" t="s">
        <v>2592</v>
      </c>
      <c r="G729" t="str">
        <f xml:space="preserve"> PROPER(_xlfn.CONCAT(Table1[[#This Row],[Title]]," ",Table1[[#This Row],[First Name]]," ",Table1[[#This Row],[Last Name]]))</f>
        <v>Mr Quentin Lugo</v>
      </c>
      <c r="H729" t="str">
        <f>SUBSTITUTE(Table1[[#This Row],[Street]],"Road"," Road")</f>
        <v>Buckmaster  Road</v>
      </c>
      <c r="I729" t="str">
        <f>SUBSTITUTE(Table1[[#This Row],[Separate combined words ]],"?","")</f>
        <v>Buckmaster  Road</v>
      </c>
      <c r="J729" t="str">
        <f>TRIM(Table1[[#This Row],[Remove Question Mark "?"]])</f>
        <v>Buckmaster Road</v>
      </c>
      <c r="K729" t="str">
        <f>PROPER(Table1[[#This Row],[Leading, Multiple &amp; Trailing spaces]])</f>
        <v>Buckmaster Road</v>
      </c>
      <c r="L729" t="str">
        <f t="shared" si="11"/>
        <v>Buckmaster Road</v>
      </c>
      <c r="M729" t="s">
        <v>2591</v>
      </c>
    </row>
    <row r="730" spans="1:13" x14ac:dyDescent="0.3">
      <c r="A730">
        <v>727</v>
      </c>
      <c r="B730" t="s">
        <v>2593</v>
      </c>
      <c r="C730" t="s">
        <v>2424</v>
      </c>
      <c r="D730" t="s">
        <v>2353</v>
      </c>
      <c r="E730" t="s">
        <v>2594</v>
      </c>
      <c r="F730" t="s">
        <v>2595</v>
      </c>
      <c r="G730" t="str">
        <f xml:space="preserve"> PROPER(_xlfn.CONCAT(Table1[[#This Row],[Title]]," ",Table1[[#This Row],[First Name]]," ",Table1[[#This Row],[Last Name]]))</f>
        <v>Mr David Spencer</v>
      </c>
      <c r="H730" t="str">
        <f>SUBSTITUTE(Table1[[#This Row],[Street]],"Road"," Road")</f>
        <v>Julian Avenue</v>
      </c>
      <c r="I730" t="str">
        <f>SUBSTITUTE(Table1[[#This Row],[Separate combined words ]],"?","")</f>
        <v>Julian Avenue</v>
      </c>
      <c r="J730" t="str">
        <f>TRIM(Table1[[#This Row],[Remove Question Mark "?"]])</f>
        <v>Julian Avenue</v>
      </c>
      <c r="K730" t="str">
        <f>PROPER(Table1[[#This Row],[Leading, Multiple &amp; Trailing spaces]])</f>
        <v>Julian Avenue</v>
      </c>
      <c r="L730" t="str">
        <f t="shared" si="11"/>
        <v>Julian Avenue</v>
      </c>
      <c r="M730" t="s">
        <v>2594</v>
      </c>
    </row>
    <row r="731" spans="1:13" x14ac:dyDescent="0.3">
      <c r="A731">
        <v>728</v>
      </c>
      <c r="B731" t="s">
        <v>2596</v>
      </c>
      <c r="C731" t="s">
        <v>2597</v>
      </c>
      <c r="D731" t="s">
        <v>2353</v>
      </c>
      <c r="E731" t="s">
        <v>2598</v>
      </c>
      <c r="F731" t="s">
        <v>186</v>
      </c>
      <c r="G731" t="str">
        <f xml:space="preserve"> PROPER(_xlfn.CONCAT(Table1[[#This Row],[Title]]," ",Table1[[#This Row],[First Name]]," ",Table1[[#This Row],[Last Name]]))</f>
        <v>Mr Wayne Logan</v>
      </c>
      <c r="H731" t="str">
        <f>SUBSTITUTE(Table1[[#This Row],[Street]],"Road"," Road")</f>
        <v>Homer Street</v>
      </c>
      <c r="I731" t="str">
        <f>SUBSTITUTE(Table1[[#This Row],[Separate combined words ]],"?","")</f>
        <v>Homer Street</v>
      </c>
      <c r="J731" t="str">
        <f>TRIM(Table1[[#This Row],[Remove Question Mark "?"]])</f>
        <v>Homer Street</v>
      </c>
      <c r="K731" t="str">
        <f>PROPER(Table1[[#This Row],[Leading, Multiple &amp; Trailing spaces]])</f>
        <v>Homer Street</v>
      </c>
      <c r="L731" t="str">
        <f t="shared" si="11"/>
        <v>Homer Street</v>
      </c>
      <c r="M731" t="s">
        <v>2598</v>
      </c>
    </row>
    <row r="732" spans="1:13" x14ac:dyDescent="0.3">
      <c r="A732">
        <v>729</v>
      </c>
      <c r="B732" t="s">
        <v>2599</v>
      </c>
      <c r="C732" t="s">
        <v>158</v>
      </c>
      <c r="D732" t="s">
        <v>2353</v>
      </c>
      <c r="E732" t="s">
        <v>2600</v>
      </c>
      <c r="F732" t="s">
        <v>645</v>
      </c>
      <c r="G732" t="str">
        <f xml:space="preserve"> PROPER(_xlfn.CONCAT(Table1[[#This Row],[Title]]," ",Table1[[#This Row],[First Name]]," ",Table1[[#This Row],[Last Name]]))</f>
        <v>Mr Lauren Surname</v>
      </c>
      <c r="H732" t="str">
        <f>SUBSTITUTE(Table1[[#This Row],[Street]],"Road"," Road")</f>
        <v>Hardwicke Villas</v>
      </c>
      <c r="I732" t="str">
        <f>SUBSTITUTE(Table1[[#This Row],[Separate combined words ]],"?","")</f>
        <v>Hardwicke Villas</v>
      </c>
      <c r="J732" t="str">
        <f>TRIM(Table1[[#This Row],[Remove Question Mark "?"]])</f>
        <v>Hardwicke Villas</v>
      </c>
      <c r="K732" t="str">
        <f>PROPER(Table1[[#This Row],[Leading, Multiple &amp; Trailing spaces]])</f>
        <v>Hardwicke Villas</v>
      </c>
      <c r="L732" t="str">
        <f t="shared" si="11"/>
        <v>Hardwicke Villas</v>
      </c>
      <c r="M732" t="s">
        <v>2600</v>
      </c>
    </row>
    <row r="733" spans="1:13" x14ac:dyDescent="0.3">
      <c r="A733">
        <v>730</v>
      </c>
      <c r="B733" t="s">
        <v>2601</v>
      </c>
      <c r="C733" t="s">
        <v>2602</v>
      </c>
      <c r="D733" t="s">
        <v>2353</v>
      </c>
      <c r="E733" t="s">
        <v>2603</v>
      </c>
      <c r="F733" t="s">
        <v>375</v>
      </c>
      <c r="G733" t="str">
        <f xml:space="preserve"> PROPER(_xlfn.CONCAT(Table1[[#This Row],[Title]]," ",Table1[[#This Row],[First Name]]," ",Table1[[#This Row],[Last Name]]))</f>
        <v>Mr Jordon Chambers</v>
      </c>
      <c r="H733" t="str">
        <f>SUBSTITUTE(Table1[[#This Row],[Street]],"Road"," Road")</f>
        <v>Ravensbury  Road</v>
      </c>
      <c r="I733" t="str">
        <f>SUBSTITUTE(Table1[[#This Row],[Separate combined words ]],"?","")</f>
        <v>Ravensbury  Road</v>
      </c>
      <c r="J733" t="str">
        <f>TRIM(Table1[[#This Row],[Remove Question Mark "?"]])</f>
        <v>Ravensbury Road</v>
      </c>
      <c r="K733" t="str">
        <f>PROPER(Table1[[#This Row],[Leading, Multiple &amp; Trailing spaces]])</f>
        <v>Ravensbury Road</v>
      </c>
      <c r="L733" t="str">
        <f t="shared" si="11"/>
        <v>Ravensbury Road</v>
      </c>
      <c r="M733" t="s">
        <v>2603</v>
      </c>
    </row>
    <row r="734" spans="1:13" x14ac:dyDescent="0.3">
      <c r="A734">
        <v>731</v>
      </c>
      <c r="B734" t="s">
        <v>2604</v>
      </c>
      <c r="C734" t="s">
        <v>2605</v>
      </c>
      <c r="D734" t="s">
        <v>2353</v>
      </c>
      <c r="E734" t="s">
        <v>2606</v>
      </c>
      <c r="F734" t="s">
        <v>1571</v>
      </c>
      <c r="G734" t="str">
        <f xml:space="preserve"> PROPER(_xlfn.CONCAT(Table1[[#This Row],[Title]]," ",Table1[[#This Row],[First Name]]," ",Table1[[#This Row],[Last Name]]))</f>
        <v>Mr Arron Donahue</v>
      </c>
      <c r="H734" t="str">
        <f>SUBSTITUTE(Table1[[#This Row],[Street]],"Road"," Road")</f>
        <v>Messeter Place</v>
      </c>
      <c r="I734" t="str">
        <f>SUBSTITUTE(Table1[[#This Row],[Separate combined words ]],"?","")</f>
        <v>Messeter Place</v>
      </c>
      <c r="J734" t="str">
        <f>TRIM(Table1[[#This Row],[Remove Question Mark "?"]])</f>
        <v>Messeter Place</v>
      </c>
      <c r="K734" t="str">
        <f>PROPER(Table1[[#This Row],[Leading, Multiple &amp; Trailing spaces]])</f>
        <v>Messeter Place</v>
      </c>
      <c r="L734" t="str">
        <f t="shared" si="11"/>
        <v>Messeter Place</v>
      </c>
      <c r="M734" t="s">
        <v>2606</v>
      </c>
    </row>
    <row r="735" spans="1:13" x14ac:dyDescent="0.3">
      <c r="A735">
        <v>732</v>
      </c>
      <c r="B735" t="s">
        <v>2607</v>
      </c>
      <c r="C735" t="s">
        <v>2608</v>
      </c>
      <c r="D735" t="s">
        <v>2353</v>
      </c>
      <c r="E735" t="s">
        <v>2609</v>
      </c>
      <c r="F735" t="s">
        <v>1494</v>
      </c>
      <c r="G735" t="str">
        <f xml:space="preserve"> PROPER(_xlfn.CONCAT(Table1[[#This Row],[Title]]," ",Table1[[#This Row],[First Name]]," ",Table1[[#This Row],[Last Name]]))</f>
        <v>Mr Waylon Brady</v>
      </c>
      <c r="H735" t="str">
        <f>SUBSTITUTE(Table1[[#This Row],[Street]],"Road"," Road")</f>
        <v>Luttrell Avenue</v>
      </c>
      <c r="I735" t="str">
        <f>SUBSTITUTE(Table1[[#This Row],[Separate combined words ]],"?","")</f>
        <v>Luttrell Avenue</v>
      </c>
      <c r="J735" t="str">
        <f>TRIM(Table1[[#This Row],[Remove Question Mark "?"]])</f>
        <v>Luttrell Avenue</v>
      </c>
      <c r="K735" t="str">
        <f>PROPER(Table1[[#This Row],[Leading, Multiple &amp; Trailing spaces]])</f>
        <v>Luttrell Avenue</v>
      </c>
      <c r="L735" t="str">
        <f t="shared" si="11"/>
        <v>Luttrell Avenue</v>
      </c>
      <c r="M735" t="s">
        <v>2609</v>
      </c>
    </row>
    <row r="736" spans="1:13" x14ac:dyDescent="0.3">
      <c r="A736">
        <v>733</v>
      </c>
      <c r="B736" t="s">
        <v>2610</v>
      </c>
      <c r="C736" t="s">
        <v>2611</v>
      </c>
      <c r="D736" t="s">
        <v>2353</v>
      </c>
      <c r="E736" t="s">
        <v>2612</v>
      </c>
      <c r="F736" t="s">
        <v>546</v>
      </c>
      <c r="G736" t="str">
        <f xml:space="preserve"> PROPER(_xlfn.CONCAT(Table1[[#This Row],[Title]]," ",Table1[[#This Row],[First Name]]," ",Table1[[#This Row],[Last Name]]))</f>
        <v>Mr Nestor Goldsmith</v>
      </c>
      <c r="H736" t="str">
        <f>SUBSTITUTE(Table1[[#This Row],[Street]],"Road"," Road")</f>
        <v>Blackett Street</v>
      </c>
      <c r="I736" t="str">
        <f>SUBSTITUTE(Table1[[#This Row],[Separate combined words ]],"?","")</f>
        <v>Blackett Street</v>
      </c>
      <c r="J736" t="str">
        <f>TRIM(Table1[[#This Row],[Remove Question Mark "?"]])</f>
        <v>Blackett Street</v>
      </c>
      <c r="K736" t="str">
        <f>PROPER(Table1[[#This Row],[Leading, Multiple &amp; Trailing spaces]])</f>
        <v>Blackett Street</v>
      </c>
      <c r="L736" t="str">
        <f t="shared" si="11"/>
        <v>Blackett Street</v>
      </c>
      <c r="M736" t="s">
        <v>2612</v>
      </c>
    </row>
    <row r="737" spans="1:13" x14ac:dyDescent="0.3">
      <c r="A737">
        <v>734</v>
      </c>
      <c r="B737" t="s">
        <v>2613</v>
      </c>
      <c r="C737" t="s">
        <v>123</v>
      </c>
      <c r="D737" t="s">
        <v>2353</v>
      </c>
      <c r="E737" t="s">
        <v>2614</v>
      </c>
      <c r="F737" t="s">
        <v>1305</v>
      </c>
      <c r="G737" t="str">
        <f xml:space="preserve"> PROPER(_xlfn.CONCAT(Table1[[#This Row],[Title]]," ",Table1[[#This Row],[First Name]]," ",Table1[[#This Row],[Last Name]]))</f>
        <v>Mr Otha Oneal</v>
      </c>
      <c r="H737" t="str">
        <f>SUBSTITUTE(Table1[[#This Row],[Street]],"Road"," Road")</f>
        <v>Lyme Grove</v>
      </c>
      <c r="I737" t="str">
        <f>SUBSTITUTE(Table1[[#This Row],[Separate combined words ]],"?","")</f>
        <v>Lyme Grove</v>
      </c>
      <c r="J737" t="str">
        <f>TRIM(Table1[[#This Row],[Remove Question Mark "?"]])</f>
        <v>Lyme Grove</v>
      </c>
      <c r="K737" t="str">
        <f>PROPER(Table1[[#This Row],[Leading, Multiple &amp; Trailing spaces]])</f>
        <v>Lyme Grove</v>
      </c>
      <c r="L737" t="str">
        <f t="shared" si="11"/>
        <v>Lyme Grove</v>
      </c>
      <c r="M737" t="s">
        <v>2614</v>
      </c>
    </row>
    <row r="738" spans="1:13" x14ac:dyDescent="0.3">
      <c r="A738">
        <v>735</v>
      </c>
      <c r="B738" t="s">
        <v>2615</v>
      </c>
      <c r="C738" t="s">
        <v>2616</v>
      </c>
      <c r="D738" t="s">
        <v>2353</v>
      </c>
      <c r="E738" t="s">
        <v>2617</v>
      </c>
      <c r="F738" t="s">
        <v>838</v>
      </c>
      <c r="G738" t="str">
        <f xml:space="preserve"> PROPER(_xlfn.CONCAT(Table1[[#This Row],[Title]]," ",Table1[[#This Row],[First Name]]," ",Table1[[#This Row],[Last Name]]))</f>
        <v>Mr Chris Hanley</v>
      </c>
      <c r="H738" t="str">
        <f>SUBSTITUTE(Table1[[#This Row],[Street]],"Road"," Road")</f>
        <v>Leamington Villas</v>
      </c>
      <c r="I738" t="str">
        <f>SUBSTITUTE(Table1[[#This Row],[Separate combined words ]],"?","")</f>
        <v>Leamington Villas</v>
      </c>
      <c r="J738" t="str">
        <f>TRIM(Table1[[#This Row],[Remove Question Mark "?"]])</f>
        <v>Leamington Villas</v>
      </c>
      <c r="K738" t="str">
        <f>PROPER(Table1[[#This Row],[Leading, Multiple &amp; Trailing spaces]])</f>
        <v>Leamington Villas</v>
      </c>
      <c r="L738" t="str">
        <f t="shared" si="11"/>
        <v>Leamington Villas</v>
      </c>
      <c r="M738" t="s">
        <v>2617</v>
      </c>
    </row>
    <row r="739" spans="1:13" x14ac:dyDescent="0.3">
      <c r="A739">
        <v>736</v>
      </c>
      <c r="B739" t="s">
        <v>2618</v>
      </c>
      <c r="C739" t="s">
        <v>2619</v>
      </c>
      <c r="D739" t="s">
        <v>2353</v>
      </c>
      <c r="E739" t="s">
        <v>2620</v>
      </c>
      <c r="F739" t="s">
        <v>537</v>
      </c>
      <c r="G739" t="str">
        <f xml:space="preserve"> PROPER(_xlfn.CONCAT(Table1[[#This Row],[Title]]," ",Table1[[#This Row],[First Name]]," ",Table1[[#This Row],[Last Name]]))</f>
        <v>Mr Jerome Lujan</v>
      </c>
      <c r="H739" t="str">
        <f>SUBSTITUTE(Table1[[#This Row],[Street]],"Road"," Road")</f>
        <v>Waterfield Close</v>
      </c>
      <c r="I739" t="str">
        <f>SUBSTITUTE(Table1[[#This Row],[Separate combined words ]],"?","")</f>
        <v>Waterfield Close</v>
      </c>
      <c r="J739" t="str">
        <f>TRIM(Table1[[#This Row],[Remove Question Mark "?"]])</f>
        <v>Waterfield Close</v>
      </c>
      <c r="K739" t="str">
        <f>PROPER(Table1[[#This Row],[Leading, Multiple &amp; Trailing spaces]])</f>
        <v>Waterfield Close</v>
      </c>
      <c r="L739" t="str">
        <f t="shared" si="11"/>
        <v>Waterfield Close</v>
      </c>
      <c r="M739" t="s">
        <v>2620</v>
      </c>
    </row>
    <row r="740" spans="1:13" x14ac:dyDescent="0.3">
      <c r="A740">
        <v>737</v>
      </c>
      <c r="B740" t="s">
        <v>2486</v>
      </c>
      <c r="C740" t="s">
        <v>608</v>
      </c>
      <c r="D740" t="s">
        <v>2353</v>
      </c>
      <c r="E740" t="s">
        <v>2621</v>
      </c>
      <c r="F740" t="s">
        <v>668</v>
      </c>
      <c r="G740" t="str">
        <f xml:space="preserve"> PROPER(_xlfn.CONCAT(Table1[[#This Row],[Title]]," ",Table1[[#This Row],[First Name]]," ",Table1[[#This Row],[Last Name]]))</f>
        <v>Mr Dominique Grubbs</v>
      </c>
      <c r="H740" t="str">
        <f>SUBSTITUTE(Table1[[#This Row],[Street]],"Road"," Road")</f>
        <v>Vardens  Road</v>
      </c>
      <c r="I740" t="str">
        <f>SUBSTITUTE(Table1[[#This Row],[Separate combined words ]],"?","")</f>
        <v>Vardens  Road</v>
      </c>
      <c r="J740" t="str">
        <f>TRIM(Table1[[#This Row],[Remove Question Mark "?"]])</f>
        <v>Vardens Road</v>
      </c>
      <c r="K740" t="str">
        <f>PROPER(Table1[[#This Row],[Leading, Multiple &amp; Trailing spaces]])</f>
        <v>Vardens Road</v>
      </c>
      <c r="L740" t="str">
        <f t="shared" si="11"/>
        <v>Vardens Road</v>
      </c>
      <c r="M740" t="s">
        <v>2621</v>
      </c>
    </row>
    <row r="741" spans="1:13" x14ac:dyDescent="0.3">
      <c r="A741">
        <v>738</v>
      </c>
      <c r="B741" t="s">
        <v>2622</v>
      </c>
      <c r="C741" t="s">
        <v>629</v>
      </c>
      <c r="D741" t="s">
        <v>2353</v>
      </c>
      <c r="E741" t="s">
        <v>2623</v>
      </c>
      <c r="F741" t="s">
        <v>2624</v>
      </c>
      <c r="G741" t="str">
        <f xml:space="preserve"> PROPER(_xlfn.CONCAT(Table1[[#This Row],[Title]]," ",Table1[[#This Row],[First Name]]," ",Table1[[#This Row],[Last Name]]))</f>
        <v>Mr Maximo Mcdowell</v>
      </c>
      <c r="H741" t="str">
        <f>SUBSTITUTE(Table1[[#This Row],[Street]],"Road"," Road")</f>
        <v>Deepdene  Road</v>
      </c>
      <c r="I741" t="str">
        <f>SUBSTITUTE(Table1[[#This Row],[Separate combined words ]],"?","")</f>
        <v>Deepdene  Road</v>
      </c>
      <c r="J741" t="str">
        <f>TRIM(Table1[[#This Row],[Remove Question Mark "?"]])</f>
        <v>Deepdene Road</v>
      </c>
      <c r="K741" t="str">
        <f>PROPER(Table1[[#This Row],[Leading, Multiple &amp; Trailing spaces]])</f>
        <v>Deepdene Road</v>
      </c>
      <c r="L741" t="str">
        <f t="shared" si="11"/>
        <v>Deepdene Road</v>
      </c>
      <c r="M741" t="s">
        <v>2623</v>
      </c>
    </row>
    <row r="742" spans="1:13" x14ac:dyDescent="0.3">
      <c r="A742">
        <v>739</v>
      </c>
      <c r="B742" t="s">
        <v>2625</v>
      </c>
      <c r="C742" t="s">
        <v>521</v>
      </c>
      <c r="D742" t="s">
        <v>2353</v>
      </c>
      <c r="E742" t="s">
        <v>2626</v>
      </c>
      <c r="F742" t="s">
        <v>2627</v>
      </c>
      <c r="G742" t="str">
        <f xml:space="preserve"> PROPER(_xlfn.CONCAT(Table1[[#This Row],[Title]]," ",Table1[[#This Row],[First Name]]," ",Table1[[#This Row],[Last Name]]))</f>
        <v>Mr Hipolito Sanford</v>
      </c>
      <c r="H742" t="str">
        <f>SUBSTITUTE(Table1[[#This Row],[Street]],"Road"," Road")</f>
        <v>Kelfield Mews</v>
      </c>
      <c r="I742" t="str">
        <f>SUBSTITUTE(Table1[[#This Row],[Separate combined words ]],"?","")</f>
        <v>Kelfield Mews</v>
      </c>
      <c r="J742" t="str">
        <f>TRIM(Table1[[#This Row],[Remove Question Mark "?"]])</f>
        <v>Kelfield Mews</v>
      </c>
      <c r="K742" t="str">
        <f>PROPER(Table1[[#This Row],[Leading, Multiple &amp; Trailing spaces]])</f>
        <v>Kelfield Mews</v>
      </c>
      <c r="L742" t="str">
        <f t="shared" si="11"/>
        <v>Kelfield Mews</v>
      </c>
      <c r="M742" t="s">
        <v>2626</v>
      </c>
    </row>
    <row r="743" spans="1:13" x14ac:dyDescent="0.3">
      <c r="A743">
        <v>740</v>
      </c>
      <c r="B743" t="s">
        <v>2628</v>
      </c>
      <c r="C743" t="s">
        <v>2629</v>
      </c>
      <c r="D743" t="s">
        <v>318</v>
      </c>
      <c r="E743" t="s">
        <v>2630</v>
      </c>
      <c r="F743" t="s">
        <v>2631</v>
      </c>
      <c r="G743" t="str">
        <f xml:space="preserve"> PROPER(_xlfn.CONCAT(Table1[[#This Row],[Title]]," ",Table1[[#This Row],[First Name]]," ",Table1[[#This Row],[Last Name]]))</f>
        <v>Dr Donovan Saldana</v>
      </c>
      <c r="H743" t="str">
        <f>SUBSTITUTE(Table1[[#This Row],[Street]],"Road"," Road")</f>
        <v>Knightly Court</v>
      </c>
      <c r="I743" t="str">
        <f>SUBSTITUTE(Table1[[#This Row],[Separate combined words ]],"?","")</f>
        <v>Knightly Court</v>
      </c>
      <c r="J743" t="str">
        <f>TRIM(Table1[[#This Row],[Remove Question Mark "?"]])</f>
        <v>Knightly Court</v>
      </c>
      <c r="K743" t="str">
        <f>PROPER(Table1[[#This Row],[Leading, Multiple &amp; Trailing spaces]])</f>
        <v>Knightly Court</v>
      </c>
      <c r="L743" t="str">
        <f t="shared" si="11"/>
        <v>Knightly Court</v>
      </c>
      <c r="M743" t="s">
        <v>2630</v>
      </c>
    </row>
    <row r="744" spans="1:13" x14ac:dyDescent="0.3">
      <c r="A744">
        <v>741</v>
      </c>
      <c r="B744" t="s">
        <v>2632</v>
      </c>
      <c r="C744" t="s">
        <v>2633</v>
      </c>
      <c r="D744" t="s">
        <v>2353</v>
      </c>
      <c r="E744" t="s">
        <v>2634</v>
      </c>
      <c r="F744" t="s">
        <v>781</v>
      </c>
      <c r="G744" t="str">
        <f xml:space="preserve"> PROPER(_xlfn.CONCAT(Table1[[#This Row],[Title]]," ",Table1[[#This Row],[First Name]]," ",Table1[[#This Row],[Last Name]]))</f>
        <v>Mr Deandre Choi</v>
      </c>
      <c r="H744" t="str">
        <f>SUBSTITUTE(Table1[[#This Row],[Street]],"Road"," Road")</f>
        <v>Theodore  Road</v>
      </c>
      <c r="I744" t="str">
        <f>SUBSTITUTE(Table1[[#This Row],[Separate combined words ]],"?","")</f>
        <v>Theodore  Road</v>
      </c>
      <c r="J744" t="str">
        <f>TRIM(Table1[[#This Row],[Remove Question Mark "?"]])</f>
        <v>Theodore Road</v>
      </c>
      <c r="K744" t="str">
        <f>PROPER(Table1[[#This Row],[Leading, Multiple &amp; Trailing spaces]])</f>
        <v>Theodore Road</v>
      </c>
      <c r="L744" t="str">
        <f t="shared" si="11"/>
        <v>Theodore Road</v>
      </c>
      <c r="M744" t="s">
        <v>2634</v>
      </c>
    </row>
    <row r="745" spans="1:13" x14ac:dyDescent="0.3">
      <c r="A745">
        <v>742</v>
      </c>
      <c r="B745" t="s">
        <v>2635</v>
      </c>
      <c r="C745" t="s">
        <v>2636</v>
      </c>
      <c r="D745" t="s">
        <v>2353</v>
      </c>
      <c r="E745" t="s">
        <v>2637</v>
      </c>
      <c r="F745" t="s">
        <v>2638</v>
      </c>
      <c r="G745" t="str">
        <f xml:space="preserve"> PROPER(_xlfn.CONCAT(Table1[[#This Row],[Title]]," ",Table1[[#This Row],[First Name]]," ",Table1[[#This Row],[Last Name]]))</f>
        <v>Mr Steve Bower</v>
      </c>
      <c r="H745" t="str">
        <f>SUBSTITUTE(Table1[[#This Row],[Street]],"Road"," Road")</f>
        <v>Grovehall Terrace</v>
      </c>
      <c r="I745" t="str">
        <f>SUBSTITUTE(Table1[[#This Row],[Separate combined words ]],"?","")</f>
        <v>Grovehall Terrace</v>
      </c>
      <c r="J745" t="str">
        <f>TRIM(Table1[[#This Row],[Remove Question Mark "?"]])</f>
        <v>Grovehall Terrace</v>
      </c>
      <c r="K745" t="str">
        <f>PROPER(Table1[[#This Row],[Leading, Multiple &amp; Trailing spaces]])</f>
        <v>Grovehall Terrace</v>
      </c>
      <c r="L745" t="str">
        <f t="shared" si="11"/>
        <v>Grovehall Terrace</v>
      </c>
      <c r="M745" t="s">
        <v>2637</v>
      </c>
    </row>
    <row r="746" spans="1:13" x14ac:dyDescent="0.3">
      <c r="A746">
        <v>743</v>
      </c>
      <c r="B746" t="s">
        <v>2639</v>
      </c>
      <c r="C746" t="s">
        <v>635</v>
      </c>
      <c r="D746" t="s">
        <v>2353</v>
      </c>
      <c r="E746" t="s">
        <v>2640</v>
      </c>
      <c r="F746" t="s">
        <v>1454</v>
      </c>
      <c r="G746" t="str">
        <f xml:space="preserve"> PROPER(_xlfn.CONCAT(Table1[[#This Row],[Title]]," ",Table1[[#This Row],[First Name]]," ",Table1[[#This Row],[Last Name]]))</f>
        <v>Mr Albert Dougherty</v>
      </c>
      <c r="H746" t="str">
        <f>SUBSTITUTE(Table1[[#This Row],[Street]],"Road"," Road")</f>
        <v>Lorrimore Street</v>
      </c>
      <c r="I746" t="str">
        <f>SUBSTITUTE(Table1[[#This Row],[Separate combined words ]],"?","")</f>
        <v>Lorrimore Street</v>
      </c>
      <c r="J746" t="str">
        <f>TRIM(Table1[[#This Row],[Remove Question Mark "?"]])</f>
        <v>Lorrimore Street</v>
      </c>
      <c r="K746" t="str">
        <f>PROPER(Table1[[#This Row],[Leading, Multiple &amp; Trailing spaces]])</f>
        <v>Lorrimore Street</v>
      </c>
      <c r="L746" t="str">
        <f t="shared" si="11"/>
        <v>Lorrimore Street</v>
      </c>
      <c r="M746" t="s">
        <v>2640</v>
      </c>
    </row>
    <row r="747" spans="1:13" x14ac:dyDescent="0.3">
      <c r="A747">
        <v>744</v>
      </c>
      <c r="B747" t="s">
        <v>2641</v>
      </c>
      <c r="C747" t="s">
        <v>2642</v>
      </c>
      <c r="D747" t="s">
        <v>2353</v>
      </c>
      <c r="E747" t="s">
        <v>2643</v>
      </c>
      <c r="F747" t="s">
        <v>2033</v>
      </c>
      <c r="G747" t="str">
        <f xml:space="preserve"> PROPER(_xlfn.CONCAT(Table1[[#This Row],[Title]]," ",Table1[[#This Row],[First Name]]," ",Table1[[#This Row],[Last Name]]))</f>
        <v>Mr Agustin Schafer</v>
      </c>
      <c r="H747" t="str">
        <f>SUBSTITUTE(Table1[[#This Row],[Street]],"Road"," Road")</f>
        <v>Tritton Street</v>
      </c>
      <c r="I747" t="str">
        <f>SUBSTITUTE(Table1[[#This Row],[Separate combined words ]],"?","")</f>
        <v>Tritton Street</v>
      </c>
      <c r="J747" t="str">
        <f>TRIM(Table1[[#This Row],[Remove Question Mark "?"]])</f>
        <v>Tritton Street</v>
      </c>
      <c r="K747" t="str">
        <f>PROPER(Table1[[#This Row],[Leading, Multiple &amp; Trailing spaces]])</f>
        <v>Tritton Street</v>
      </c>
      <c r="L747" t="str">
        <f t="shared" si="11"/>
        <v>Tritton Street</v>
      </c>
      <c r="M747" t="s">
        <v>2643</v>
      </c>
    </row>
    <row r="748" spans="1:13" x14ac:dyDescent="0.3">
      <c r="A748">
        <v>745</v>
      </c>
      <c r="B748" t="s">
        <v>2644</v>
      </c>
      <c r="C748" t="s">
        <v>1029</v>
      </c>
      <c r="D748" t="s">
        <v>2353</v>
      </c>
      <c r="E748" t="s">
        <v>2645</v>
      </c>
      <c r="F748" t="s">
        <v>1750</v>
      </c>
      <c r="G748" t="str">
        <f xml:space="preserve"> PROPER(_xlfn.CONCAT(Table1[[#This Row],[Title]]," ",Table1[[#This Row],[First Name]]," ",Table1[[#This Row],[Last Name]]))</f>
        <v>Mr Rodrick Moseley</v>
      </c>
      <c r="H748" t="str">
        <f>SUBSTITUTE(Table1[[#This Row],[Street]],"Road"," Road")</f>
        <v>Kingsmead Avenue</v>
      </c>
      <c r="I748" t="str">
        <f>SUBSTITUTE(Table1[[#This Row],[Separate combined words ]],"?","")</f>
        <v>Kingsmead Avenue</v>
      </c>
      <c r="J748" t="str">
        <f>TRIM(Table1[[#This Row],[Remove Question Mark "?"]])</f>
        <v>Kingsmead Avenue</v>
      </c>
      <c r="K748" t="str">
        <f>PROPER(Table1[[#This Row],[Leading, Multiple &amp; Trailing spaces]])</f>
        <v>Kingsmead Avenue</v>
      </c>
      <c r="L748" t="str">
        <f t="shared" si="11"/>
        <v>Kingsmead Avenue</v>
      </c>
      <c r="M748" t="s">
        <v>2645</v>
      </c>
    </row>
    <row r="749" spans="1:13" x14ac:dyDescent="0.3">
      <c r="A749">
        <v>746</v>
      </c>
      <c r="B749" t="s">
        <v>2646</v>
      </c>
      <c r="C749" t="s">
        <v>2647</v>
      </c>
      <c r="D749" t="s">
        <v>2353</v>
      </c>
      <c r="E749" t="s">
        <v>2648</v>
      </c>
      <c r="F749" t="s">
        <v>2649</v>
      </c>
      <c r="G749" t="str">
        <f xml:space="preserve"> PROPER(_xlfn.CONCAT(Table1[[#This Row],[Title]]," ",Table1[[#This Row],[First Name]]," ",Table1[[#This Row],[Last Name]]))</f>
        <v>Mr Buster Snider</v>
      </c>
      <c r="H749" t="str">
        <f>SUBSTITUTE(Table1[[#This Row],[Street]],"Road"," Road")</f>
        <v>Autumn Street</v>
      </c>
      <c r="I749" t="str">
        <f>SUBSTITUTE(Table1[[#This Row],[Separate combined words ]],"?","")</f>
        <v>Autumn Street</v>
      </c>
      <c r="J749" t="str">
        <f>TRIM(Table1[[#This Row],[Remove Question Mark "?"]])</f>
        <v>Autumn Street</v>
      </c>
      <c r="K749" t="str">
        <f>PROPER(Table1[[#This Row],[Leading, Multiple &amp; Trailing spaces]])</f>
        <v>Autumn Street</v>
      </c>
      <c r="L749" t="str">
        <f t="shared" si="11"/>
        <v>Autumn Street</v>
      </c>
      <c r="M749" t="s">
        <v>2648</v>
      </c>
    </row>
    <row r="750" spans="1:13" x14ac:dyDescent="0.3">
      <c r="A750">
        <v>747</v>
      </c>
      <c r="B750" t="s">
        <v>2650</v>
      </c>
      <c r="C750" t="s">
        <v>2480</v>
      </c>
      <c r="D750" t="s">
        <v>2353</v>
      </c>
      <c r="E750" t="s">
        <v>2651</v>
      </c>
      <c r="F750" t="s">
        <v>448</v>
      </c>
      <c r="G750" t="str">
        <f xml:space="preserve"> PROPER(_xlfn.CONCAT(Table1[[#This Row],[Title]]," ",Table1[[#This Row],[First Name]]," ",Table1[[#This Row],[Last Name]]))</f>
        <v>Mr Orville Swift</v>
      </c>
      <c r="H750" t="str">
        <f>SUBSTITUTE(Table1[[#This Row],[Street]],"Road"," Road")</f>
        <v>Brompton Terrace</v>
      </c>
      <c r="I750" t="str">
        <f>SUBSTITUTE(Table1[[#This Row],[Separate combined words ]],"?","")</f>
        <v>Brompton Terrace</v>
      </c>
      <c r="J750" t="str">
        <f>TRIM(Table1[[#This Row],[Remove Question Mark "?"]])</f>
        <v>Brompton Terrace</v>
      </c>
      <c r="K750" t="str">
        <f>PROPER(Table1[[#This Row],[Leading, Multiple &amp; Trailing spaces]])</f>
        <v>Brompton Terrace</v>
      </c>
      <c r="L750" t="str">
        <f t="shared" si="11"/>
        <v>Brompton Terrace</v>
      </c>
      <c r="M750" t="s">
        <v>2651</v>
      </c>
    </row>
    <row r="751" spans="1:13" x14ac:dyDescent="0.3">
      <c r="A751">
        <v>748</v>
      </c>
      <c r="B751" t="s">
        <v>2396</v>
      </c>
      <c r="C751" t="s">
        <v>517</v>
      </c>
      <c r="D751" t="s">
        <v>2353</v>
      </c>
      <c r="E751" t="s">
        <v>2652</v>
      </c>
      <c r="F751" t="s">
        <v>2653</v>
      </c>
      <c r="G751" t="str">
        <f xml:space="preserve"> PROPER(_xlfn.CONCAT(Table1[[#This Row],[Title]]," ",Table1[[#This Row],[First Name]]," ",Table1[[#This Row],[Last Name]]))</f>
        <v>Mr Jared Burroughs</v>
      </c>
      <c r="H751" t="str">
        <f>SUBSTITUTE(Table1[[#This Row],[Street]],"Road"," Road")</f>
        <v>West Row</v>
      </c>
      <c r="I751" t="str">
        <f>SUBSTITUTE(Table1[[#This Row],[Separate combined words ]],"?","")</f>
        <v>West Row</v>
      </c>
      <c r="J751" t="str">
        <f>TRIM(Table1[[#This Row],[Remove Question Mark "?"]])</f>
        <v>West Row</v>
      </c>
      <c r="K751" t="str">
        <f>PROPER(Table1[[#This Row],[Leading, Multiple &amp; Trailing spaces]])</f>
        <v>West Row</v>
      </c>
      <c r="L751" t="str">
        <f t="shared" si="11"/>
        <v>West Row</v>
      </c>
      <c r="M751" t="s">
        <v>2652</v>
      </c>
    </row>
    <row r="752" spans="1:13" x14ac:dyDescent="0.3">
      <c r="A752">
        <v>749</v>
      </c>
      <c r="B752" t="s">
        <v>1017</v>
      </c>
      <c r="C752" t="s">
        <v>2363</v>
      </c>
      <c r="D752" t="s">
        <v>2353</v>
      </c>
      <c r="E752" t="s">
        <v>2654</v>
      </c>
      <c r="F752" t="s">
        <v>405</v>
      </c>
      <c r="G752" t="str">
        <f xml:space="preserve"> PROPER(_xlfn.CONCAT(Table1[[#This Row],[Title]]," ",Table1[[#This Row],[First Name]]," ",Table1[[#This Row],[Last Name]]))</f>
        <v>Mr Jefferson Bouchard</v>
      </c>
      <c r="H752" t="str">
        <f>SUBSTITUTE(Table1[[#This Row],[Street]],"Road"," Road")</f>
        <v>Hardens Manorway</v>
      </c>
      <c r="I752" t="str">
        <f>SUBSTITUTE(Table1[[#This Row],[Separate combined words ]],"?","")</f>
        <v>Hardens Manorway</v>
      </c>
      <c r="J752" t="str">
        <f>TRIM(Table1[[#This Row],[Remove Question Mark "?"]])</f>
        <v>Hardens Manorway</v>
      </c>
      <c r="K752" t="str">
        <f>PROPER(Table1[[#This Row],[Leading, Multiple &amp; Trailing spaces]])</f>
        <v>Hardens Manorway</v>
      </c>
      <c r="L752" t="str">
        <f t="shared" si="11"/>
        <v>Hardens Manorway</v>
      </c>
      <c r="M752" t="s">
        <v>2654</v>
      </c>
    </row>
    <row r="753" spans="1:13" x14ac:dyDescent="0.3">
      <c r="A753">
        <v>750</v>
      </c>
      <c r="B753" t="s">
        <v>2486</v>
      </c>
      <c r="C753" t="s">
        <v>2655</v>
      </c>
      <c r="D753" t="s">
        <v>2353</v>
      </c>
      <c r="E753" t="s">
        <v>2656</v>
      </c>
      <c r="F753" t="s">
        <v>117</v>
      </c>
      <c r="G753" t="str">
        <f xml:space="preserve"> PROPER(_xlfn.CONCAT(Table1[[#This Row],[Title]]," ",Table1[[#This Row],[First Name]]," ",Table1[[#This Row],[Last Name]]))</f>
        <v>Mr Dominique Bush</v>
      </c>
      <c r="H753" t="str">
        <f>SUBSTITUTE(Table1[[#This Row],[Street]],"Road"," Road")</f>
        <v>Charles Grinling</v>
      </c>
      <c r="I753" t="str">
        <f>SUBSTITUTE(Table1[[#This Row],[Separate combined words ]],"?","")</f>
        <v>Charles Grinling</v>
      </c>
      <c r="J753" t="str">
        <f>TRIM(Table1[[#This Row],[Remove Question Mark "?"]])</f>
        <v>Charles Grinling</v>
      </c>
      <c r="K753" t="str">
        <f>PROPER(Table1[[#This Row],[Leading, Multiple &amp; Trailing spaces]])</f>
        <v>Charles Grinling</v>
      </c>
      <c r="L753" t="str">
        <f t="shared" si="11"/>
        <v>Charles Grinling</v>
      </c>
      <c r="M753" t="s">
        <v>2656</v>
      </c>
    </row>
    <row r="754" spans="1:13" x14ac:dyDescent="0.3">
      <c r="A754">
        <v>751</v>
      </c>
      <c r="B754" t="s">
        <v>2657</v>
      </c>
      <c r="C754" t="s">
        <v>2500</v>
      </c>
      <c r="D754" t="s">
        <v>2353</v>
      </c>
      <c r="E754" t="s">
        <v>2658</v>
      </c>
      <c r="F754" t="s">
        <v>662</v>
      </c>
      <c r="G754" t="str">
        <f xml:space="preserve"> PROPER(_xlfn.CONCAT(Table1[[#This Row],[Title]]," ",Table1[[#This Row],[First Name]]," ",Table1[[#This Row],[Last Name]]))</f>
        <v>Mr Stacey Shaw</v>
      </c>
      <c r="H754" t="str">
        <f>SUBSTITUTE(Table1[[#This Row],[Street]],"Road"," Road")</f>
        <v>Haarlem  Road</v>
      </c>
      <c r="I754" t="str">
        <f>SUBSTITUTE(Table1[[#This Row],[Separate combined words ]],"?","")</f>
        <v>Haarlem  Road</v>
      </c>
      <c r="J754" t="str">
        <f>TRIM(Table1[[#This Row],[Remove Question Mark "?"]])</f>
        <v>Haarlem Road</v>
      </c>
      <c r="K754" t="str">
        <f>PROPER(Table1[[#This Row],[Leading, Multiple &amp; Trailing spaces]])</f>
        <v>Haarlem Road</v>
      </c>
      <c r="L754" t="str">
        <f t="shared" si="11"/>
        <v>Haarlem Road</v>
      </c>
      <c r="M754" t="s">
        <v>2658</v>
      </c>
    </row>
    <row r="755" spans="1:13" x14ac:dyDescent="0.3">
      <c r="A755">
        <v>752</v>
      </c>
      <c r="B755" t="s">
        <v>2659</v>
      </c>
      <c r="C755" t="s">
        <v>2660</v>
      </c>
      <c r="D755" t="s">
        <v>2353</v>
      </c>
      <c r="E755" t="s">
        <v>2661</v>
      </c>
      <c r="F755" t="s">
        <v>576</v>
      </c>
      <c r="G755" t="str">
        <f xml:space="preserve"> PROPER(_xlfn.CONCAT(Table1[[#This Row],[Title]]," ",Table1[[#This Row],[First Name]]," ",Table1[[#This Row],[Last Name]]))</f>
        <v>Mr Landon Berry</v>
      </c>
      <c r="H755" t="str">
        <f>SUBSTITUTE(Table1[[#This Row],[Street]],"Road"," Road")</f>
        <v>Claybrook Close</v>
      </c>
      <c r="I755" t="str">
        <f>SUBSTITUTE(Table1[[#This Row],[Separate combined words ]],"?","")</f>
        <v>Claybrook Close</v>
      </c>
      <c r="J755" t="str">
        <f>TRIM(Table1[[#This Row],[Remove Question Mark "?"]])</f>
        <v>Claybrook Close</v>
      </c>
      <c r="K755" t="str">
        <f>PROPER(Table1[[#This Row],[Leading, Multiple &amp; Trailing spaces]])</f>
        <v>Claybrook Close</v>
      </c>
      <c r="L755" t="str">
        <f t="shared" si="11"/>
        <v>Claybrook Close</v>
      </c>
      <c r="M755" t="s">
        <v>2661</v>
      </c>
    </row>
    <row r="756" spans="1:13" x14ac:dyDescent="0.3">
      <c r="A756">
        <v>753</v>
      </c>
      <c r="B756" t="s">
        <v>920</v>
      </c>
      <c r="C756" t="s">
        <v>2662</v>
      </c>
      <c r="D756" t="s">
        <v>2353</v>
      </c>
      <c r="E756" t="s">
        <v>2663</v>
      </c>
      <c r="F756" t="s">
        <v>2664</v>
      </c>
      <c r="G756" t="str">
        <f xml:space="preserve"> PROPER(_xlfn.CONCAT(Table1[[#This Row],[Title]]," ",Table1[[#This Row],[First Name]]," ",Table1[[#This Row],[Last Name]]))</f>
        <v>Mr Gerry Blair</v>
      </c>
      <c r="H756" t="str">
        <f>SUBSTITUTE(Table1[[#This Row],[Street]],"Road"," Road")</f>
        <v>Sidney Cottages</v>
      </c>
      <c r="I756" t="str">
        <f>SUBSTITUTE(Table1[[#This Row],[Separate combined words ]],"?","")</f>
        <v>Sidney Cottages</v>
      </c>
      <c r="J756" t="str">
        <f>TRIM(Table1[[#This Row],[Remove Question Mark "?"]])</f>
        <v>Sidney Cottages</v>
      </c>
      <c r="K756" t="str">
        <f>PROPER(Table1[[#This Row],[Leading, Multiple &amp; Trailing spaces]])</f>
        <v>Sidney Cottages</v>
      </c>
      <c r="L756" t="str">
        <f t="shared" si="11"/>
        <v>Sidney Cottages</v>
      </c>
      <c r="M756" t="s">
        <v>2663</v>
      </c>
    </row>
    <row r="757" spans="1:13" x14ac:dyDescent="0.3">
      <c r="A757">
        <v>754</v>
      </c>
      <c r="B757" t="s">
        <v>939</v>
      </c>
      <c r="C757" t="s">
        <v>2665</v>
      </c>
      <c r="D757" t="s">
        <v>2353</v>
      </c>
      <c r="E757" t="s">
        <v>2666</v>
      </c>
      <c r="F757" t="s">
        <v>579</v>
      </c>
      <c r="G757" t="str">
        <f xml:space="preserve"> PROPER(_xlfn.CONCAT(Table1[[#This Row],[Title]]," ",Table1[[#This Row],[First Name]]," ",Table1[[#This Row],[Last Name]]))</f>
        <v>Mr Lynn Doty</v>
      </c>
      <c r="H757" t="str">
        <f>SUBSTITUTE(Table1[[#This Row],[Street]],"Road"," Road")</f>
        <v>Darlington Place</v>
      </c>
      <c r="I757" t="str">
        <f>SUBSTITUTE(Table1[[#This Row],[Separate combined words ]],"?","")</f>
        <v>Darlington Place</v>
      </c>
      <c r="J757" t="str">
        <f>TRIM(Table1[[#This Row],[Remove Question Mark "?"]])</f>
        <v>Darlington Place</v>
      </c>
      <c r="K757" t="str">
        <f>PROPER(Table1[[#This Row],[Leading, Multiple &amp; Trailing spaces]])</f>
        <v>Darlington Place</v>
      </c>
      <c r="L757" t="str">
        <f t="shared" si="11"/>
        <v>Darlington Place</v>
      </c>
      <c r="M757" t="s">
        <v>2666</v>
      </c>
    </row>
    <row r="758" spans="1:13" x14ac:dyDescent="0.3">
      <c r="A758">
        <v>755</v>
      </c>
      <c r="B758" t="s">
        <v>380</v>
      </c>
      <c r="C758" t="s">
        <v>2667</v>
      </c>
      <c r="D758" t="s">
        <v>2353</v>
      </c>
      <c r="E758" t="s">
        <v>2668</v>
      </c>
      <c r="F758" t="s">
        <v>2669</v>
      </c>
      <c r="G758" t="str">
        <f xml:space="preserve"> PROPER(_xlfn.CONCAT(Table1[[#This Row],[Title]]," ",Table1[[#This Row],[First Name]]," ",Table1[[#This Row],[Last Name]]))</f>
        <v>Mr Carson Holcomb</v>
      </c>
      <c r="H758" t="str">
        <f>SUBSTITUTE(Table1[[#This Row],[Street]],"Road"," Road")</f>
        <v>West Drive</v>
      </c>
      <c r="I758" t="str">
        <f>SUBSTITUTE(Table1[[#This Row],[Separate combined words ]],"?","")</f>
        <v>West Drive</v>
      </c>
      <c r="J758" t="str">
        <f>TRIM(Table1[[#This Row],[Remove Question Mark "?"]])</f>
        <v>West Drive</v>
      </c>
      <c r="K758" t="str">
        <f>PROPER(Table1[[#This Row],[Leading, Multiple &amp; Trailing spaces]])</f>
        <v>West Drive</v>
      </c>
      <c r="L758" t="str">
        <f t="shared" si="11"/>
        <v>West Drive</v>
      </c>
      <c r="M758" t="s">
        <v>2668</v>
      </c>
    </row>
    <row r="759" spans="1:13" x14ac:dyDescent="0.3">
      <c r="A759">
        <v>756</v>
      </c>
      <c r="B759" t="s">
        <v>2670</v>
      </c>
      <c r="C759" t="s">
        <v>2671</v>
      </c>
      <c r="D759" t="s">
        <v>2353</v>
      </c>
      <c r="E759" t="s">
        <v>2672</v>
      </c>
      <c r="F759" t="s">
        <v>512</v>
      </c>
      <c r="G759" t="str">
        <f xml:space="preserve"> PROPER(_xlfn.CONCAT(Table1[[#This Row],[Title]]," ",Table1[[#This Row],[First Name]]," ",Table1[[#This Row],[Last Name]]))</f>
        <v>Mr Rhett Melvin</v>
      </c>
      <c r="H759" t="str">
        <f>SUBSTITUTE(Table1[[#This Row],[Street]],"Road"," Road")</f>
        <v>Glongall Terrace</v>
      </c>
      <c r="I759" t="str">
        <f>SUBSTITUTE(Table1[[#This Row],[Separate combined words ]],"?","")</f>
        <v>Glongall Terrace</v>
      </c>
      <c r="J759" t="str">
        <f>TRIM(Table1[[#This Row],[Remove Question Mark "?"]])</f>
        <v>Glongall Terrace</v>
      </c>
      <c r="K759" t="str">
        <f>PROPER(Table1[[#This Row],[Leading, Multiple &amp; Trailing spaces]])</f>
        <v>Glongall Terrace</v>
      </c>
      <c r="L759" t="str">
        <f t="shared" si="11"/>
        <v>Glongall Terrace</v>
      </c>
      <c r="M759" t="s">
        <v>2672</v>
      </c>
    </row>
    <row r="760" spans="1:13" x14ac:dyDescent="0.3">
      <c r="A760">
        <v>757</v>
      </c>
      <c r="B760" t="s">
        <v>1078</v>
      </c>
      <c r="C760" t="s">
        <v>2673</v>
      </c>
      <c r="D760" t="s">
        <v>2353</v>
      </c>
      <c r="E760" t="s">
        <v>432</v>
      </c>
      <c r="F760" t="s">
        <v>1922</v>
      </c>
      <c r="G760" t="str">
        <f xml:space="preserve"> PROPER(_xlfn.CONCAT(Table1[[#This Row],[Title]]," ",Table1[[#This Row],[First Name]]," ",Table1[[#This Row],[Last Name]]))</f>
        <v>Mr Sydney Rock</v>
      </c>
      <c r="H760" t="str">
        <f>SUBSTITUTE(Table1[[#This Row],[Street]],"Road"," Road")</f>
        <v>Westcroft Mews</v>
      </c>
      <c r="I760" t="str">
        <f>SUBSTITUTE(Table1[[#This Row],[Separate combined words ]],"?","")</f>
        <v>Westcroft Mews</v>
      </c>
      <c r="J760" t="str">
        <f>TRIM(Table1[[#This Row],[Remove Question Mark "?"]])</f>
        <v>Westcroft Mews</v>
      </c>
      <c r="K760" t="str">
        <f>PROPER(Table1[[#This Row],[Leading, Multiple &amp; Trailing spaces]])</f>
        <v>Westcroft Mews</v>
      </c>
      <c r="L760" t="str">
        <f t="shared" si="11"/>
        <v>Westcroft Mews</v>
      </c>
      <c r="M760" t="s">
        <v>432</v>
      </c>
    </row>
    <row r="761" spans="1:13" x14ac:dyDescent="0.3">
      <c r="A761">
        <v>758</v>
      </c>
      <c r="B761" t="s">
        <v>2674</v>
      </c>
      <c r="C761" t="s">
        <v>265</v>
      </c>
      <c r="D761" t="s">
        <v>2353</v>
      </c>
      <c r="E761" t="s">
        <v>2675</v>
      </c>
      <c r="F761" t="s">
        <v>510</v>
      </c>
      <c r="G761" t="str">
        <f xml:space="preserve"> PROPER(_xlfn.CONCAT(Table1[[#This Row],[Title]]," ",Table1[[#This Row],[First Name]]," ",Table1[[#This Row],[Last Name]]))</f>
        <v>Mr Lewis Abel</v>
      </c>
      <c r="H761" t="str">
        <f>SUBSTITUTE(Table1[[#This Row],[Street]],"Road"," Road")</f>
        <v>Pancras Street</v>
      </c>
      <c r="I761" t="str">
        <f>SUBSTITUTE(Table1[[#This Row],[Separate combined words ]],"?","")</f>
        <v>Pancras Street</v>
      </c>
      <c r="J761" t="str">
        <f>TRIM(Table1[[#This Row],[Remove Question Mark "?"]])</f>
        <v>Pancras Street</v>
      </c>
      <c r="K761" t="str">
        <f>PROPER(Table1[[#This Row],[Leading, Multiple &amp; Trailing spaces]])</f>
        <v>Pancras Street</v>
      </c>
      <c r="L761" t="str">
        <f t="shared" si="11"/>
        <v>Pancras Street</v>
      </c>
      <c r="M761" t="s">
        <v>2675</v>
      </c>
    </row>
    <row r="762" spans="1:13" x14ac:dyDescent="0.3">
      <c r="A762">
        <v>759</v>
      </c>
      <c r="B762" t="s">
        <v>1340</v>
      </c>
      <c r="C762" t="s">
        <v>1238</v>
      </c>
      <c r="D762" t="s">
        <v>2353</v>
      </c>
      <c r="E762" t="s">
        <v>2676</v>
      </c>
      <c r="F762" t="s">
        <v>2677</v>
      </c>
      <c r="G762" t="str">
        <f xml:space="preserve"> PROPER(_xlfn.CONCAT(Table1[[#This Row],[Title]]," ",Table1[[#This Row],[First Name]]," ",Table1[[#This Row],[Last Name]]))</f>
        <v>Mr Sheldon Langston</v>
      </c>
      <c r="H762" t="str">
        <f>SUBSTITUTE(Table1[[#This Row],[Street]],"Road"," Road")</f>
        <v>Burston Villas</v>
      </c>
      <c r="I762" t="str">
        <f>SUBSTITUTE(Table1[[#This Row],[Separate combined words ]],"?","")</f>
        <v>Burston Villas</v>
      </c>
      <c r="J762" t="str">
        <f>TRIM(Table1[[#This Row],[Remove Question Mark "?"]])</f>
        <v>Burston Villas</v>
      </c>
      <c r="K762" t="str">
        <f>PROPER(Table1[[#This Row],[Leading, Multiple &amp; Trailing spaces]])</f>
        <v>Burston Villas</v>
      </c>
      <c r="L762" t="str">
        <f t="shared" si="11"/>
        <v>Burston Villas</v>
      </c>
      <c r="M762" t="s">
        <v>2676</v>
      </c>
    </row>
    <row r="763" spans="1:13" x14ac:dyDescent="0.3">
      <c r="A763">
        <v>760</v>
      </c>
      <c r="B763" t="s">
        <v>469</v>
      </c>
      <c r="C763" t="s">
        <v>1836</v>
      </c>
      <c r="D763" t="s">
        <v>2353</v>
      </c>
      <c r="E763" t="s">
        <v>2678</v>
      </c>
      <c r="F763" t="s">
        <v>376</v>
      </c>
      <c r="G763" t="str">
        <f xml:space="preserve"> PROPER(_xlfn.CONCAT(Table1[[#This Row],[Title]]," ",Table1[[#This Row],[First Name]]," ",Table1[[#This Row],[Last Name]]))</f>
        <v>Mr Shelton Kirk</v>
      </c>
      <c r="H763" t="str">
        <f>SUBSTITUTE(Table1[[#This Row],[Street]],"Road"," Road")</f>
        <v>Virginia Stone</v>
      </c>
      <c r="I763" t="str">
        <f>SUBSTITUTE(Table1[[#This Row],[Separate combined words ]],"?","")</f>
        <v>Virginia Stone</v>
      </c>
      <c r="J763" t="str">
        <f>TRIM(Table1[[#This Row],[Remove Question Mark "?"]])</f>
        <v>Virginia Stone</v>
      </c>
      <c r="K763" t="str">
        <f>PROPER(Table1[[#This Row],[Leading, Multiple &amp; Trailing spaces]])</f>
        <v>Virginia Stone</v>
      </c>
      <c r="L763" t="str">
        <f t="shared" si="11"/>
        <v>Virginia Stone</v>
      </c>
      <c r="M763" t="s">
        <v>2678</v>
      </c>
    </row>
    <row r="764" spans="1:13" x14ac:dyDescent="0.3">
      <c r="A764">
        <v>761</v>
      </c>
      <c r="B764" t="s">
        <v>2679</v>
      </c>
      <c r="C764" t="s">
        <v>2680</v>
      </c>
      <c r="D764" t="s">
        <v>2353</v>
      </c>
      <c r="E764" t="s">
        <v>2681</v>
      </c>
      <c r="F764" t="s">
        <v>1589</v>
      </c>
      <c r="G764" t="str">
        <f xml:space="preserve"> PROPER(_xlfn.CONCAT(Table1[[#This Row],[Title]]," ",Table1[[#This Row],[First Name]]," ",Table1[[#This Row],[Last Name]]))</f>
        <v>Mr Joan Rossi</v>
      </c>
      <c r="H764" t="str">
        <f>SUBSTITUTE(Table1[[#This Row],[Street]],"Road"," Road")</f>
        <v>Plum Lane</v>
      </c>
      <c r="I764" t="str">
        <f>SUBSTITUTE(Table1[[#This Row],[Separate combined words ]],"?","")</f>
        <v>Plum Lane</v>
      </c>
      <c r="J764" t="str">
        <f>TRIM(Table1[[#This Row],[Remove Question Mark "?"]])</f>
        <v>Plum Lane</v>
      </c>
      <c r="K764" t="str">
        <f>PROPER(Table1[[#This Row],[Leading, Multiple &amp; Trailing spaces]])</f>
        <v>Plum Lane</v>
      </c>
      <c r="L764" t="str">
        <f t="shared" si="11"/>
        <v>Plum Lane</v>
      </c>
      <c r="M764" t="s">
        <v>2681</v>
      </c>
    </row>
    <row r="765" spans="1:13" x14ac:dyDescent="0.3">
      <c r="A765">
        <v>762</v>
      </c>
      <c r="B765" t="s">
        <v>2682</v>
      </c>
      <c r="C765" t="s">
        <v>1185</v>
      </c>
      <c r="D765" t="s">
        <v>2353</v>
      </c>
      <c r="E765" t="s">
        <v>2683</v>
      </c>
      <c r="F765" t="s">
        <v>707</v>
      </c>
      <c r="G765" t="str">
        <f xml:space="preserve"> PROPER(_xlfn.CONCAT(Table1[[#This Row],[Title]]," ",Table1[[#This Row],[First Name]]," ",Table1[[#This Row],[Last Name]]))</f>
        <v>Mr Fermin Henley</v>
      </c>
      <c r="H765" t="str">
        <f>SUBSTITUTE(Table1[[#This Row],[Street]],"Road"," Road")</f>
        <v>Esmond Street</v>
      </c>
      <c r="I765" t="str">
        <f>SUBSTITUTE(Table1[[#This Row],[Separate combined words ]],"?","")</f>
        <v>Esmond Street</v>
      </c>
      <c r="J765" t="str">
        <f>TRIM(Table1[[#This Row],[Remove Question Mark "?"]])</f>
        <v>Esmond Street</v>
      </c>
      <c r="K765" t="str">
        <f>PROPER(Table1[[#This Row],[Leading, Multiple &amp; Trailing spaces]])</f>
        <v>Esmond Street</v>
      </c>
      <c r="L765" t="str">
        <f t="shared" si="11"/>
        <v>Esmond Street</v>
      </c>
      <c r="M765" t="s">
        <v>2683</v>
      </c>
    </row>
    <row r="766" spans="1:13" x14ac:dyDescent="0.3">
      <c r="A766">
        <v>763</v>
      </c>
      <c r="B766" t="s">
        <v>2684</v>
      </c>
      <c r="C766" t="s">
        <v>1105</v>
      </c>
      <c r="D766" t="s">
        <v>2353</v>
      </c>
      <c r="E766" t="s">
        <v>2685</v>
      </c>
      <c r="F766" t="s">
        <v>2686</v>
      </c>
      <c r="G766" t="str">
        <f xml:space="preserve"> PROPER(_xlfn.CONCAT(Table1[[#This Row],[Title]]," ",Table1[[#This Row],[First Name]]," ",Table1[[#This Row],[Last Name]]))</f>
        <v>Mr Kim Lancaster</v>
      </c>
      <c r="H766" t="str">
        <f>SUBSTITUTE(Table1[[#This Row],[Street]],"Road"," Road")</f>
        <v>Osnaburgh Street</v>
      </c>
      <c r="I766" t="str">
        <f>SUBSTITUTE(Table1[[#This Row],[Separate combined words ]],"?","")</f>
        <v>Osnaburgh Street</v>
      </c>
      <c r="J766" t="str">
        <f>TRIM(Table1[[#This Row],[Remove Question Mark "?"]])</f>
        <v>Osnaburgh Street</v>
      </c>
      <c r="K766" t="str">
        <f>PROPER(Table1[[#This Row],[Leading, Multiple &amp; Trailing spaces]])</f>
        <v>Osnaburgh Street</v>
      </c>
      <c r="L766" t="str">
        <f t="shared" si="11"/>
        <v>Osnaburgh Street</v>
      </c>
      <c r="M766" t="s">
        <v>2685</v>
      </c>
    </row>
    <row r="767" spans="1:13" x14ac:dyDescent="0.3">
      <c r="A767">
        <v>764</v>
      </c>
      <c r="B767" t="s">
        <v>2687</v>
      </c>
      <c r="C767" t="s">
        <v>2688</v>
      </c>
      <c r="D767" t="s">
        <v>2353</v>
      </c>
      <c r="E767" t="s">
        <v>2162</v>
      </c>
      <c r="F767" t="s">
        <v>2689</v>
      </c>
      <c r="G767" t="str">
        <f xml:space="preserve"> PROPER(_xlfn.CONCAT(Table1[[#This Row],[Title]]," ",Table1[[#This Row],[First Name]]," ",Table1[[#This Row],[Last Name]]))</f>
        <v>Mr Normand Delarosa</v>
      </c>
      <c r="H767" t="str">
        <f>SUBSTITUTE(Table1[[#This Row],[Street]],"Road"," Road")</f>
        <v>Kirby Grove</v>
      </c>
      <c r="I767" t="str">
        <f>SUBSTITUTE(Table1[[#This Row],[Separate combined words ]],"?","")</f>
        <v>Kirby Grove</v>
      </c>
      <c r="J767" t="str">
        <f>TRIM(Table1[[#This Row],[Remove Question Mark "?"]])</f>
        <v>Kirby Grove</v>
      </c>
      <c r="K767" t="str">
        <f>PROPER(Table1[[#This Row],[Leading, Multiple &amp; Trailing spaces]])</f>
        <v>Kirby Grove</v>
      </c>
      <c r="L767" t="str">
        <f t="shared" si="11"/>
        <v>Kirby Grove</v>
      </c>
      <c r="M767" t="s">
        <v>2162</v>
      </c>
    </row>
    <row r="768" spans="1:13" x14ac:dyDescent="0.3">
      <c r="A768">
        <v>765</v>
      </c>
      <c r="B768" t="s">
        <v>2690</v>
      </c>
      <c r="C768" t="s">
        <v>2691</v>
      </c>
      <c r="D768" t="s">
        <v>2353</v>
      </c>
      <c r="E768" t="s">
        <v>2692</v>
      </c>
      <c r="F768" t="s">
        <v>2693</v>
      </c>
      <c r="G768" t="str">
        <f xml:space="preserve"> PROPER(_xlfn.CONCAT(Table1[[#This Row],[Title]]," ",Table1[[#This Row],[First Name]]," ",Table1[[#This Row],[Last Name]]))</f>
        <v>Mr Willard Rojas</v>
      </c>
      <c r="H768" t="str">
        <f>SUBSTITUTE(Table1[[#This Row],[Street]],"Road"," Road")</f>
        <v>Alcester Crescent</v>
      </c>
      <c r="I768" t="str">
        <f>SUBSTITUTE(Table1[[#This Row],[Separate combined words ]],"?","")</f>
        <v>Alcester Crescent</v>
      </c>
      <c r="J768" t="str">
        <f>TRIM(Table1[[#This Row],[Remove Question Mark "?"]])</f>
        <v>Alcester Crescent</v>
      </c>
      <c r="K768" t="str">
        <f>PROPER(Table1[[#This Row],[Leading, Multiple &amp; Trailing spaces]])</f>
        <v>Alcester Crescent</v>
      </c>
      <c r="L768" t="str">
        <f t="shared" si="11"/>
        <v>Alcester Crescent</v>
      </c>
      <c r="M768" t="s">
        <v>2692</v>
      </c>
    </row>
    <row r="769" spans="1:13" x14ac:dyDescent="0.3">
      <c r="A769">
        <v>766</v>
      </c>
      <c r="B769" t="s">
        <v>1526</v>
      </c>
      <c r="C769" t="s">
        <v>2694</v>
      </c>
      <c r="D769" t="s">
        <v>2353</v>
      </c>
      <c r="E769" t="s">
        <v>2695</v>
      </c>
      <c r="F769" t="s">
        <v>587</v>
      </c>
      <c r="G769" t="str">
        <f xml:space="preserve"> PROPER(_xlfn.CONCAT(Table1[[#This Row],[Title]]," ",Table1[[#This Row],[First Name]]," ",Table1[[#This Row],[Last Name]]))</f>
        <v>Mr Stanley Lozano</v>
      </c>
      <c r="H769" t="str">
        <f>SUBSTITUTE(Table1[[#This Row],[Street]],"Road"," Road")</f>
        <v>Whittington  Road</v>
      </c>
      <c r="I769" t="str">
        <f>SUBSTITUTE(Table1[[#This Row],[Separate combined words ]],"?","")</f>
        <v>Whittington  Road</v>
      </c>
      <c r="J769" t="str">
        <f>TRIM(Table1[[#This Row],[Remove Question Mark "?"]])</f>
        <v>Whittington Road</v>
      </c>
      <c r="K769" t="str">
        <f>PROPER(Table1[[#This Row],[Leading, Multiple &amp; Trailing spaces]])</f>
        <v>Whittington Road</v>
      </c>
      <c r="L769" t="str">
        <f t="shared" si="11"/>
        <v>Whittington Road</v>
      </c>
      <c r="M769" t="s">
        <v>2695</v>
      </c>
    </row>
    <row r="770" spans="1:13" x14ac:dyDescent="0.3">
      <c r="A770">
        <v>767</v>
      </c>
      <c r="B770" t="s">
        <v>2696</v>
      </c>
      <c r="C770" t="s">
        <v>2697</v>
      </c>
      <c r="D770" t="s">
        <v>2353</v>
      </c>
      <c r="E770" t="s">
        <v>1577</v>
      </c>
      <c r="F770" t="s">
        <v>748</v>
      </c>
      <c r="G770" t="str">
        <f xml:space="preserve"> PROPER(_xlfn.CONCAT(Table1[[#This Row],[Title]]," ",Table1[[#This Row],[First Name]]," ",Table1[[#This Row],[Last Name]]))</f>
        <v>Mr Leon Gallegos</v>
      </c>
      <c r="H770" t="str">
        <f>SUBSTITUTE(Table1[[#This Row],[Street]],"Road"," Road")</f>
        <v>Bishopsgate</v>
      </c>
      <c r="I770" t="str">
        <f>SUBSTITUTE(Table1[[#This Row],[Separate combined words ]],"?","")</f>
        <v>Bishopsgate</v>
      </c>
      <c r="J770" t="str">
        <f>TRIM(Table1[[#This Row],[Remove Question Mark "?"]])</f>
        <v>Bishopsgate</v>
      </c>
      <c r="K770" t="str">
        <f>PROPER(Table1[[#This Row],[Leading, Multiple &amp; Trailing spaces]])</f>
        <v>Bishopsgate</v>
      </c>
      <c r="L770" t="str">
        <f t="shared" si="11"/>
        <v>Bishopsgate</v>
      </c>
      <c r="M770" t="s">
        <v>1577</v>
      </c>
    </row>
    <row r="771" spans="1:13" x14ac:dyDescent="0.3">
      <c r="A771">
        <v>768</v>
      </c>
      <c r="B771" t="s">
        <v>2698</v>
      </c>
      <c r="C771" t="s">
        <v>2699</v>
      </c>
      <c r="D771" t="s">
        <v>2353</v>
      </c>
      <c r="E771" t="s">
        <v>2700</v>
      </c>
      <c r="F771" t="s">
        <v>2701</v>
      </c>
      <c r="G771" t="str">
        <f xml:space="preserve"> PROPER(_xlfn.CONCAT(Table1[[#This Row],[Title]]," ",Table1[[#This Row],[First Name]]," ",Table1[[#This Row],[Last Name]]))</f>
        <v>Mr Lyndon Chappell</v>
      </c>
      <c r="H771" t="str">
        <f>SUBSTITUTE(Table1[[#This Row],[Street]],"Road"," Road")</f>
        <v>Holmshaw Close</v>
      </c>
      <c r="I771" t="str">
        <f>SUBSTITUTE(Table1[[#This Row],[Separate combined words ]],"?","")</f>
        <v>Holmshaw Close</v>
      </c>
      <c r="J771" t="str">
        <f>TRIM(Table1[[#This Row],[Remove Question Mark "?"]])</f>
        <v>Holmshaw Close</v>
      </c>
      <c r="K771" t="str">
        <f>PROPER(Table1[[#This Row],[Leading, Multiple &amp; Trailing spaces]])</f>
        <v>Holmshaw Close</v>
      </c>
      <c r="L771" t="str">
        <f t="shared" si="11"/>
        <v>Holmshaw Close</v>
      </c>
      <c r="M771" t="s">
        <v>2700</v>
      </c>
    </row>
    <row r="772" spans="1:13" x14ac:dyDescent="0.3">
      <c r="A772">
        <v>769</v>
      </c>
      <c r="B772" t="s">
        <v>2702</v>
      </c>
      <c r="C772" t="s">
        <v>265</v>
      </c>
      <c r="D772" t="s">
        <v>2353</v>
      </c>
      <c r="E772" t="s">
        <v>2703</v>
      </c>
      <c r="F772" t="s">
        <v>397</v>
      </c>
      <c r="G772" t="str">
        <f xml:space="preserve"> PROPER(_xlfn.CONCAT(Table1[[#This Row],[Title]]," ",Table1[[#This Row],[First Name]]," ",Table1[[#This Row],[Last Name]]))</f>
        <v>Mr Linwood Abel</v>
      </c>
      <c r="H772" t="str">
        <f>SUBSTITUTE(Table1[[#This Row],[Street]],"Road"," Road")</f>
        <v>Fryatt  Road</v>
      </c>
      <c r="I772" t="str">
        <f>SUBSTITUTE(Table1[[#This Row],[Separate combined words ]],"?","")</f>
        <v>Fryatt  Road</v>
      </c>
      <c r="J772" t="str">
        <f>TRIM(Table1[[#This Row],[Remove Question Mark "?"]])</f>
        <v>Fryatt Road</v>
      </c>
      <c r="K772" t="str">
        <f>PROPER(Table1[[#This Row],[Leading, Multiple &amp; Trailing spaces]])</f>
        <v>Fryatt Road</v>
      </c>
      <c r="L772" t="str">
        <f t="shared" si="11"/>
        <v>Fryatt Road</v>
      </c>
      <c r="M772" t="s">
        <v>2703</v>
      </c>
    </row>
    <row r="773" spans="1:13" x14ac:dyDescent="0.3">
      <c r="A773">
        <v>770</v>
      </c>
      <c r="B773" t="s">
        <v>2704</v>
      </c>
      <c r="C773" t="s">
        <v>2705</v>
      </c>
      <c r="D773" t="s">
        <v>2353</v>
      </c>
      <c r="E773" t="s">
        <v>2706</v>
      </c>
      <c r="F773" t="s">
        <v>673</v>
      </c>
      <c r="G773" t="str">
        <f xml:space="preserve"> PROPER(_xlfn.CONCAT(Table1[[#This Row],[Title]]," ",Table1[[#This Row],[First Name]]," ",Table1[[#This Row],[Last Name]]))</f>
        <v>Mr Gonzalo Ransom</v>
      </c>
      <c r="H773" t="str">
        <f>SUBSTITUTE(Table1[[#This Row],[Street]],"Road"," Road")</f>
        <v>Tollington Place</v>
      </c>
      <c r="I773" t="str">
        <f>SUBSTITUTE(Table1[[#This Row],[Separate combined words ]],"?","")</f>
        <v>Tollington Place</v>
      </c>
      <c r="J773" t="str">
        <f>TRIM(Table1[[#This Row],[Remove Question Mark "?"]])</f>
        <v>Tollington Place</v>
      </c>
      <c r="K773" t="str">
        <f>PROPER(Table1[[#This Row],[Leading, Multiple &amp; Trailing spaces]])</f>
        <v>Tollington Place</v>
      </c>
      <c r="L773" t="str">
        <f t="shared" ref="L773:L836" si="12">TRIM(PROPER(SUBSTITUTE(SUBSTITUTE((E773),"?",""),"Road"," Road")))</f>
        <v>Tollington Place</v>
      </c>
      <c r="M773" t="s">
        <v>2706</v>
      </c>
    </row>
    <row r="774" spans="1:13" x14ac:dyDescent="0.3">
      <c r="A774">
        <v>771</v>
      </c>
      <c r="B774" t="s">
        <v>2707</v>
      </c>
      <c r="C774" t="s">
        <v>984</v>
      </c>
      <c r="D774" t="s">
        <v>2353</v>
      </c>
      <c r="E774" t="s">
        <v>2708</v>
      </c>
      <c r="F774" t="s">
        <v>2709</v>
      </c>
      <c r="G774" t="str">
        <f xml:space="preserve"> PROPER(_xlfn.CONCAT(Table1[[#This Row],[Title]]," ",Table1[[#This Row],[First Name]]," ",Table1[[#This Row],[Last Name]]))</f>
        <v>Mr Curt Field</v>
      </c>
      <c r="H774" t="str">
        <f>SUBSTITUTE(Table1[[#This Row],[Street]],"Road"," Road")</f>
        <v>Cromwell  Road</v>
      </c>
      <c r="I774" t="str">
        <f>SUBSTITUTE(Table1[[#This Row],[Separate combined words ]],"?","")</f>
        <v>Cromwell  Road</v>
      </c>
      <c r="J774" t="str">
        <f>TRIM(Table1[[#This Row],[Remove Question Mark "?"]])</f>
        <v>Cromwell Road</v>
      </c>
      <c r="K774" t="str">
        <f>PROPER(Table1[[#This Row],[Leading, Multiple &amp; Trailing spaces]])</f>
        <v>Cromwell Road</v>
      </c>
      <c r="L774" t="str">
        <f t="shared" si="12"/>
        <v>Cromwell Road</v>
      </c>
      <c r="M774" t="s">
        <v>2708</v>
      </c>
    </row>
    <row r="775" spans="1:13" x14ac:dyDescent="0.3">
      <c r="A775">
        <v>772</v>
      </c>
      <c r="B775" t="s">
        <v>2710</v>
      </c>
      <c r="C775" t="s">
        <v>2393</v>
      </c>
      <c r="D775" t="s">
        <v>2353</v>
      </c>
      <c r="E775" t="s">
        <v>2711</v>
      </c>
      <c r="F775" t="s">
        <v>2712</v>
      </c>
      <c r="G775" t="str">
        <f xml:space="preserve"> PROPER(_xlfn.CONCAT(Table1[[#This Row],[Title]]," ",Table1[[#This Row],[First Name]]," ",Table1[[#This Row],[Last Name]]))</f>
        <v>Mr Luciano Shultz</v>
      </c>
      <c r="H775" t="str">
        <f>SUBSTITUTE(Table1[[#This Row],[Street]],"Road"," Road")</f>
        <v>Ferriby Close</v>
      </c>
      <c r="I775" t="str">
        <f>SUBSTITUTE(Table1[[#This Row],[Separate combined words ]],"?","")</f>
        <v>Ferriby Close</v>
      </c>
      <c r="J775" t="str">
        <f>TRIM(Table1[[#This Row],[Remove Question Mark "?"]])</f>
        <v>Ferriby Close</v>
      </c>
      <c r="K775" t="str">
        <f>PROPER(Table1[[#This Row],[Leading, Multiple &amp; Trailing spaces]])</f>
        <v>Ferriby Close</v>
      </c>
      <c r="L775" t="str">
        <f t="shared" si="12"/>
        <v>Ferriby Close</v>
      </c>
      <c r="M775" t="s">
        <v>2711</v>
      </c>
    </row>
    <row r="776" spans="1:13" x14ac:dyDescent="0.3">
      <c r="A776">
        <v>773</v>
      </c>
      <c r="B776" t="s">
        <v>2713</v>
      </c>
      <c r="C776" t="s">
        <v>2714</v>
      </c>
      <c r="D776" t="s">
        <v>2353</v>
      </c>
      <c r="E776" t="s">
        <v>2715</v>
      </c>
      <c r="F776" t="s">
        <v>2177</v>
      </c>
      <c r="G776" t="str">
        <f xml:space="preserve"> PROPER(_xlfn.CONCAT(Table1[[#This Row],[Title]]," ",Table1[[#This Row],[First Name]]," ",Table1[[#This Row],[Last Name]]))</f>
        <v>Mr Tommie Buck</v>
      </c>
      <c r="H776" t="str">
        <f>SUBSTITUTE(Table1[[#This Row],[Street]],"Road"," Road")</f>
        <v>Fitchet's Court</v>
      </c>
      <c r="I776" t="str">
        <f>SUBSTITUTE(Table1[[#This Row],[Separate combined words ]],"?","")</f>
        <v>Fitchet's Court</v>
      </c>
      <c r="J776" t="str">
        <f>TRIM(Table1[[#This Row],[Remove Question Mark "?"]])</f>
        <v>Fitchet's Court</v>
      </c>
      <c r="K776" t="str">
        <f>PROPER(Table1[[#This Row],[Leading, Multiple &amp; Trailing spaces]])</f>
        <v>Fitchet'S Court</v>
      </c>
      <c r="L776" t="str">
        <f t="shared" si="12"/>
        <v>Fitchet'S Court</v>
      </c>
      <c r="M776" t="s">
        <v>3438</v>
      </c>
    </row>
    <row r="777" spans="1:13" x14ac:dyDescent="0.3">
      <c r="A777">
        <v>774</v>
      </c>
      <c r="B777" t="s">
        <v>2449</v>
      </c>
      <c r="C777" t="s">
        <v>2716</v>
      </c>
      <c r="D777" t="s">
        <v>2353</v>
      </c>
      <c r="E777" t="s">
        <v>2717</v>
      </c>
      <c r="F777" t="s">
        <v>2718</v>
      </c>
      <c r="G777" t="str">
        <f xml:space="preserve"> PROPER(_xlfn.CONCAT(Table1[[#This Row],[Title]]," ",Table1[[#This Row],[First Name]]," ",Table1[[#This Row],[Last Name]]))</f>
        <v>Mr Prince Ervin</v>
      </c>
      <c r="H777" t="str">
        <f>SUBSTITUTE(Table1[[#This Row],[Street]],"Road"," Road")</f>
        <v>Eswyn  Road</v>
      </c>
      <c r="I777" t="str">
        <f>SUBSTITUTE(Table1[[#This Row],[Separate combined words ]],"?","")</f>
        <v>Eswyn  Road</v>
      </c>
      <c r="J777" t="str">
        <f>TRIM(Table1[[#This Row],[Remove Question Mark "?"]])</f>
        <v>Eswyn Road</v>
      </c>
      <c r="K777" t="str">
        <f>PROPER(Table1[[#This Row],[Leading, Multiple &amp; Trailing spaces]])</f>
        <v>Eswyn Road</v>
      </c>
      <c r="L777" t="str">
        <f t="shared" si="12"/>
        <v>Eswyn Road</v>
      </c>
      <c r="M777" t="s">
        <v>2717</v>
      </c>
    </row>
    <row r="778" spans="1:13" x14ac:dyDescent="0.3">
      <c r="A778">
        <v>775</v>
      </c>
      <c r="B778" t="s">
        <v>2719</v>
      </c>
      <c r="C778" t="s">
        <v>2720</v>
      </c>
      <c r="D778" t="s">
        <v>2353</v>
      </c>
      <c r="E778" t="s">
        <v>2721</v>
      </c>
      <c r="F778" t="s">
        <v>2722</v>
      </c>
      <c r="G778" t="str">
        <f xml:space="preserve"> PROPER(_xlfn.CONCAT(Table1[[#This Row],[Title]]," ",Table1[[#This Row],[First Name]]," ",Table1[[#This Row],[Last Name]]))</f>
        <v>Mr Monty Mccormick</v>
      </c>
      <c r="H778" t="str">
        <f>SUBSTITUTE(Table1[[#This Row],[Street]],"Road"," Road")</f>
        <v>Southgate Business</v>
      </c>
      <c r="I778" t="str">
        <f>SUBSTITUTE(Table1[[#This Row],[Separate combined words ]],"?","")</f>
        <v>Southgate Business</v>
      </c>
      <c r="J778" t="str">
        <f>TRIM(Table1[[#This Row],[Remove Question Mark "?"]])</f>
        <v>Southgate Business</v>
      </c>
      <c r="K778" t="str">
        <f>PROPER(Table1[[#This Row],[Leading, Multiple &amp; Trailing spaces]])</f>
        <v>Southgate Business</v>
      </c>
      <c r="L778" t="str">
        <f t="shared" si="12"/>
        <v>Southgate Business</v>
      </c>
      <c r="M778" t="s">
        <v>2721</v>
      </c>
    </row>
    <row r="779" spans="1:13" x14ac:dyDescent="0.3">
      <c r="A779">
        <v>776</v>
      </c>
      <c r="B779" t="s">
        <v>845</v>
      </c>
      <c r="C779" t="s">
        <v>115</v>
      </c>
      <c r="D779" t="s">
        <v>2353</v>
      </c>
      <c r="E779" t="s">
        <v>2723</v>
      </c>
      <c r="F779" t="s">
        <v>199</v>
      </c>
      <c r="G779" t="str">
        <f xml:space="preserve"> PROPER(_xlfn.CONCAT(Table1[[#This Row],[Title]]," ",Table1[[#This Row],[First Name]]," ",Table1[[#This Row],[Last Name]]))</f>
        <v>Mr Cole Simons</v>
      </c>
      <c r="H779" t="str">
        <f>SUBSTITUTE(Table1[[#This Row],[Street]],"Road"," Road")</f>
        <v>Grant Close</v>
      </c>
      <c r="I779" t="str">
        <f>SUBSTITUTE(Table1[[#This Row],[Separate combined words ]],"?","")</f>
        <v>Grant Close</v>
      </c>
      <c r="J779" t="str">
        <f>TRIM(Table1[[#This Row],[Remove Question Mark "?"]])</f>
        <v>Grant Close</v>
      </c>
      <c r="K779" t="str">
        <f>PROPER(Table1[[#This Row],[Leading, Multiple &amp; Trailing spaces]])</f>
        <v>Grant Close</v>
      </c>
      <c r="L779" t="str">
        <f t="shared" si="12"/>
        <v>Grant Close</v>
      </c>
      <c r="M779" t="s">
        <v>2723</v>
      </c>
    </row>
    <row r="780" spans="1:13" x14ac:dyDescent="0.3">
      <c r="A780">
        <v>777</v>
      </c>
      <c r="B780" t="s">
        <v>2724</v>
      </c>
      <c r="C780" t="s">
        <v>2725</v>
      </c>
      <c r="D780" t="s">
        <v>2353</v>
      </c>
      <c r="E780" t="s">
        <v>2726</v>
      </c>
      <c r="F780" t="s">
        <v>2727</v>
      </c>
      <c r="G780" t="str">
        <f xml:space="preserve"> PROPER(_xlfn.CONCAT(Table1[[#This Row],[Title]]," ",Table1[[#This Row],[First Name]]," ",Table1[[#This Row],[Last Name]]))</f>
        <v>Mr Jay Meeks</v>
      </c>
      <c r="H780" t="str">
        <f>SUBSTITUTE(Table1[[#This Row],[Street]],"Road"," Road")</f>
        <v>Brodlove Lane</v>
      </c>
      <c r="I780" t="str">
        <f>SUBSTITUTE(Table1[[#This Row],[Separate combined words ]],"?","")</f>
        <v>Brodlove Lane</v>
      </c>
      <c r="J780" t="str">
        <f>TRIM(Table1[[#This Row],[Remove Question Mark "?"]])</f>
        <v>Brodlove Lane</v>
      </c>
      <c r="K780" t="str">
        <f>PROPER(Table1[[#This Row],[Leading, Multiple &amp; Trailing spaces]])</f>
        <v>Brodlove Lane</v>
      </c>
      <c r="L780" t="str">
        <f t="shared" si="12"/>
        <v>Brodlove Lane</v>
      </c>
      <c r="M780" t="s">
        <v>2726</v>
      </c>
    </row>
    <row r="781" spans="1:13" x14ac:dyDescent="0.3">
      <c r="A781">
        <v>778</v>
      </c>
      <c r="B781" t="s">
        <v>2728</v>
      </c>
      <c r="C781" t="s">
        <v>1808</v>
      </c>
      <c r="D781" t="s">
        <v>2353</v>
      </c>
      <c r="E781" t="s">
        <v>2729</v>
      </c>
      <c r="F781" t="s">
        <v>2592</v>
      </c>
      <c r="G781" t="str">
        <f xml:space="preserve"> PROPER(_xlfn.CONCAT(Table1[[#This Row],[Title]]," ",Table1[[#This Row],[First Name]]," ",Table1[[#This Row],[Last Name]]))</f>
        <v>Mr Francesco Potts</v>
      </c>
      <c r="H781" t="str">
        <f>SUBSTITUTE(Table1[[#This Row],[Street]],"Road"," Road")</f>
        <v>Trust Walk</v>
      </c>
      <c r="I781" t="str">
        <f>SUBSTITUTE(Table1[[#This Row],[Separate combined words ]],"?","")</f>
        <v>Trust Walk</v>
      </c>
      <c r="J781" t="str">
        <f>TRIM(Table1[[#This Row],[Remove Question Mark "?"]])</f>
        <v>Trust Walk</v>
      </c>
      <c r="K781" t="str">
        <f>PROPER(Table1[[#This Row],[Leading, Multiple &amp; Trailing spaces]])</f>
        <v>Trust Walk</v>
      </c>
      <c r="L781" t="str">
        <f t="shared" si="12"/>
        <v>Trust Walk</v>
      </c>
      <c r="M781" t="s">
        <v>2729</v>
      </c>
    </row>
    <row r="782" spans="1:13" x14ac:dyDescent="0.3">
      <c r="A782">
        <v>779</v>
      </c>
      <c r="B782" t="s">
        <v>2730</v>
      </c>
      <c r="C782" t="s">
        <v>2731</v>
      </c>
      <c r="D782" t="s">
        <v>2353</v>
      </c>
      <c r="E782" t="s">
        <v>2732</v>
      </c>
      <c r="F782" t="s">
        <v>502</v>
      </c>
      <c r="G782" t="str">
        <f xml:space="preserve"> PROPER(_xlfn.CONCAT(Table1[[#This Row],[Title]]," ",Table1[[#This Row],[First Name]]," ",Table1[[#This Row],[Last Name]]))</f>
        <v>Mr Aaron Clements</v>
      </c>
      <c r="H782" t="str">
        <f>SUBSTITUTE(Table1[[#This Row],[Street]],"Road"," Road")</f>
        <v>Streathbourne  Road</v>
      </c>
      <c r="I782" t="str">
        <f>SUBSTITUTE(Table1[[#This Row],[Separate combined words ]],"?","")</f>
        <v>Streathbourne  Road</v>
      </c>
      <c r="J782" t="str">
        <f>TRIM(Table1[[#This Row],[Remove Question Mark "?"]])</f>
        <v>Streathbourne Road</v>
      </c>
      <c r="K782" t="str">
        <f>PROPER(Table1[[#This Row],[Leading, Multiple &amp; Trailing spaces]])</f>
        <v>Streathbourne Road</v>
      </c>
      <c r="L782" t="str">
        <f t="shared" si="12"/>
        <v>Streathbourne Road</v>
      </c>
      <c r="M782" t="s">
        <v>2732</v>
      </c>
    </row>
    <row r="783" spans="1:13" x14ac:dyDescent="0.3">
      <c r="A783">
        <v>780</v>
      </c>
      <c r="B783" t="s">
        <v>2381</v>
      </c>
      <c r="C783" t="s">
        <v>1561</v>
      </c>
      <c r="D783" t="s">
        <v>2353</v>
      </c>
      <c r="E783" t="s">
        <v>495</v>
      </c>
      <c r="F783" t="s">
        <v>2733</v>
      </c>
      <c r="G783" t="str">
        <f xml:space="preserve"> PROPER(_xlfn.CONCAT(Table1[[#This Row],[Title]]," ",Table1[[#This Row],[First Name]]," ",Table1[[#This Row],[Last Name]]))</f>
        <v>Mr Chas Nguyen</v>
      </c>
      <c r="H783" t="str">
        <f>SUBSTITUTE(Table1[[#This Row],[Street]],"Road"," Road")</f>
        <v>Berrymans Lane</v>
      </c>
      <c r="I783" t="str">
        <f>SUBSTITUTE(Table1[[#This Row],[Separate combined words ]],"?","")</f>
        <v>Berrymans Lane</v>
      </c>
      <c r="J783" t="str">
        <f>TRIM(Table1[[#This Row],[Remove Question Mark "?"]])</f>
        <v>Berrymans Lane</v>
      </c>
      <c r="K783" t="str">
        <f>PROPER(Table1[[#This Row],[Leading, Multiple &amp; Trailing spaces]])</f>
        <v>Berrymans Lane</v>
      </c>
      <c r="L783" t="str">
        <f t="shared" si="12"/>
        <v>Berrymans Lane</v>
      </c>
      <c r="M783" t="s">
        <v>495</v>
      </c>
    </row>
    <row r="784" spans="1:13" x14ac:dyDescent="0.3">
      <c r="A784">
        <v>781</v>
      </c>
      <c r="B784" t="s">
        <v>2187</v>
      </c>
      <c r="C784" t="s">
        <v>2734</v>
      </c>
      <c r="D784" t="s">
        <v>2353</v>
      </c>
      <c r="E784" t="s">
        <v>2735</v>
      </c>
      <c r="F784" t="s">
        <v>2736</v>
      </c>
      <c r="G784" t="str">
        <f xml:space="preserve"> PROPER(_xlfn.CONCAT(Table1[[#This Row],[Title]]," ",Table1[[#This Row],[First Name]]," ",Table1[[#This Row],[Last Name]]))</f>
        <v>Mr Angelo Dailey</v>
      </c>
      <c r="H784" t="str">
        <f>SUBSTITUTE(Table1[[#This Row],[Street]],"Road"," Road")</f>
        <v>Westfield Way</v>
      </c>
      <c r="I784" t="str">
        <f>SUBSTITUTE(Table1[[#This Row],[Separate combined words ]],"?","")</f>
        <v>Westfield Way</v>
      </c>
      <c r="J784" t="str">
        <f>TRIM(Table1[[#This Row],[Remove Question Mark "?"]])</f>
        <v>Westfield Way</v>
      </c>
      <c r="K784" t="str">
        <f>PROPER(Table1[[#This Row],[Leading, Multiple &amp; Trailing spaces]])</f>
        <v>Westfield Way</v>
      </c>
      <c r="L784" t="str">
        <f t="shared" si="12"/>
        <v>Westfield Way</v>
      </c>
      <c r="M784" t="s">
        <v>2735</v>
      </c>
    </row>
    <row r="785" spans="1:13" x14ac:dyDescent="0.3">
      <c r="A785">
        <v>782</v>
      </c>
      <c r="B785" t="s">
        <v>2503</v>
      </c>
      <c r="C785" t="s">
        <v>173</v>
      </c>
      <c r="D785" t="s">
        <v>2353</v>
      </c>
      <c r="E785" t="s">
        <v>2737</v>
      </c>
      <c r="F785" t="s">
        <v>2738</v>
      </c>
      <c r="G785" t="str">
        <f xml:space="preserve"> PROPER(_xlfn.CONCAT(Table1[[#This Row],[Title]]," ",Table1[[#This Row],[First Name]]," ",Table1[[#This Row],[Last Name]]))</f>
        <v>Mr Bradford Cullen</v>
      </c>
      <c r="H785" t="str">
        <f>SUBSTITUTE(Table1[[#This Row],[Street]],"Road"," Road")</f>
        <v>Dryburgh Gardens</v>
      </c>
      <c r="I785" t="str">
        <f>SUBSTITUTE(Table1[[#This Row],[Separate combined words ]],"?","")</f>
        <v>Dryburgh Gardens</v>
      </c>
      <c r="J785" t="str">
        <f>TRIM(Table1[[#This Row],[Remove Question Mark "?"]])</f>
        <v>Dryburgh Gardens</v>
      </c>
      <c r="K785" t="str">
        <f>PROPER(Table1[[#This Row],[Leading, Multiple &amp; Trailing spaces]])</f>
        <v>Dryburgh Gardens</v>
      </c>
      <c r="L785" t="str">
        <f t="shared" si="12"/>
        <v>Dryburgh Gardens</v>
      </c>
      <c r="M785" t="s">
        <v>2737</v>
      </c>
    </row>
    <row r="786" spans="1:13" x14ac:dyDescent="0.3">
      <c r="A786">
        <v>783</v>
      </c>
      <c r="B786" t="s">
        <v>2739</v>
      </c>
      <c r="C786" t="s">
        <v>2740</v>
      </c>
      <c r="D786" t="s">
        <v>2353</v>
      </c>
      <c r="E786" t="s">
        <v>2741</v>
      </c>
      <c r="F786" t="s">
        <v>459</v>
      </c>
      <c r="G786" t="str">
        <f xml:space="preserve"> PROPER(_xlfn.CONCAT(Table1[[#This Row],[Title]]," ",Table1[[#This Row],[First Name]]," ",Table1[[#This Row],[Last Name]]))</f>
        <v>Mr Erin Mayes</v>
      </c>
      <c r="H786" t="str">
        <f>SUBSTITUTE(Table1[[#This Row],[Street]],"Road"," Road")</f>
        <v>Cedars</v>
      </c>
      <c r="I786" t="str">
        <f>SUBSTITUTE(Table1[[#This Row],[Separate combined words ]],"?","")</f>
        <v>Cedars</v>
      </c>
      <c r="J786" t="str">
        <f>TRIM(Table1[[#This Row],[Remove Question Mark "?"]])</f>
        <v>Cedars</v>
      </c>
      <c r="K786" t="str">
        <f>PROPER(Table1[[#This Row],[Leading, Multiple &amp; Trailing spaces]])</f>
        <v>Cedars</v>
      </c>
      <c r="L786" t="str">
        <f t="shared" si="12"/>
        <v>Cedars</v>
      </c>
      <c r="M786" t="s">
        <v>2741</v>
      </c>
    </row>
    <row r="787" spans="1:13" x14ac:dyDescent="0.3">
      <c r="A787">
        <v>784</v>
      </c>
      <c r="B787" t="s">
        <v>2713</v>
      </c>
      <c r="C787" t="s">
        <v>431</v>
      </c>
      <c r="D787" t="s">
        <v>2353</v>
      </c>
      <c r="E787" t="s">
        <v>2742</v>
      </c>
      <c r="F787" t="s">
        <v>903</v>
      </c>
      <c r="G787" t="str">
        <f xml:space="preserve"> PROPER(_xlfn.CONCAT(Table1[[#This Row],[Title]]," ",Table1[[#This Row],[First Name]]," ",Table1[[#This Row],[Last Name]]))</f>
        <v>Mr Tommie Jaramillo</v>
      </c>
      <c r="H787" t="str">
        <f>SUBSTITUTE(Table1[[#This Row],[Street]],"Road"," Road")</f>
        <v>Lytcott Grove</v>
      </c>
      <c r="I787" t="str">
        <f>SUBSTITUTE(Table1[[#This Row],[Separate combined words ]],"?","")</f>
        <v>Lytcott Grove</v>
      </c>
      <c r="J787" t="str">
        <f>TRIM(Table1[[#This Row],[Remove Question Mark "?"]])</f>
        <v>Lytcott Grove</v>
      </c>
      <c r="K787" t="str">
        <f>PROPER(Table1[[#This Row],[Leading, Multiple &amp; Trailing spaces]])</f>
        <v>Lytcott Grove</v>
      </c>
      <c r="L787" t="str">
        <f t="shared" si="12"/>
        <v>Lytcott Grove</v>
      </c>
      <c r="M787" t="s">
        <v>2742</v>
      </c>
    </row>
    <row r="788" spans="1:13" x14ac:dyDescent="0.3">
      <c r="A788">
        <v>785</v>
      </c>
      <c r="B788" t="s">
        <v>2743</v>
      </c>
      <c r="C788" t="s">
        <v>2660</v>
      </c>
      <c r="D788" t="s">
        <v>2353</v>
      </c>
      <c r="E788" t="s">
        <v>2744</v>
      </c>
      <c r="F788" t="s">
        <v>1148</v>
      </c>
      <c r="G788" t="str">
        <f xml:space="preserve"> PROPER(_xlfn.CONCAT(Table1[[#This Row],[Title]]," ",Table1[[#This Row],[First Name]]," ",Table1[[#This Row],[Last Name]]))</f>
        <v>Mr Samual Berry</v>
      </c>
      <c r="H788" t="str">
        <f>SUBSTITUTE(Table1[[#This Row],[Street]],"Road"," Road")</f>
        <v>Northumberland Terrace</v>
      </c>
      <c r="I788" t="str">
        <f>SUBSTITUTE(Table1[[#This Row],[Separate combined words ]],"?","")</f>
        <v>Northumberland Terrace</v>
      </c>
      <c r="J788" t="str">
        <f>TRIM(Table1[[#This Row],[Remove Question Mark "?"]])</f>
        <v>Northumberland Terrace</v>
      </c>
      <c r="K788" t="str">
        <f>PROPER(Table1[[#This Row],[Leading, Multiple &amp; Trailing spaces]])</f>
        <v>Northumberland Terrace</v>
      </c>
      <c r="L788" t="str">
        <f t="shared" si="12"/>
        <v>Northumberland Terrace</v>
      </c>
      <c r="M788" t="s">
        <v>2744</v>
      </c>
    </row>
    <row r="789" spans="1:13" x14ac:dyDescent="0.3">
      <c r="A789">
        <v>786</v>
      </c>
      <c r="B789" t="s">
        <v>2745</v>
      </c>
      <c r="C789" t="s">
        <v>2746</v>
      </c>
      <c r="D789" t="s">
        <v>2353</v>
      </c>
      <c r="E789" t="s">
        <v>2747</v>
      </c>
      <c r="F789" t="s">
        <v>2748</v>
      </c>
      <c r="G789" t="str">
        <f xml:space="preserve"> PROPER(_xlfn.CONCAT(Table1[[#This Row],[Title]]," ",Table1[[#This Row],[First Name]]," ",Table1[[#This Row],[Last Name]]))</f>
        <v>Mr Pete Hall</v>
      </c>
      <c r="H789" t="str">
        <f>SUBSTITUTE(Table1[[#This Row],[Street]],"Road"," Road")</f>
        <v>Lancer Square</v>
      </c>
      <c r="I789" t="str">
        <f>SUBSTITUTE(Table1[[#This Row],[Separate combined words ]],"?","")</f>
        <v>Lancer Square</v>
      </c>
      <c r="J789" t="str">
        <f>TRIM(Table1[[#This Row],[Remove Question Mark "?"]])</f>
        <v>Lancer Square</v>
      </c>
      <c r="K789" t="str">
        <f>PROPER(Table1[[#This Row],[Leading, Multiple &amp; Trailing spaces]])</f>
        <v>Lancer Square</v>
      </c>
      <c r="L789" t="str">
        <f t="shared" si="12"/>
        <v>Lancer Square</v>
      </c>
      <c r="M789" t="s">
        <v>2747</v>
      </c>
    </row>
    <row r="790" spans="1:13" x14ac:dyDescent="0.3">
      <c r="A790">
        <v>787</v>
      </c>
      <c r="B790" t="s">
        <v>2749</v>
      </c>
      <c r="C790" t="s">
        <v>1752</v>
      </c>
      <c r="D790" t="s">
        <v>2353</v>
      </c>
      <c r="E790" t="s">
        <v>2358</v>
      </c>
      <c r="F790" t="s">
        <v>413</v>
      </c>
      <c r="G790" t="str">
        <f xml:space="preserve"> PROPER(_xlfn.CONCAT(Table1[[#This Row],[Title]]," ",Table1[[#This Row],[First Name]]," ",Table1[[#This Row],[Last Name]]))</f>
        <v>Mr Cory Bergman</v>
      </c>
      <c r="H790" t="str">
        <f>SUBSTITUTE(Table1[[#This Row],[Street]],"Road"," Road")</f>
        <v>Wesley Square</v>
      </c>
      <c r="I790" t="str">
        <f>SUBSTITUTE(Table1[[#This Row],[Separate combined words ]],"?","")</f>
        <v>Wesley Square</v>
      </c>
      <c r="J790" t="str">
        <f>TRIM(Table1[[#This Row],[Remove Question Mark "?"]])</f>
        <v>Wesley Square</v>
      </c>
      <c r="K790" t="str">
        <f>PROPER(Table1[[#This Row],[Leading, Multiple &amp; Trailing spaces]])</f>
        <v>Wesley Square</v>
      </c>
      <c r="L790" t="str">
        <f t="shared" si="12"/>
        <v>Wesley Square</v>
      </c>
      <c r="M790" t="s">
        <v>2358</v>
      </c>
    </row>
    <row r="791" spans="1:13" x14ac:dyDescent="0.3">
      <c r="A791">
        <v>788</v>
      </c>
      <c r="B791" t="s">
        <v>2750</v>
      </c>
      <c r="C791" t="s">
        <v>2751</v>
      </c>
      <c r="D791" t="s">
        <v>2353</v>
      </c>
      <c r="E791" t="s">
        <v>2752</v>
      </c>
      <c r="F791" t="s">
        <v>754</v>
      </c>
      <c r="G791" t="str">
        <f xml:space="preserve"> PROPER(_xlfn.CONCAT(Table1[[#This Row],[Title]]," ",Table1[[#This Row],[First Name]]," ",Table1[[#This Row],[Last Name]]))</f>
        <v>Mr Ron Wilkerson</v>
      </c>
      <c r="H791" t="str">
        <f>SUBSTITUTE(Table1[[#This Row],[Street]],"Road"," Road")</f>
        <v>Countess  Road</v>
      </c>
      <c r="I791" t="str">
        <f>SUBSTITUTE(Table1[[#This Row],[Separate combined words ]],"?","")</f>
        <v>Countess  Road</v>
      </c>
      <c r="J791" t="str">
        <f>TRIM(Table1[[#This Row],[Remove Question Mark "?"]])</f>
        <v>Countess Road</v>
      </c>
      <c r="K791" t="str">
        <f>PROPER(Table1[[#This Row],[Leading, Multiple &amp; Trailing spaces]])</f>
        <v>Countess Road</v>
      </c>
      <c r="L791" t="str">
        <f t="shared" si="12"/>
        <v>Countess Road</v>
      </c>
      <c r="M791" t="s">
        <v>2752</v>
      </c>
    </row>
    <row r="792" spans="1:13" x14ac:dyDescent="0.3">
      <c r="A792">
        <v>789</v>
      </c>
      <c r="B792" t="s">
        <v>1406</v>
      </c>
      <c r="C792" t="s">
        <v>2753</v>
      </c>
      <c r="D792" t="s">
        <v>2353</v>
      </c>
      <c r="E792" t="s">
        <v>2754</v>
      </c>
      <c r="F792" t="s">
        <v>440</v>
      </c>
      <c r="G792" t="str">
        <f xml:space="preserve"> PROPER(_xlfn.CONCAT(Table1[[#This Row],[Title]]," ",Table1[[#This Row],[First Name]]," ",Table1[[#This Row],[Last Name]]))</f>
        <v>Mr Elliott Aguirre</v>
      </c>
      <c r="H792" t="str">
        <f>SUBSTITUTE(Table1[[#This Row],[Street]],"Road"," Road")</f>
        <v>Bromells Buildings</v>
      </c>
      <c r="I792" t="str">
        <f>SUBSTITUTE(Table1[[#This Row],[Separate combined words ]],"?","")</f>
        <v>Bromells Buildings</v>
      </c>
      <c r="J792" t="str">
        <f>TRIM(Table1[[#This Row],[Remove Question Mark "?"]])</f>
        <v>Bromells Buildings</v>
      </c>
      <c r="K792" t="str">
        <f>PROPER(Table1[[#This Row],[Leading, Multiple &amp; Trailing spaces]])</f>
        <v>Bromells Buildings</v>
      </c>
      <c r="L792" t="str">
        <f t="shared" si="12"/>
        <v>Bromells Buildings</v>
      </c>
      <c r="M792" t="s">
        <v>2754</v>
      </c>
    </row>
    <row r="793" spans="1:13" x14ac:dyDescent="0.3">
      <c r="A793">
        <v>790</v>
      </c>
      <c r="B793" t="s">
        <v>2444</v>
      </c>
      <c r="C793" t="s">
        <v>2755</v>
      </c>
      <c r="D793" t="s">
        <v>2353</v>
      </c>
      <c r="E793" t="s">
        <v>2756</v>
      </c>
      <c r="F793" t="s">
        <v>967</v>
      </c>
      <c r="G793" t="str">
        <f xml:space="preserve"> PROPER(_xlfn.CONCAT(Table1[[#This Row],[Title]]," ",Table1[[#This Row],[First Name]]," ",Table1[[#This Row],[Last Name]]))</f>
        <v>Mr Jae Carver</v>
      </c>
      <c r="H793" t="str">
        <f>SUBSTITUTE(Table1[[#This Row],[Street]],"Road"," Road")</f>
        <v>Nightingale Close</v>
      </c>
      <c r="I793" t="str">
        <f>SUBSTITUTE(Table1[[#This Row],[Separate combined words ]],"?","")</f>
        <v>Nightingale Close</v>
      </c>
      <c r="J793" t="str">
        <f>TRIM(Table1[[#This Row],[Remove Question Mark "?"]])</f>
        <v>Nightingale Close</v>
      </c>
      <c r="K793" t="str">
        <f>PROPER(Table1[[#This Row],[Leading, Multiple &amp; Trailing spaces]])</f>
        <v>Nightingale Close</v>
      </c>
      <c r="L793" t="str">
        <f t="shared" si="12"/>
        <v>Nightingale Close</v>
      </c>
      <c r="M793" t="s">
        <v>2756</v>
      </c>
    </row>
    <row r="794" spans="1:13" x14ac:dyDescent="0.3">
      <c r="A794">
        <v>791</v>
      </c>
      <c r="B794" t="s">
        <v>2757</v>
      </c>
      <c r="C794" t="s">
        <v>637</v>
      </c>
      <c r="D794" t="s">
        <v>2353</v>
      </c>
      <c r="E794" t="s">
        <v>2758</v>
      </c>
      <c r="F794" t="s">
        <v>428</v>
      </c>
      <c r="G794" t="str">
        <f xml:space="preserve"> PROPER(_xlfn.CONCAT(Table1[[#This Row],[Title]]," ",Table1[[#This Row],[First Name]]," ",Table1[[#This Row],[Last Name]]))</f>
        <v>Mr Mariano Noble</v>
      </c>
      <c r="H794" t="str">
        <f>SUBSTITUTE(Table1[[#This Row],[Street]],"Road"," Road")</f>
        <v>Clifford Street</v>
      </c>
      <c r="I794" t="str">
        <f>SUBSTITUTE(Table1[[#This Row],[Separate combined words ]],"?","")</f>
        <v>Clifford Street</v>
      </c>
      <c r="J794" t="str">
        <f>TRIM(Table1[[#This Row],[Remove Question Mark "?"]])</f>
        <v>Clifford Street</v>
      </c>
      <c r="K794" t="str">
        <f>PROPER(Table1[[#This Row],[Leading, Multiple &amp; Trailing spaces]])</f>
        <v>Clifford Street</v>
      </c>
      <c r="L794" t="str">
        <f t="shared" si="12"/>
        <v>Clifford Street</v>
      </c>
      <c r="M794" t="s">
        <v>2758</v>
      </c>
    </row>
    <row r="795" spans="1:13" x14ac:dyDescent="0.3">
      <c r="A795">
        <v>792</v>
      </c>
      <c r="B795" t="s">
        <v>2759</v>
      </c>
      <c r="C795" t="s">
        <v>2760</v>
      </c>
      <c r="D795" t="s">
        <v>2353</v>
      </c>
      <c r="E795" t="s">
        <v>2761</v>
      </c>
      <c r="F795" t="s">
        <v>2762</v>
      </c>
      <c r="G795" t="str">
        <f xml:space="preserve"> PROPER(_xlfn.CONCAT(Table1[[#This Row],[Title]]," ",Table1[[#This Row],[First Name]]," ",Table1[[#This Row],[Last Name]]))</f>
        <v>Mr Roscoe Cantu</v>
      </c>
      <c r="H795" t="str">
        <f>SUBSTITUTE(Table1[[#This Row],[Street]],"Road"," Road")</f>
        <v>Bridges Street</v>
      </c>
      <c r="I795" t="str">
        <f>SUBSTITUTE(Table1[[#This Row],[Separate combined words ]],"?","")</f>
        <v>Bridges Street</v>
      </c>
      <c r="J795" t="str">
        <f>TRIM(Table1[[#This Row],[Remove Question Mark "?"]])</f>
        <v>Bridges Street</v>
      </c>
      <c r="K795" t="str">
        <f>PROPER(Table1[[#This Row],[Leading, Multiple &amp; Trailing spaces]])</f>
        <v>Bridges Street</v>
      </c>
      <c r="L795" t="str">
        <f t="shared" si="12"/>
        <v>Bridges Street</v>
      </c>
      <c r="M795" t="s">
        <v>2761</v>
      </c>
    </row>
    <row r="796" spans="1:13" x14ac:dyDescent="0.3">
      <c r="A796">
        <v>793</v>
      </c>
      <c r="B796" t="s">
        <v>2763</v>
      </c>
      <c r="C796" t="s">
        <v>580</v>
      </c>
      <c r="D796" t="s">
        <v>2353</v>
      </c>
      <c r="E796" t="s">
        <v>2764</v>
      </c>
      <c r="F796" t="s">
        <v>2765</v>
      </c>
      <c r="G796" t="str">
        <f xml:space="preserve"> PROPER(_xlfn.CONCAT(Table1[[#This Row],[Title]]," ",Table1[[#This Row],[First Name]]," ",Table1[[#This Row],[Last Name]]))</f>
        <v>Mr Rey Drummond</v>
      </c>
      <c r="H796" t="str">
        <f>SUBSTITUTE(Table1[[#This Row],[Street]],"Road"," Road")</f>
        <v>Stanswood Gardens</v>
      </c>
      <c r="I796" t="str">
        <f>SUBSTITUTE(Table1[[#This Row],[Separate combined words ]],"?","")</f>
        <v>Stanswood Gardens</v>
      </c>
      <c r="J796" t="str">
        <f>TRIM(Table1[[#This Row],[Remove Question Mark "?"]])</f>
        <v>Stanswood Gardens</v>
      </c>
      <c r="K796" t="str">
        <f>PROPER(Table1[[#This Row],[Leading, Multiple &amp; Trailing spaces]])</f>
        <v>Stanswood Gardens</v>
      </c>
      <c r="L796" t="str">
        <f t="shared" si="12"/>
        <v>Stanswood Gardens</v>
      </c>
      <c r="M796" t="s">
        <v>2764</v>
      </c>
    </row>
    <row r="797" spans="1:13" x14ac:dyDescent="0.3">
      <c r="A797">
        <v>794</v>
      </c>
      <c r="B797" t="s">
        <v>2766</v>
      </c>
      <c r="C797" t="s">
        <v>2767</v>
      </c>
      <c r="D797" t="s">
        <v>2353</v>
      </c>
      <c r="E797" t="s">
        <v>2768</v>
      </c>
      <c r="F797" t="s">
        <v>2769</v>
      </c>
      <c r="G797" t="str">
        <f xml:space="preserve"> PROPER(_xlfn.CONCAT(Table1[[#This Row],[Title]]," ",Table1[[#This Row],[First Name]]," ",Table1[[#This Row],[Last Name]]))</f>
        <v>Mr Kyle Dalton</v>
      </c>
      <c r="H797" t="str">
        <f>SUBSTITUTE(Table1[[#This Row],[Street]],"Road"," Road")</f>
        <v>Canal Wharf</v>
      </c>
      <c r="I797" t="str">
        <f>SUBSTITUTE(Table1[[#This Row],[Separate combined words ]],"?","")</f>
        <v>Canal Wharf</v>
      </c>
      <c r="J797" t="str">
        <f>TRIM(Table1[[#This Row],[Remove Question Mark "?"]])</f>
        <v>Canal Wharf</v>
      </c>
      <c r="K797" t="str">
        <f>PROPER(Table1[[#This Row],[Leading, Multiple &amp; Trailing spaces]])</f>
        <v>Canal Wharf</v>
      </c>
      <c r="L797" t="str">
        <f t="shared" si="12"/>
        <v>Canal Wharf</v>
      </c>
      <c r="M797" t="s">
        <v>2768</v>
      </c>
    </row>
    <row r="798" spans="1:13" x14ac:dyDescent="0.3">
      <c r="A798">
        <v>795</v>
      </c>
      <c r="B798" t="s">
        <v>2770</v>
      </c>
      <c r="C798" t="s">
        <v>2771</v>
      </c>
      <c r="D798" t="s">
        <v>2353</v>
      </c>
      <c r="E798" t="s">
        <v>2772</v>
      </c>
      <c r="F798" t="s">
        <v>2773</v>
      </c>
      <c r="G798" t="str">
        <f xml:space="preserve"> PROPER(_xlfn.CONCAT(Table1[[#This Row],[Title]]," ",Table1[[#This Row],[First Name]]," ",Table1[[#This Row],[Last Name]]))</f>
        <v>Mr Preston Moser</v>
      </c>
      <c r="H798" t="str">
        <f>SUBSTITUTE(Table1[[#This Row],[Street]],"Road"," Road")</f>
        <v>Culford Mews</v>
      </c>
      <c r="I798" t="str">
        <f>SUBSTITUTE(Table1[[#This Row],[Separate combined words ]],"?","")</f>
        <v>Culford Mews</v>
      </c>
      <c r="J798" t="str">
        <f>TRIM(Table1[[#This Row],[Remove Question Mark "?"]])</f>
        <v>Culford Mews</v>
      </c>
      <c r="K798" t="str">
        <f>PROPER(Table1[[#This Row],[Leading, Multiple &amp; Trailing spaces]])</f>
        <v>Culford Mews</v>
      </c>
      <c r="L798" t="str">
        <f t="shared" si="12"/>
        <v>Culford Mews</v>
      </c>
      <c r="M798" t="s">
        <v>2772</v>
      </c>
    </row>
    <row r="799" spans="1:13" x14ac:dyDescent="0.3">
      <c r="A799">
        <v>796</v>
      </c>
      <c r="B799" t="s">
        <v>2774</v>
      </c>
      <c r="C799" t="s">
        <v>888</v>
      </c>
      <c r="D799" t="s">
        <v>2353</v>
      </c>
      <c r="E799" t="s">
        <v>2775</v>
      </c>
      <c r="F799" t="s">
        <v>407</v>
      </c>
      <c r="G799" t="str">
        <f xml:space="preserve"> PROPER(_xlfn.CONCAT(Table1[[#This Row],[Title]]," ",Table1[[#This Row],[First Name]]," ",Table1[[#This Row],[Last Name]]))</f>
        <v>Mr Israel Trevino</v>
      </c>
      <c r="H799" t="str">
        <f>SUBSTITUTE(Table1[[#This Row],[Street]],"Road"," Road")</f>
        <v>Kirkdale Corner</v>
      </c>
      <c r="I799" t="str">
        <f>SUBSTITUTE(Table1[[#This Row],[Separate combined words ]],"?","")</f>
        <v>Kirkdale Corner</v>
      </c>
      <c r="J799" t="str">
        <f>TRIM(Table1[[#This Row],[Remove Question Mark "?"]])</f>
        <v>Kirkdale Corner</v>
      </c>
      <c r="K799" t="str">
        <f>PROPER(Table1[[#This Row],[Leading, Multiple &amp; Trailing spaces]])</f>
        <v>Kirkdale Corner</v>
      </c>
      <c r="L799" t="str">
        <f t="shared" si="12"/>
        <v>Kirkdale Corner</v>
      </c>
      <c r="M799" t="s">
        <v>2775</v>
      </c>
    </row>
    <row r="800" spans="1:13" x14ac:dyDescent="0.3">
      <c r="A800">
        <v>797</v>
      </c>
      <c r="B800" t="s">
        <v>2776</v>
      </c>
      <c r="C800" t="s">
        <v>2049</v>
      </c>
      <c r="D800" t="s">
        <v>2353</v>
      </c>
      <c r="E800" t="s">
        <v>2777</v>
      </c>
      <c r="F800" t="s">
        <v>556</v>
      </c>
      <c r="G800" t="str">
        <f xml:space="preserve"> PROPER(_xlfn.CONCAT(Table1[[#This Row],[Title]]," ",Table1[[#This Row],[First Name]]," ",Table1[[#This Row],[Last Name]]))</f>
        <v>Mr Robby Ballard</v>
      </c>
      <c r="H800" t="str">
        <f>SUBSTITUTE(Table1[[#This Row],[Street]],"Road"," Road")</f>
        <v>Frostic Place</v>
      </c>
      <c r="I800" t="str">
        <f>SUBSTITUTE(Table1[[#This Row],[Separate combined words ]],"?","")</f>
        <v>Frostic Place</v>
      </c>
      <c r="J800" t="str">
        <f>TRIM(Table1[[#This Row],[Remove Question Mark "?"]])</f>
        <v>Frostic Place</v>
      </c>
      <c r="K800" t="str">
        <f>PROPER(Table1[[#This Row],[Leading, Multiple &amp; Trailing spaces]])</f>
        <v>Frostic Place</v>
      </c>
      <c r="L800" t="str">
        <f t="shared" si="12"/>
        <v>Frostic Place</v>
      </c>
      <c r="M800" t="s">
        <v>2777</v>
      </c>
    </row>
    <row r="801" spans="1:13" x14ac:dyDescent="0.3">
      <c r="A801">
        <v>798</v>
      </c>
      <c r="B801" t="s">
        <v>2778</v>
      </c>
      <c r="C801" t="s">
        <v>2779</v>
      </c>
      <c r="D801" t="s">
        <v>2353</v>
      </c>
      <c r="E801" t="s">
        <v>2780</v>
      </c>
      <c r="F801" t="s">
        <v>1579</v>
      </c>
      <c r="G801" t="str">
        <f xml:space="preserve"> PROPER(_xlfn.CONCAT(Table1[[#This Row],[Title]]," ",Table1[[#This Row],[First Name]]," ",Table1[[#This Row],[Last Name]]))</f>
        <v>Mr Malik Swanson</v>
      </c>
      <c r="H801" t="str">
        <f>SUBSTITUTE(Table1[[#This Row],[Street]],"Road"," Road")</f>
        <v>Horsmonden  Road</v>
      </c>
      <c r="I801" t="str">
        <f>SUBSTITUTE(Table1[[#This Row],[Separate combined words ]],"?","")</f>
        <v>Horsmonden  Road</v>
      </c>
      <c r="J801" t="str">
        <f>TRIM(Table1[[#This Row],[Remove Question Mark "?"]])</f>
        <v>Horsmonden Road</v>
      </c>
      <c r="K801" t="str">
        <f>PROPER(Table1[[#This Row],[Leading, Multiple &amp; Trailing spaces]])</f>
        <v>Horsmonden Road</v>
      </c>
      <c r="L801" t="str">
        <f t="shared" si="12"/>
        <v>Horsmonden Road</v>
      </c>
      <c r="M801" t="s">
        <v>2780</v>
      </c>
    </row>
    <row r="802" spans="1:13" x14ac:dyDescent="0.3">
      <c r="A802">
        <v>799</v>
      </c>
      <c r="B802" t="s">
        <v>2781</v>
      </c>
      <c r="C802" t="s">
        <v>408</v>
      </c>
      <c r="D802" t="s">
        <v>2353</v>
      </c>
      <c r="E802" t="s">
        <v>2782</v>
      </c>
      <c r="F802" t="s">
        <v>687</v>
      </c>
      <c r="G802" t="str">
        <f xml:space="preserve"> PROPER(_xlfn.CONCAT(Table1[[#This Row],[Title]]," ",Table1[[#This Row],[First Name]]," ",Table1[[#This Row],[Last Name]]))</f>
        <v>Mr Filiberto Wilson</v>
      </c>
      <c r="H802" t="str">
        <f>SUBSTITUTE(Table1[[#This Row],[Street]],"Road"," Road")</f>
        <v>Crown Dale</v>
      </c>
      <c r="I802" t="str">
        <f>SUBSTITUTE(Table1[[#This Row],[Separate combined words ]],"?","")</f>
        <v>Crown Dale</v>
      </c>
      <c r="J802" t="str">
        <f>TRIM(Table1[[#This Row],[Remove Question Mark "?"]])</f>
        <v>Crown Dale</v>
      </c>
      <c r="K802" t="str">
        <f>PROPER(Table1[[#This Row],[Leading, Multiple &amp; Trailing spaces]])</f>
        <v>Crown Dale</v>
      </c>
      <c r="L802" t="str">
        <f t="shared" si="12"/>
        <v>Crown Dale</v>
      </c>
      <c r="M802" t="s">
        <v>2782</v>
      </c>
    </row>
    <row r="803" spans="1:13" x14ac:dyDescent="0.3">
      <c r="A803">
        <v>800</v>
      </c>
      <c r="B803" t="s">
        <v>2783</v>
      </c>
      <c r="C803" t="s">
        <v>329</v>
      </c>
      <c r="D803" t="s">
        <v>2353</v>
      </c>
      <c r="E803" t="s">
        <v>2784</v>
      </c>
      <c r="F803" t="s">
        <v>2785</v>
      </c>
      <c r="G803" t="str">
        <f xml:space="preserve"> PROPER(_xlfn.CONCAT(Table1[[#This Row],[Title]]," ",Table1[[#This Row],[First Name]]," ",Table1[[#This Row],[Last Name]]))</f>
        <v>Mr Ward Paulson</v>
      </c>
      <c r="H803" t="str">
        <f>SUBSTITUTE(Table1[[#This Row],[Street]],"Road"," Road")</f>
        <v>Golderton</v>
      </c>
      <c r="I803" t="str">
        <f>SUBSTITUTE(Table1[[#This Row],[Separate combined words ]],"?","")</f>
        <v>Golderton</v>
      </c>
      <c r="J803" t="str">
        <f>TRIM(Table1[[#This Row],[Remove Question Mark "?"]])</f>
        <v>Golderton</v>
      </c>
      <c r="K803" t="str">
        <f>PROPER(Table1[[#This Row],[Leading, Multiple &amp; Trailing spaces]])</f>
        <v>Golderton</v>
      </c>
      <c r="L803" t="str">
        <f t="shared" si="12"/>
        <v>Golderton</v>
      </c>
      <c r="M803" t="s">
        <v>2784</v>
      </c>
    </row>
    <row r="804" spans="1:13" x14ac:dyDescent="0.3">
      <c r="A804">
        <v>801</v>
      </c>
      <c r="B804" t="s">
        <v>2786</v>
      </c>
      <c r="C804" t="s">
        <v>597</v>
      </c>
      <c r="D804" t="s">
        <v>2353</v>
      </c>
      <c r="E804" t="s">
        <v>2787</v>
      </c>
      <c r="F804" t="s">
        <v>1956</v>
      </c>
      <c r="G804" t="str">
        <f xml:space="preserve"> PROPER(_xlfn.CONCAT(Table1[[#This Row],[Title]]," ",Table1[[#This Row],[First Name]]," ",Table1[[#This Row],[Last Name]]))</f>
        <v>Mr Eldon Bass</v>
      </c>
      <c r="H804" t="str">
        <f>SUBSTITUTE(Table1[[#This Row],[Street]],"Road"," Road")</f>
        <v>Shrubbery Close</v>
      </c>
      <c r="I804" t="str">
        <f>SUBSTITUTE(Table1[[#This Row],[Separate combined words ]],"?","")</f>
        <v>Shrubbery Close</v>
      </c>
      <c r="J804" t="str">
        <f>TRIM(Table1[[#This Row],[Remove Question Mark "?"]])</f>
        <v>Shrubbery Close</v>
      </c>
      <c r="K804" t="str">
        <f>PROPER(Table1[[#This Row],[Leading, Multiple &amp; Trailing spaces]])</f>
        <v>Shrubbery Close</v>
      </c>
      <c r="L804" t="str">
        <f t="shared" si="12"/>
        <v>Shrubbery Close</v>
      </c>
      <c r="M804" t="s">
        <v>2787</v>
      </c>
    </row>
    <row r="805" spans="1:13" x14ac:dyDescent="0.3">
      <c r="A805">
        <v>802</v>
      </c>
      <c r="B805" t="s">
        <v>2788</v>
      </c>
      <c r="C805" t="s">
        <v>2789</v>
      </c>
      <c r="D805" t="s">
        <v>2353</v>
      </c>
      <c r="E805" t="s">
        <v>2790</v>
      </c>
      <c r="F805" t="s">
        <v>2791</v>
      </c>
      <c r="G805" t="str">
        <f xml:space="preserve"> PROPER(_xlfn.CONCAT(Table1[[#This Row],[Title]]," ",Table1[[#This Row],[First Name]]," ",Table1[[#This Row],[Last Name]]))</f>
        <v>Mr Pat Chu</v>
      </c>
      <c r="H805" t="str">
        <f>SUBSTITUTE(Table1[[#This Row],[Street]],"Road"," Road")</f>
        <v>India  Road</v>
      </c>
      <c r="I805" t="str">
        <f>SUBSTITUTE(Table1[[#This Row],[Separate combined words ]],"?","")</f>
        <v>India  Road</v>
      </c>
      <c r="J805" t="str">
        <f>TRIM(Table1[[#This Row],[Remove Question Mark "?"]])</f>
        <v>India Road</v>
      </c>
      <c r="K805" t="str">
        <f>PROPER(Table1[[#This Row],[Leading, Multiple &amp; Trailing spaces]])</f>
        <v>India Road</v>
      </c>
      <c r="L805" t="str">
        <f t="shared" si="12"/>
        <v>India Road</v>
      </c>
      <c r="M805" t="s">
        <v>2790</v>
      </c>
    </row>
    <row r="806" spans="1:13" x14ac:dyDescent="0.3">
      <c r="A806">
        <v>803</v>
      </c>
      <c r="B806" t="s">
        <v>2607</v>
      </c>
      <c r="C806" t="s">
        <v>422</v>
      </c>
      <c r="D806" t="s">
        <v>318</v>
      </c>
      <c r="E806" t="s">
        <v>2792</v>
      </c>
      <c r="F806" t="s">
        <v>2793</v>
      </c>
      <c r="G806" t="str">
        <f xml:space="preserve"> PROPER(_xlfn.CONCAT(Table1[[#This Row],[Title]]," ",Table1[[#This Row],[First Name]]," ",Table1[[#This Row],[Last Name]]))</f>
        <v>Dr Waylon Scott</v>
      </c>
      <c r="H806" t="str">
        <f>SUBSTITUTE(Table1[[#This Row],[Street]],"Road"," Road")</f>
        <v>Pakeman Street</v>
      </c>
      <c r="I806" t="str">
        <f>SUBSTITUTE(Table1[[#This Row],[Separate combined words ]],"?","")</f>
        <v>Pakeman Street</v>
      </c>
      <c r="J806" t="str">
        <f>TRIM(Table1[[#This Row],[Remove Question Mark "?"]])</f>
        <v>Pakeman Street</v>
      </c>
      <c r="K806" t="str">
        <f>PROPER(Table1[[#This Row],[Leading, Multiple &amp; Trailing spaces]])</f>
        <v>Pakeman Street</v>
      </c>
      <c r="L806" t="str">
        <f t="shared" si="12"/>
        <v>Pakeman Street</v>
      </c>
      <c r="M806" t="s">
        <v>2792</v>
      </c>
    </row>
    <row r="807" spans="1:13" x14ac:dyDescent="0.3">
      <c r="A807">
        <v>804</v>
      </c>
      <c r="B807" t="s">
        <v>2794</v>
      </c>
      <c r="C807" t="s">
        <v>2795</v>
      </c>
      <c r="D807" t="s">
        <v>2353</v>
      </c>
      <c r="E807" t="s">
        <v>2796</v>
      </c>
      <c r="F807" t="s">
        <v>2797</v>
      </c>
      <c r="G807" t="str">
        <f xml:space="preserve"> PROPER(_xlfn.CONCAT(Table1[[#This Row],[Title]]," ",Table1[[#This Row],[First Name]]," ",Table1[[#This Row],[Last Name]]))</f>
        <v>Mr Noe Suggs</v>
      </c>
      <c r="H807" t="str">
        <f>SUBSTITUTE(Table1[[#This Row],[Street]],"Road"," Road")</f>
        <v>Trollope Street</v>
      </c>
      <c r="I807" t="str">
        <f>SUBSTITUTE(Table1[[#This Row],[Separate combined words ]],"?","")</f>
        <v>Trollope Street</v>
      </c>
      <c r="J807" t="str">
        <f>TRIM(Table1[[#This Row],[Remove Question Mark "?"]])</f>
        <v>Trollope Street</v>
      </c>
      <c r="K807" t="str">
        <f>PROPER(Table1[[#This Row],[Leading, Multiple &amp; Trailing spaces]])</f>
        <v>Trollope Street</v>
      </c>
      <c r="L807" t="str">
        <f t="shared" si="12"/>
        <v>Trollope Street</v>
      </c>
      <c r="M807" t="s">
        <v>2796</v>
      </c>
    </row>
    <row r="808" spans="1:13" x14ac:dyDescent="0.3">
      <c r="A808">
        <v>805</v>
      </c>
      <c r="B808" t="s">
        <v>2798</v>
      </c>
      <c r="C808" t="s">
        <v>2799</v>
      </c>
      <c r="D808" t="s">
        <v>2353</v>
      </c>
      <c r="E808" t="s">
        <v>2800</v>
      </c>
      <c r="F808" t="s">
        <v>1274</v>
      </c>
      <c r="G808" t="str">
        <f xml:space="preserve"> PROPER(_xlfn.CONCAT(Table1[[#This Row],[Title]]," ",Table1[[#This Row],[First Name]]," ",Table1[[#This Row],[Last Name]]))</f>
        <v>Mr Edmundo Fitzgerald</v>
      </c>
      <c r="H808" t="str">
        <f>SUBSTITUTE(Table1[[#This Row],[Street]],"Road"," Road")</f>
        <v>Halcrow Street</v>
      </c>
      <c r="I808" t="str">
        <f>SUBSTITUTE(Table1[[#This Row],[Separate combined words ]],"?","")</f>
        <v>Halcrow Street</v>
      </c>
      <c r="J808" t="str">
        <f>TRIM(Table1[[#This Row],[Remove Question Mark "?"]])</f>
        <v>Halcrow Street</v>
      </c>
      <c r="K808" t="str">
        <f>PROPER(Table1[[#This Row],[Leading, Multiple &amp; Trailing spaces]])</f>
        <v>Halcrow Street</v>
      </c>
      <c r="L808" t="str">
        <f t="shared" si="12"/>
        <v>Halcrow Street</v>
      </c>
      <c r="M808" t="s">
        <v>2800</v>
      </c>
    </row>
    <row r="809" spans="1:13" x14ac:dyDescent="0.3">
      <c r="A809">
        <v>806</v>
      </c>
      <c r="B809" t="s">
        <v>2801</v>
      </c>
      <c r="C809" t="s">
        <v>2802</v>
      </c>
      <c r="D809" t="s">
        <v>2353</v>
      </c>
      <c r="E809" t="s">
        <v>124</v>
      </c>
      <c r="F809" t="s">
        <v>2803</v>
      </c>
      <c r="G809" t="str">
        <f xml:space="preserve"> PROPER(_xlfn.CONCAT(Table1[[#This Row],[Title]]," ",Table1[[#This Row],[First Name]]," ",Table1[[#This Row],[Last Name]]))</f>
        <v>Mr Benjamin Dodson</v>
      </c>
      <c r="H809" t="str">
        <f>SUBSTITUTE(Table1[[#This Row],[Street]],"Road"," Road")</f>
        <v>Anns Close</v>
      </c>
      <c r="I809" t="str">
        <f>SUBSTITUTE(Table1[[#This Row],[Separate combined words ]],"?","")</f>
        <v>Anns Close</v>
      </c>
      <c r="J809" t="str">
        <f>TRIM(Table1[[#This Row],[Remove Question Mark "?"]])</f>
        <v>Anns Close</v>
      </c>
      <c r="K809" t="str">
        <f>PROPER(Table1[[#This Row],[Leading, Multiple &amp; Trailing spaces]])</f>
        <v>Anns Close</v>
      </c>
      <c r="L809" t="str">
        <f t="shared" si="12"/>
        <v>Anns Close</v>
      </c>
      <c r="M809" t="s">
        <v>124</v>
      </c>
    </row>
    <row r="810" spans="1:13" x14ac:dyDescent="0.3">
      <c r="A810">
        <v>807</v>
      </c>
      <c r="B810" t="s">
        <v>2804</v>
      </c>
      <c r="C810" t="s">
        <v>1907</v>
      </c>
      <c r="D810" t="s">
        <v>2353</v>
      </c>
      <c r="E810" t="s">
        <v>2805</v>
      </c>
      <c r="F810" t="s">
        <v>2806</v>
      </c>
      <c r="G810" t="str">
        <f xml:space="preserve"> PROPER(_xlfn.CONCAT(Table1[[#This Row],[Title]]," ",Table1[[#This Row],[First Name]]," ",Table1[[#This Row],[Last Name]]))</f>
        <v>Mr Burton Lassiter</v>
      </c>
      <c r="H810" t="str">
        <f>SUBSTITUTE(Table1[[#This Row],[Street]],"Road"," Road")</f>
        <v>Telford Avenue</v>
      </c>
      <c r="I810" t="str">
        <f>SUBSTITUTE(Table1[[#This Row],[Separate combined words ]],"?","")</f>
        <v>Telford Avenue</v>
      </c>
      <c r="J810" t="str">
        <f>TRIM(Table1[[#This Row],[Remove Question Mark "?"]])</f>
        <v>Telford Avenue</v>
      </c>
      <c r="K810" t="str">
        <f>PROPER(Table1[[#This Row],[Leading, Multiple &amp; Trailing spaces]])</f>
        <v>Telford Avenue</v>
      </c>
      <c r="L810" t="str">
        <f t="shared" si="12"/>
        <v>Telford Avenue</v>
      </c>
      <c r="M810" t="s">
        <v>2805</v>
      </c>
    </row>
    <row r="811" spans="1:13" x14ac:dyDescent="0.3">
      <c r="A811">
        <v>808</v>
      </c>
      <c r="B811" t="s">
        <v>2807</v>
      </c>
      <c r="C811">
        <v>0</v>
      </c>
      <c r="D811" t="s">
        <v>2353</v>
      </c>
      <c r="E811" t="s">
        <v>2808</v>
      </c>
      <c r="F811" t="s">
        <v>2809</v>
      </c>
      <c r="G811" t="str">
        <f xml:space="preserve"> PROPER(_xlfn.CONCAT(Table1[[#This Row],[Title]]," ",Table1[[#This Row],[First Name]]," ",Table1[[#This Row],[Last Name]]))</f>
        <v>Mr Vincenzo 0</v>
      </c>
      <c r="H811" t="str">
        <f>SUBSTITUTE(Table1[[#This Row],[Street]],"Road"," Road")</f>
        <v>Whitehall Yard</v>
      </c>
      <c r="I811" t="str">
        <f>SUBSTITUTE(Table1[[#This Row],[Separate combined words ]],"?","")</f>
        <v>Whitehall Yard</v>
      </c>
      <c r="J811" t="str">
        <f>TRIM(Table1[[#This Row],[Remove Question Mark "?"]])</f>
        <v>Whitehall Yard</v>
      </c>
      <c r="K811" t="str">
        <f>PROPER(Table1[[#This Row],[Leading, Multiple &amp; Trailing spaces]])</f>
        <v>Whitehall Yard</v>
      </c>
      <c r="L811" t="str">
        <f t="shared" si="12"/>
        <v>Whitehall Yard</v>
      </c>
      <c r="M811" t="s">
        <v>2808</v>
      </c>
    </row>
    <row r="812" spans="1:13" x14ac:dyDescent="0.3">
      <c r="A812">
        <v>809</v>
      </c>
      <c r="B812" t="s">
        <v>2810</v>
      </c>
      <c r="C812" t="s">
        <v>2811</v>
      </c>
      <c r="D812" t="s">
        <v>2353</v>
      </c>
      <c r="E812" t="s">
        <v>2812</v>
      </c>
      <c r="F812" t="s">
        <v>2813</v>
      </c>
      <c r="G812" t="str">
        <f xml:space="preserve"> PROPER(_xlfn.CONCAT(Table1[[#This Row],[Title]]," ",Table1[[#This Row],[First Name]]," ",Table1[[#This Row],[Last Name]]))</f>
        <v>Mr Orval Blount</v>
      </c>
      <c r="H812" t="str">
        <f>SUBSTITUTE(Table1[[#This Row],[Street]],"Road"," Road")</f>
        <v>Well Grove</v>
      </c>
      <c r="I812" t="str">
        <f>SUBSTITUTE(Table1[[#This Row],[Separate combined words ]],"?","")</f>
        <v>Well Grove</v>
      </c>
      <c r="J812" t="str">
        <f>TRIM(Table1[[#This Row],[Remove Question Mark "?"]])</f>
        <v>Well Grove</v>
      </c>
      <c r="K812" t="str">
        <f>PROPER(Table1[[#This Row],[Leading, Multiple &amp; Trailing spaces]])</f>
        <v>Well Grove</v>
      </c>
      <c r="L812" t="str">
        <f t="shared" si="12"/>
        <v>Well Grove</v>
      </c>
      <c r="M812" t="s">
        <v>2812</v>
      </c>
    </row>
    <row r="813" spans="1:13" x14ac:dyDescent="0.3">
      <c r="A813">
        <v>810</v>
      </c>
      <c r="B813" t="s">
        <v>2814</v>
      </c>
      <c r="C813" t="s">
        <v>2815</v>
      </c>
      <c r="D813" t="s">
        <v>2353</v>
      </c>
      <c r="E813" t="s">
        <v>2816</v>
      </c>
      <c r="F813" t="s">
        <v>2817</v>
      </c>
      <c r="G813" t="str">
        <f xml:space="preserve"> PROPER(_xlfn.CONCAT(Table1[[#This Row],[Title]]," ",Table1[[#This Row],[First Name]]," ",Table1[[#This Row],[Last Name]]))</f>
        <v>Mr Maynard Mcmillan</v>
      </c>
      <c r="H813" t="str">
        <f>SUBSTITUTE(Table1[[#This Row],[Street]],"Road"," Road")</f>
        <v>Gunter Grove</v>
      </c>
      <c r="I813" t="str">
        <f>SUBSTITUTE(Table1[[#This Row],[Separate combined words ]],"?","")</f>
        <v>Gunter Grove</v>
      </c>
      <c r="J813" t="str">
        <f>TRIM(Table1[[#This Row],[Remove Question Mark "?"]])</f>
        <v>Gunter Grove</v>
      </c>
      <c r="K813" t="str">
        <f>PROPER(Table1[[#This Row],[Leading, Multiple &amp; Trailing spaces]])</f>
        <v>Gunter Grove</v>
      </c>
      <c r="L813" t="str">
        <f t="shared" si="12"/>
        <v>Gunter Grove</v>
      </c>
      <c r="M813" t="s">
        <v>2816</v>
      </c>
    </row>
    <row r="814" spans="1:13" x14ac:dyDescent="0.3">
      <c r="A814">
        <v>811</v>
      </c>
      <c r="B814" t="s">
        <v>2818</v>
      </c>
      <c r="C814" t="s">
        <v>1074</v>
      </c>
      <c r="D814" t="s">
        <v>2353</v>
      </c>
      <c r="E814" t="s">
        <v>2819</v>
      </c>
      <c r="F814" t="s">
        <v>2820</v>
      </c>
      <c r="G814" t="str">
        <f xml:space="preserve"> PROPER(_xlfn.CONCAT(Table1[[#This Row],[Title]]," ",Table1[[#This Row],[First Name]]," ",Table1[[#This Row],[Last Name]]))</f>
        <v>Mr Rodrigo Stacy</v>
      </c>
      <c r="H814" t="str">
        <f>SUBSTITUTE(Table1[[#This Row],[Street]],"Road"," Road")</f>
        <v>Holbein Mews</v>
      </c>
      <c r="I814" t="str">
        <f>SUBSTITUTE(Table1[[#This Row],[Separate combined words ]],"?","")</f>
        <v>Holbein Mews</v>
      </c>
      <c r="J814" t="str">
        <f>TRIM(Table1[[#This Row],[Remove Question Mark "?"]])</f>
        <v>Holbein Mews</v>
      </c>
      <c r="K814" t="str">
        <f>PROPER(Table1[[#This Row],[Leading, Multiple &amp; Trailing spaces]])</f>
        <v>Holbein Mews</v>
      </c>
      <c r="L814" t="str">
        <f t="shared" si="12"/>
        <v>Holbein Mews</v>
      </c>
      <c r="M814" t="s">
        <v>2819</v>
      </c>
    </row>
    <row r="815" spans="1:13" x14ac:dyDescent="0.3">
      <c r="A815">
        <v>812</v>
      </c>
      <c r="B815" t="s">
        <v>2821</v>
      </c>
      <c r="C815" t="s">
        <v>927</v>
      </c>
      <c r="D815" t="s">
        <v>2353</v>
      </c>
      <c r="E815" t="s">
        <v>2822</v>
      </c>
      <c r="F815" t="s">
        <v>226</v>
      </c>
      <c r="G815" t="str">
        <f xml:space="preserve"> PROPER(_xlfn.CONCAT(Table1[[#This Row],[Title]]," ",Table1[[#This Row],[First Name]]," ",Table1[[#This Row],[Last Name]]))</f>
        <v>Mr Leo Farrell</v>
      </c>
      <c r="H815" t="str">
        <f>SUBSTITUTE(Table1[[#This Row],[Street]],"Road"," Road")</f>
        <v>New Bond</v>
      </c>
      <c r="I815" t="str">
        <f>SUBSTITUTE(Table1[[#This Row],[Separate combined words ]],"?","")</f>
        <v>New Bond</v>
      </c>
      <c r="J815" t="str">
        <f>TRIM(Table1[[#This Row],[Remove Question Mark "?"]])</f>
        <v>New Bond</v>
      </c>
      <c r="K815" t="str">
        <f>PROPER(Table1[[#This Row],[Leading, Multiple &amp; Trailing spaces]])</f>
        <v>New Bond</v>
      </c>
      <c r="L815" t="str">
        <f t="shared" si="12"/>
        <v>New Bond</v>
      </c>
      <c r="M815" t="s">
        <v>2822</v>
      </c>
    </row>
    <row r="816" spans="1:13" x14ac:dyDescent="0.3">
      <c r="A816">
        <v>813</v>
      </c>
      <c r="B816" t="s">
        <v>2778</v>
      </c>
      <c r="C816" t="s">
        <v>462</v>
      </c>
      <c r="D816" t="s">
        <v>2353</v>
      </c>
      <c r="E816" t="s">
        <v>2823</v>
      </c>
      <c r="F816" t="s">
        <v>2824</v>
      </c>
      <c r="G816" t="str">
        <f xml:space="preserve"> PROPER(_xlfn.CONCAT(Table1[[#This Row],[Title]]," ",Table1[[#This Row],[First Name]]," ",Table1[[#This Row],[Last Name]]))</f>
        <v>Mr Malik Bridges</v>
      </c>
      <c r="H816" t="str">
        <f>SUBSTITUTE(Table1[[#This Row],[Street]],"Road"," Road")</f>
        <v>Edith Green</v>
      </c>
      <c r="I816" t="str">
        <f>SUBSTITUTE(Table1[[#This Row],[Separate combined words ]],"?","")</f>
        <v>Edith Green</v>
      </c>
      <c r="J816" t="str">
        <f>TRIM(Table1[[#This Row],[Remove Question Mark "?"]])</f>
        <v>Edith Green</v>
      </c>
      <c r="K816" t="str">
        <f>PROPER(Table1[[#This Row],[Leading, Multiple &amp; Trailing spaces]])</f>
        <v>Edith Green</v>
      </c>
      <c r="L816" t="str">
        <f t="shared" si="12"/>
        <v>Edith Green</v>
      </c>
      <c r="M816" t="s">
        <v>2823</v>
      </c>
    </row>
    <row r="817" spans="1:13" x14ac:dyDescent="0.3">
      <c r="A817">
        <v>814</v>
      </c>
      <c r="B817" t="s">
        <v>2825</v>
      </c>
      <c r="C817" t="s">
        <v>2454</v>
      </c>
      <c r="D817" t="s">
        <v>2353</v>
      </c>
      <c r="E817" t="s">
        <v>2826</v>
      </c>
      <c r="F817" t="s">
        <v>680</v>
      </c>
      <c r="G817" t="str">
        <f xml:space="preserve"> PROPER(_xlfn.CONCAT(Table1[[#This Row],[Title]]," ",Table1[[#This Row],[First Name]]," ",Table1[[#This Row],[Last Name]]))</f>
        <v>Mr Jame Giles</v>
      </c>
      <c r="H817" t="str">
        <f>SUBSTITUTE(Table1[[#This Row],[Street]],"Road"," Road")</f>
        <v>Taplow Street</v>
      </c>
      <c r="I817" t="str">
        <f>SUBSTITUTE(Table1[[#This Row],[Separate combined words ]],"?","")</f>
        <v>Taplow Street</v>
      </c>
      <c r="J817" t="str">
        <f>TRIM(Table1[[#This Row],[Remove Question Mark "?"]])</f>
        <v>Taplow Street</v>
      </c>
      <c r="K817" t="str">
        <f>PROPER(Table1[[#This Row],[Leading, Multiple &amp; Trailing spaces]])</f>
        <v>Taplow Street</v>
      </c>
      <c r="L817" t="str">
        <f t="shared" si="12"/>
        <v>Taplow Street</v>
      </c>
      <c r="M817" t="s">
        <v>2826</v>
      </c>
    </row>
    <row r="818" spans="1:13" x14ac:dyDescent="0.3">
      <c r="A818">
        <v>815</v>
      </c>
      <c r="B818" t="s">
        <v>2827</v>
      </c>
      <c r="C818" t="s">
        <v>805</v>
      </c>
      <c r="D818" t="s">
        <v>2353</v>
      </c>
      <c r="E818" t="s">
        <v>2828</v>
      </c>
      <c r="F818" t="s">
        <v>61</v>
      </c>
      <c r="G818" t="str">
        <f xml:space="preserve"> PROPER(_xlfn.CONCAT(Table1[[#This Row],[Title]]," ",Table1[[#This Row],[First Name]]," ",Table1[[#This Row],[Last Name]]))</f>
        <v>Mr Cristobal Sanders</v>
      </c>
      <c r="H818" t="str">
        <f>SUBSTITUTE(Table1[[#This Row],[Street]],"Road"," Road")</f>
        <v>Tuckers Rents</v>
      </c>
      <c r="I818" t="str">
        <f>SUBSTITUTE(Table1[[#This Row],[Separate combined words ]],"?","")</f>
        <v>Tuckers Rents</v>
      </c>
      <c r="J818" t="str">
        <f>TRIM(Table1[[#This Row],[Remove Question Mark "?"]])</f>
        <v>Tuckers Rents</v>
      </c>
      <c r="K818" t="str">
        <f>PROPER(Table1[[#This Row],[Leading, Multiple &amp; Trailing spaces]])</f>
        <v>Tuckers Rents</v>
      </c>
      <c r="L818" t="str">
        <f t="shared" si="12"/>
        <v>Tuckers Rents</v>
      </c>
      <c r="M818" t="s">
        <v>2828</v>
      </c>
    </row>
    <row r="819" spans="1:13" x14ac:dyDescent="0.3">
      <c r="A819">
        <v>816</v>
      </c>
      <c r="B819" t="s">
        <v>2829</v>
      </c>
      <c r="C819" t="s">
        <v>2830</v>
      </c>
      <c r="D819" t="s">
        <v>2353</v>
      </c>
      <c r="E819" t="s">
        <v>2831</v>
      </c>
      <c r="F819" t="s">
        <v>2047</v>
      </c>
      <c r="G819" t="str">
        <f xml:space="preserve"> PROPER(_xlfn.CONCAT(Table1[[#This Row],[Title]]," ",Table1[[#This Row],[First Name]]," ",Table1[[#This Row],[Last Name]]))</f>
        <v>Mr Jim Adair</v>
      </c>
      <c r="H819" t="str">
        <f>SUBSTITUTE(Table1[[#This Row],[Street]],"Road"," Road")</f>
        <v>Priors Dean</v>
      </c>
      <c r="I819" t="str">
        <f>SUBSTITUTE(Table1[[#This Row],[Separate combined words ]],"?","")</f>
        <v>Priors Dean</v>
      </c>
      <c r="J819" t="str">
        <f>TRIM(Table1[[#This Row],[Remove Question Mark "?"]])</f>
        <v>Priors Dean</v>
      </c>
      <c r="K819" t="str">
        <f>PROPER(Table1[[#This Row],[Leading, Multiple &amp; Trailing spaces]])</f>
        <v>Priors Dean</v>
      </c>
      <c r="L819" t="str">
        <f t="shared" si="12"/>
        <v>Priors Dean</v>
      </c>
      <c r="M819" t="s">
        <v>2831</v>
      </c>
    </row>
    <row r="820" spans="1:13" x14ac:dyDescent="0.3">
      <c r="A820">
        <v>817</v>
      </c>
      <c r="B820" t="s">
        <v>2832</v>
      </c>
      <c r="C820" t="s">
        <v>2833</v>
      </c>
      <c r="D820" t="s">
        <v>2353</v>
      </c>
      <c r="E820" t="s">
        <v>2834</v>
      </c>
      <c r="F820" t="s">
        <v>440</v>
      </c>
      <c r="G820" t="str">
        <f xml:space="preserve"> PROPER(_xlfn.CONCAT(Table1[[#This Row],[Title]]," ",Table1[[#This Row],[First Name]]," ",Table1[[#This Row],[Last Name]]))</f>
        <v>Mr Gaylord Lopez</v>
      </c>
      <c r="H820" t="str">
        <f>SUBSTITUTE(Table1[[#This Row],[Street]],"Road"," Road")</f>
        <v>Trehurst Street</v>
      </c>
      <c r="I820" t="str">
        <f>SUBSTITUTE(Table1[[#This Row],[Separate combined words ]],"?","")</f>
        <v>Trehurst Street</v>
      </c>
      <c r="J820" t="str">
        <f>TRIM(Table1[[#This Row],[Remove Question Mark "?"]])</f>
        <v>Trehurst Street</v>
      </c>
      <c r="K820" t="str">
        <f>PROPER(Table1[[#This Row],[Leading, Multiple &amp; Trailing spaces]])</f>
        <v>Trehurst Street</v>
      </c>
      <c r="L820" t="str">
        <f t="shared" si="12"/>
        <v>Trehurst Street</v>
      </c>
      <c r="M820" t="s">
        <v>2834</v>
      </c>
    </row>
    <row r="821" spans="1:13" x14ac:dyDescent="0.3">
      <c r="A821">
        <v>818</v>
      </c>
      <c r="B821" t="s">
        <v>2835</v>
      </c>
      <c r="C821" t="s">
        <v>601</v>
      </c>
      <c r="D821" t="s">
        <v>2353</v>
      </c>
      <c r="E821" t="s">
        <v>2836</v>
      </c>
      <c r="F821" t="s">
        <v>2295</v>
      </c>
      <c r="G821" t="str">
        <f xml:space="preserve"> PROPER(_xlfn.CONCAT(Table1[[#This Row],[Title]]," ",Table1[[#This Row],[First Name]]," ",Table1[[#This Row],[Last Name]]))</f>
        <v>Mr Merlin Earl</v>
      </c>
      <c r="H821" t="str">
        <f>SUBSTITUTE(Table1[[#This Row],[Street]],"Road"," Road")</f>
        <v>Bradshaws Close</v>
      </c>
      <c r="I821" t="str">
        <f>SUBSTITUTE(Table1[[#This Row],[Separate combined words ]],"?","")</f>
        <v>Bradshaws Close</v>
      </c>
      <c r="J821" t="str">
        <f>TRIM(Table1[[#This Row],[Remove Question Mark "?"]])</f>
        <v>Bradshaws Close</v>
      </c>
      <c r="K821" t="str">
        <f>PROPER(Table1[[#This Row],[Leading, Multiple &amp; Trailing spaces]])</f>
        <v>Bradshaws Close</v>
      </c>
      <c r="L821" t="str">
        <f t="shared" si="12"/>
        <v>Bradshaws Close</v>
      </c>
      <c r="M821" t="s">
        <v>2836</v>
      </c>
    </row>
    <row r="822" spans="1:13" x14ac:dyDescent="0.3">
      <c r="A822">
        <v>819</v>
      </c>
      <c r="B822" t="s">
        <v>355</v>
      </c>
      <c r="C822" t="s">
        <v>1554</v>
      </c>
      <c r="D822" t="s">
        <v>2353</v>
      </c>
      <c r="E822" t="s">
        <v>2837</v>
      </c>
      <c r="F822" t="s">
        <v>2838</v>
      </c>
      <c r="G822" t="str">
        <f xml:space="preserve"> PROPER(_xlfn.CONCAT(Table1[[#This Row],[Title]]," ",Table1[[#This Row],[First Name]]," ",Table1[[#This Row],[Last Name]]))</f>
        <v>Mr Leslie Krause</v>
      </c>
      <c r="H822" t="str">
        <f>SUBSTITUTE(Table1[[#This Row],[Street]],"Road"," Road")</f>
        <v>Amelia Street</v>
      </c>
      <c r="I822" t="str">
        <f>SUBSTITUTE(Table1[[#This Row],[Separate combined words ]],"?","")</f>
        <v>Amelia Street</v>
      </c>
      <c r="J822" t="str">
        <f>TRIM(Table1[[#This Row],[Remove Question Mark "?"]])</f>
        <v>Amelia Street</v>
      </c>
      <c r="K822" t="str">
        <f>PROPER(Table1[[#This Row],[Leading, Multiple &amp; Trailing spaces]])</f>
        <v>Amelia Street</v>
      </c>
      <c r="L822" t="str">
        <f t="shared" si="12"/>
        <v>Amelia Street</v>
      </c>
      <c r="M822" t="s">
        <v>2837</v>
      </c>
    </row>
    <row r="823" spans="1:13" x14ac:dyDescent="0.3">
      <c r="A823">
        <v>820</v>
      </c>
      <c r="B823" t="s">
        <v>2839</v>
      </c>
      <c r="C823" t="s">
        <v>567</v>
      </c>
      <c r="D823" t="s">
        <v>2353</v>
      </c>
      <c r="E823" t="s">
        <v>2840</v>
      </c>
      <c r="F823" t="s">
        <v>2841</v>
      </c>
      <c r="G823" t="str">
        <f xml:space="preserve"> PROPER(_xlfn.CONCAT(Table1[[#This Row],[Title]]," ",Table1[[#This Row],[First Name]]," ",Table1[[#This Row],[Last Name]]))</f>
        <v>Mr Stevie Staples</v>
      </c>
      <c r="H823" t="str">
        <f>SUBSTITUTE(Table1[[#This Row],[Street]],"Road"," Road")</f>
        <v>Clonmore Street</v>
      </c>
      <c r="I823" t="str">
        <f>SUBSTITUTE(Table1[[#This Row],[Separate combined words ]],"?","")</f>
        <v>Clonmore Street</v>
      </c>
      <c r="J823" t="str">
        <f>TRIM(Table1[[#This Row],[Remove Question Mark "?"]])</f>
        <v>Clonmore Street</v>
      </c>
      <c r="K823" t="str">
        <f>PROPER(Table1[[#This Row],[Leading, Multiple &amp; Trailing spaces]])</f>
        <v>Clonmore Street</v>
      </c>
      <c r="L823" t="str">
        <f t="shared" si="12"/>
        <v>Clonmore Street</v>
      </c>
      <c r="M823" t="s">
        <v>2840</v>
      </c>
    </row>
    <row r="824" spans="1:13" x14ac:dyDescent="0.3">
      <c r="A824">
        <v>821</v>
      </c>
      <c r="B824" t="s">
        <v>2842</v>
      </c>
      <c r="C824" t="s">
        <v>2087</v>
      </c>
      <c r="D824" t="s">
        <v>2353</v>
      </c>
      <c r="E824" t="s">
        <v>2843</v>
      </c>
      <c r="F824" t="s">
        <v>2844</v>
      </c>
      <c r="G824" t="str">
        <f xml:space="preserve"> PROPER(_xlfn.CONCAT(Table1[[#This Row],[Title]]," ",Table1[[#This Row],[First Name]]," ",Table1[[#This Row],[Last Name]]))</f>
        <v>Mr Garfield Skinner</v>
      </c>
      <c r="H824" t="str">
        <f>SUBSTITUTE(Table1[[#This Row],[Street]],"Road"," Road")</f>
        <v>Dulwich High</v>
      </c>
      <c r="I824" t="str">
        <f>SUBSTITUTE(Table1[[#This Row],[Separate combined words ]],"?","")</f>
        <v>Dulwich High</v>
      </c>
      <c r="J824" t="str">
        <f>TRIM(Table1[[#This Row],[Remove Question Mark "?"]])</f>
        <v>Dulwich High</v>
      </c>
      <c r="K824" t="str">
        <f>PROPER(Table1[[#This Row],[Leading, Multiple &amp; Trailing spaces]])</f>
        <v>Dulwich High</v>
      </c>
      <c r="L824" t="str">
        <f t="shared" si="12"/>
        <v>Dulwich High</v>
      </c>
      <c r="M824" t="s">
        <v>2843</v>
      </c>
    </row>
    <row r="825" spans="1:13" x14ac:dyDescent="0.3">
      <c r="A825">
        <v>822</v>
      </c>
      <c r="B825" t="s">
        <v>2845</v>
      </c>
      <c r="C825" t="s">
        <v>2846</v>
      </c>
      <c r="D825" t="s">
        <v>2353</v>
      </c>
      <c r="E825" t="s">
        <v>2847</v>
      </c>
      <c r="F825" t="s">
        <v>550</v>
      </c>
      <c r="G825" t="str">
        <f xml:space="preserve"> PROPER(_xlfn.CONCAT(Table1[[#This Row],[Title]]," ",Table1[[#This Row],[First Name]]," ",Table1[[#This Row],[Last Name]]))</f>
        <v>Mr Cyril Rubio</v>
      </c>
      <c r="H825" t="str">
        <f>SUBSTITUTE(Table1[[#This Row],[Street]],"Road"," Road")</f>
        <v>Sandringham Close</v>
      </c>
      <c r="I825" t="str">
        <f>SUBSTITUTE(Table1[[#This Row],[Separate combined words ]],"?","")</f>
        <v>Sandringham Close</v>
      </c>
      <c r="J825" t="str">
        <f>TRIM(Table1[[#This Row],[Remove Question Mark "?"]])</f>
        <v>Sandringham Close</v>
      </c>
      <c r="K825" t="str">
        <f>PROPER(Table1[[#This Row],[Leading, Multiple &amp; Trailing spaces]])</f>
        <v>Sandringham Close</v>
      </c>
      <c r="L825" t="str">
        <f t="shared" si="12"/>
        <v>Sandringham Close</v>
      </c>
      <c r="M825" t="s">
        <v>2847</v>
      </c>
    </row>
    <row r="826" spans="1:13" x14ac:dyDescent="0.3">
      <c r="A826">
        <v>823</v>
      </c>
      <c r="B826" t="s">
        <v>2848</v>
      </c>
      <c r="C826" t="s">
        <v>2849</v>
      </c>
      <c r="D826" t="s">
        <v>318</v>
      </c>
      <c r="E826" t="s">
        <v>2850</v>
      </c>
      <c r="F826" t="s">
        <v>523</v>
      </c>
      <c r="G826" t="str">
        <f xml:space="preserve"> PROPER(_xlfn.CONCAT(Table1[[#This Row],[Title]]," ",Table1[[#This Row],[First Name]]," ",Table1[[#This Row],[Last Name]]))</f>
        <v>Dr Reggie Hawkins</v>
      </c>
      <c r="H826" t="str">
        <f>SUBSTITUTE(Table1[[#This Row],[Street]],"Road"," Road")</f>
        <v>Harrow Manor</v>
      </c>
      <c r="I826" t="str">
        <f>SUBSTITUTE(Table1[[#This Row],[Separate combined words ]],"?","")</f>
        <v>Harrow Manor</v>
      </c>
      <c r="J826" t="str">
        <f>TRIM(Table1[[#This Row],[Remove Question Mark "?"]])</f>
        <v>Harrow Manor</v>
      </c>
      <c r="K826" t="str">
        <f>PROPER(Table1[[#This Row],[Leading, Multiple &amp; Trailing spaces]])</f>
        <v>Harrow Manor</v>
      </c>
      <c r="L826" t="str">
        <f t="shared" si="12"/>
        <v>Harrow Manor</v>
      </c>
      <c r="M826" t="s">
        <v>2850</v>
      </c>
    </row>
    <row r="827" spans="1:13" x14ac:dyDescent="0.3">
      <c r="A827">
        <v>824</v>
      </c>
      <c r="B827" t="s">
        <v>2851</v>
      </c>
      <c r="C827" t="s">
        <v>2852</v>
      </c>
      <c r="D827" t="s">
        <v>2353</v>
      </c>
      <c r="E827" t="s">
        <v>2853</v>
      </c>
      <c r="F827" t="s">
        <v>2160</v>
      </c>
      <c r="G827" t="str">
        <f xml:space="preserve"> PROPER(_xlfn.CONCAT(Table1[[#This Row],[Title]]," ",Table1[[#This Row],[First Name]]," ",Table1[[#This Row],[Last Name]]))</f>
        <v>Mr Truman Mccall</v>
      </c>
      <c r="H827" t="str">
        <f>SUBSTITUTE(Table1[[#This Row],[Street]],"Road"," Road")</f>
        <v>Rotherwick Hill</v>
      </c>
      <c r="I827" t="str">
        <f>SUBSTITUTE(Table1[[#This Row],[Separate combined words ]],"?","")</f>
        <v>Rotherwick Hill</v>
      </c>
      <c r="J827" t="str">
        <f>TRIM(Table1[[#This Row],[Remove Question Mark "?"]])</f>
        <v>Rotherwick Hill</v>
      </c>
      <c r="K827" t="str">
        <f>PROPER(Table1[[#This Row],[Leading, Multiple &amp; Trailing spaces]])</f>
        <v>Rotherwick Hill</v>
      </c>
      <c r="L827" t="str">
        <f t="shared" si="12"/>
        <v>Rotherwick Hill</v>
      </c>
      <c r="M827" t="s">
        <v>2853</v>
      </c>
    </row>
    <row r="828" spans="1:13" x14ac:dyDescent="0.3">
      <c r="A828">
        <v>825</v>
      </c>
      <c r="B828" t="s">
        <v>2854</v>
      </c>
      <c r="C828" t="s">
        <v>261</v>
      </c>
      <c r="D828" t="s">
        <v>2353</v>
      </c>
      <c r="E828" t="s">
        <v>2855</v>
      </c>
      <c r="F828" t="s">
        <v>2856</v>
      </c>
      <c r="G828" t="str">
        <f xml:space="preserve"> PROPER(_xlfn.CONCAT(Table1[[#This Row],[Title]]," ",Table1[[#This Row],[First Name]]," ",Table1[[#This Row],[Last Name]]))</f>
        <v>Mr Stan Payton</v>
      </c>
      <c r="H828" t="str">
        <f>SUBSTITUTE(Table1[[#This Row],[Street]],"Road"," Road")</f>
        <v>Little Cloisters</v>
      </c>
      <c r="I828" t="str">
        <f>SUBSTITUTE(Table1[[#This Row],[Separate combined words ]],"?","")</f>
        <v>Little Cloisters</v>
      </c>
      <c r="J828" t="str">
        <f>TRIM(Table1[[#This Row],[Remove Question Mark "?"]])</f>
        <v>Little Cloisters</v>
      </c>
      <c r="K828" t="str">
        <f>PROPER(Table1[[#This Row],[Leading, Multiple &amp; Trailing spaces]])</f>
        <v>Little Cloisters</v>
      </c>
      <c r="L828" t="str">
        <f t="shared" si="12"/>
        <v>Little Cloisters</v>
      </c>
      <c r="M828" t="s">
        <v>2855</v>
      </c>
    </row>
    <row r="829" spans="1:13" x14ac:dyDescent="0.3">
      <c r="A829">
        <v>826</v>
      </c>
      <c r="B829" t="s">
        <v>2857</v>
      </c>
      <c r="C829" t="s">
        <v>2858</v>
      </c>
      <c r="D829" t="s">
        <v>2353</v>
      </c>
      <c r="E829" t="s">
        <v>2859</v>
      </c>
      <c r="F829" t="s">
        <v>2860</v>
      </c>
      <c r="G829" t="str">
        <f xml:space="preserve"> PROPER(_xlfn.CONCAT(Table1[[#This Row],[Title]]," ",Table1[[#This Row],[First Name]]," ",Table1[[#This Row],[Last Name]]))</f>
        <v>Mr Keneth Shipley</v>
      </c>
      <c r="H829" t="str">
        <f>SUBSTITUTE(Table1[[#This Row],[Street]],"Road"," Road")</f>
        <v>Aeroville</v>
      </c>
      <c r="I829" t="str">
        <f>SUBSTITUTE(Table1[[#This Row],[Separate combined words ]],"?","")</f>
        <v>Aeroville</v>
      </c>
      <c r="J829" t="str">
        <f>TRIM(Table1[[#This Row],[Remove Question Mark "?"]])</f>
        <v>Aeroville</v>
      </c>
      <c r="K829" t="str">
        <f>PROPER(Table1[[#This Row],[Leading, Multiple &amp; Trailing spaces]])</f>
        <v>Aeroville</v>
      </c>
      <c r="L829" t="str">
        <f t="shared" si="12"/>
        <v>Aeroville</v>
      </c>
      <c r="M829" t="s">
        <v>2859</v>
      </c>
    </row>
    <row r="830" spans="1:13" x14ac:dyDescent="0.3">
      <c r="A830">
        <v>827</v>
      </c>
      <c r="B830" t="s">
        <v>2861</v>
      </c>
      <c r="C830" t="s">
        <v>1715</v>
      </c>
      <c r="D830" t="s">
        <v>2353</v>
      </c>
      <c r="E830" t="s">
        <v>2862</v>
      </c>
      <c r="F830" t="s">
        <v>386</v>
      </c>
      <c r="G830" t="str">
        <f xml:space="preserve"> PROPER(_xlfn.CONCAT(Table1[[#This Row],[Title]]," ",Table1[[#This Row],[First Name]]," ",Table1[[#This Row],[Last Name]]))</f>
        <v>Mr Garland Cartwright</v>
      </c>
      <c r="H830" t="str">
        <f>SUBSTITUTE(Table1[[#This Row],[Street]],"Road"," Road")</f>
        <v>Bell Alley</v>
      </c>
      <c r="I830" t="str">
        <f>SUBSTITUTE(Table1[[#This Row],[Separate combined words ]],"?","")</f>
        <v>Bell Alley</v>
      </c>
      <c r="J830" t="str">
        <f>TRIM(Table1[[#This Row],[Remove Question Mark "?"]])</f>
        <v>Bell Alley</v>
      </c>
      <c r="K830" t="str">
        <f>PROPER(Table1[[#This Row],[Leading, Multiple &amp; Trailing spaces]])</f>
        <v>Bell Alley</v>
      </c>
      <c r="L830" t="str">
        <f t="shared" si="12"/>
        <v>Bell Alley</v>
      </c>
      <c r="M830" t="s">
        <v>2862</v>
      </c>
    </row>
    <row r="831" spans="1:13" x14ac:dyDescent="0.3">
      <c r="A831">
        <v>828</v>
      </c>
      <c r="B831" t="s">
        <v>2863</v>
      </c>
      <c r="C831" t="s">
        <v>676</v>
      </c>
      <c r="D831" t="s">
        <v>2353</v>
      </c>
      <c r="E831" t="s">
        <v>2864</v>
      </c>
      <c r="F831" t="s">
        <v>2865</v>
      </c>
      <c r="G831" t="str">
        <f xml:space="preserve"> PROPER(_xlfn.CONCAT(Table1[[#This Row],[Title]]," ",Table1[[#This Row],[First Name]]," ",Table1[[#This Row],[Last Name]]))</f>
        <v>Mr Phil Gary</v>
      </c>
      <c r="H831" t="str">
        <f>SUBSTITUTE(Table1[[#This Row],[Street]],"Road"," Road")</f>
        <v>Everards Place</v>
      </c>
      <c r="I831" t="str">
        <f>SUBSTITUTE(Table1[[#This Row],[Separate combined words ]],"?","")</f>
        <v>Everards Place</v>
      </c>
      <c r="J831" t="str">
        <f>TRIM(Table1[[#This Row],[Remove Question Mark "?"]])</f>
        <v>Everards Place</v>
      </c>
      <c r="K831" t="str">
        <f>PROPER(Table1[[#This Row],[Leading, Multiple &amp; Trailing spaces]])</f>
        <v>Everards Place</v>
      </c>
      <c r="L831" t="str">
        <f t="shared" si="12"/>
        <v>Everards Place</v>
      </c>
      <c r="M831" t="s">
        <v>2864</v>
      </c>
    </row>
    <row r="832" spans="1:13" x14ac:dyDescent="0.3">
      <c r="A832">
        <v>829</v>
      </c>
      <c r="B832" t="s">
        <v>2866</v>
      </c>
      <c r="C832" t="s">
        <v>536</v>
      </c>
      <c r="D832" t="s">
        <v>2353</v>
      </c>
      <c r="E832" t="s">
        <v>2867</v>
      </c>
      <c r="F832" t="s">
        <v>2868</v>
      </c>
      <c r="G832" t="str">
        <f xml:space="preserve"> PROPER(_xlfn.CONCAT(Table1[[#This Row],[Title]]," ",Table1[[#This Row],[First Name]]," ",Table1[[#This Row],[Last Name]]))</f>
        <v>Mr Christopher Richey</v>
      </c>
      <c r="H832" t="str">
        <f>SUBSTITUTE(Table1[[#This Row],[Street]],"Road"," Road")</f>
        <v>The Grove</v>
      </c>
      <c r="I832" t="str">
        <f>SUBSTITUTE(Table1[[#This Row],[Separate combined words ]],"?","")</f>
        <v>The Grove</v>
      </c>
      <c r="J832" t="str">
        <f>TRIM(Table1[[#This Row],[Remove Question Mark "?"]])</f>
        <v>The Grove</v>
      </c>
      <c r="K832" t="str">
        <f>PROPER(Table1[[#This Row],[Leading, Multiple &amp; Trailing spaces]])</f>
        <v>The Grove</v>
      </c>
      <c r="L832" t="str">
        <f t="shared" si="12"/>
        <v>The Grove</v>
      </c>
      <c r="M832" t="s">
        <v>2867</v>
      </c>
    </row>
    <row r="833" spans="1:13" x14ac:dyDescent="0.3">
      <c r="A833">
        <v>830</v>
      </c>
      <c r="B833" t="s">
        <v>2869</v>
      </c>
      <c r="C833" t="s">
        <v>1417</v>
      </c>
      <c r="D833" t="s">
        <v>2353</v>
      </c>
      <c r="E833" t="s">
        <v>2870</v>
      </c>
      <c r="F833" t="s">
        <v>2871</v>
      </c>
      <c r="G833" t="str">
        <f xml:space="preserve"> PROPER(_xlfn.CONCAT(Table1[[#This Row],[Title]]," ",Table1[[#This Row],[First Name]]," ",Table1[[#This Row],[Last Name]]))</f>
        <v>Mr Russel Kilgore</v>
      </c>
      <c r="H833" t="str">
        <f>SUBSTITUTE(Table1[[#This Row],[Street]],"Road"," Road")</f>
        <v>Spa Green</v>
      </c>
      <c r="I833" t="str">
        <f>SUBSTITUTE(Table1[[#This Row],[Separate combined words ]],"?","")</f>
        <v>Spa Green</v>
      </c>
      <c r="J833" t="str">
        <f>TRIM(Table1[[#This Row],[Remove Question Mark "?"]])</f>
        <v>Spa Green</v>
      </c>
      <c r="K833" t="str">
        <f>PROPER(Table1[[#This Row],[Leading, Multiple &amp; Trailing spaces]])</f>
        <v>Spa Green</v>
      </c>
      <c r="L833" t="str">
        <f t="shared" si="12"/>
        <v>Spa Green</v>
      </c>
      <c r="M833" t="s">
        <v>2870</v>
      </c>
    </row>
    <row r="834" spans="1:13" x14ac:dyDescent="0.3">
      <c r="A834">
        <v>831</v>
      </c>
      <c r="B834" t="s">
        <v>2872</v>
      </c>
      <c r="C834" t="s">
        <v>440</v>
      </c>
      <c r="D834" t="s">
        <v>2353</v>
      </c>
      <c r="E834" t="s">
        <v>2873</v>
      </c>
      <c r="F834" t="s">
        <v>2210</v>
      </c>
      <c r="G834" t="str">
        <f xml:space="preserve"> PROPER(_xlfn.CONCAT(Table1[[#This Row],[Title]]," ",Table1[[#This Row],[First Name]]," ",Table1[[#This Row],[Last Name]]))</f>
        <v>Mr Manual Kent</v>
      </c>
      <c r="H834" t="str">
        <f>SUBSTITUTE(Table1[[#This Row],[Street]],"Road"," Road")</f>
        <v>Regent Street</v>
      </c>
      <c r="I834" t="str">
        <f>SUBSTITUTE(Table1[[#This Row],[Separate combined words ]],"?","")</f>
        <v>Regent Street</v>
      </c>
      <c r="J834" t="str">
        <f>TRIM(Table1[[#This Row],[Remove Question Mark "?"]])</f>
        <v>Regent Street</v>
      </c>
      <c r="K834" t="str">
        <f>PROPER(Table1[[#This Row],[Leading, Multiple &amp; Trailing spaces]])</f>
        <v>Regent Street</v>
      </c>
      <c r="L834" t="str">
        <f t="shared" si="12"/>
        <v>Regent Street</v>
      </c>
      <c r="M834" t="s">
        <v>2873</v>
      </c>
    </row>
    <row r="835" spans="1:13" x14ac:dyDescent="0.3">
      <c r="A835">
        <v>832</v>
      </c>
      <c r="B835" t="s">
        <v>2874</v>
      </c>
      <c r="C835" t="s">
        <v>2875</v>
      </c>
      <c r="D835" t="s">
        <v>2353</v>
      </c>
      <c r="E835" t="s">
        <v>2876</v>
      </c>
      <c r="F835" t="s">
        <v>2244</v>
      </c>
      <c r="G835" t="str">
        <f xml:space="preserve"> PROPER(_xlfn.CONCAT(Table1[[#This Row],[Title]]," ",Table1[[#This Row],[First Name]]," ",Table1[[#This Row],[Last Name]]))</f>
        <v>Mr Lawerence Phipps</v>
      </c>
      <c r="H835" t="str">
        <f>SUBSTITUTE(Table1[[#This Row],[Street]],"Road"," Road")</f>
        <v>Hilton House</v>
      </c>
      <c r="I835" t="str">
        <f>SUBSTITUTE(Table1[[#This Row],[Separate combined words ]],"?","")</f>
        <v>Hilton House</v>
      </c>
      <c r="J835" t="str">
        <f>TRIM(Table1[[#This Row],[Remove Question Mark "?"]])</f>
        <v>Hilton House</v>
      </c>
      <c r="K835" t="str">
        <f>PROPER(Table1[[#This Row],[Leading, Multiple &amp; Trailing spaces]])</f>
        <v>Hilton House</v>
      </c>
      <c r="L835" t="str">
        <f t="shared" si="12"/>
        <v>Hilton House</v>
      </c>
      <c r="M835" t="s">
        <v>2876</v>
      </c>
    </row>
    <row r="836" spans="1:13" x14ac:dyDescent="0.3">
      <c r="A836">
        <v>833</v>
      </c>
      <c r="B836" t="s">
        <v>2877</v>
      </c>
      <c r="C836" t="s">
        <v>307</v>
      </c>
      <c r="D836" t="s">
        <v>2353</v>
      </c>
      <c r="E836" t="s">
        <v>2878</v>
      </c>
      <c r="F836" t="s">
        <v>1045</v>
      </c>
      <c r="G836" t="str">
        <f xml:space="preserve"> PROPER(_xlfn.CONCAT(Table1[[#This Row],[Title]]," ",Table1[[#This Row],[First Name]]," ",Table1[[#This Row],[Last Name]]))</f>
        <v>Mr Rex Rollins</v>
      </c>
      <c r="H836" t="str">
        <f>SUBSTITUTE(Table1[[#This Row],[Street]],"Road"," Road")</f>
        <v>Arlesey Close</v>
      </c>
      <c r="I836" t="str">
        <f>SUBSTITUTE(Table1[[#This Row],[Separate combined words ]],"?","")</f>
        <v>Arlesey Close</v>
      </c>
      <c r="J836" t="str">
        <f>TRIM(Table1[[#This Row],[Remove Question Mark "?"]])</f>
        <v>Arlesey Close</v>
      </c>
      <c r="K836" t="str">
        <f>PROPER(Table1[[#This Row],[Leading, Multiple &amp; Trailing spaces]])</f>
        <v>Arlesey Close</v>
      </c>
      <c r="L836" t="str">
        <f t="shared" si="12"/>
        <v>Arlesey Close</v>
      </c>
      <c r="M836" t="s">
        <v>2878</v>
      </c>
    </row>
    <row r="837" spans="1:13" x14ac:dyDescent="0.3">
      <c r="A837">
        <v>834</v>
      </c>
      <c r="B837" t="s">
        <v>2879</v>
      </c>
      <c r="C837" t="s">
        <v>2880</v>
      </c>
      <c r="D837" t="s">
        <v>2353</v>
      </c>
      <c r="E837" t="s">
        <v>2881</v>
      </c>
      <c r="F837" t="s">
        <v>2882</v>
      </c>
      <c r="G837" t="str">
        <f xml:space="preserve"> PROPER(_xlfn.CONCAT(Table1[[#This Row],[Title]]," ",Table1[[#This Row],[First Name]]," ",Table1[[#This Row],[Last Name]]))</f>
        <v>Mr Aubrey Woodward</v>
      </c>
      <c r="H837" t="str">
        <f>SUBSTITUTE(Table1[[#This Row],[Street]],"Road"," Road")</f>
        <v>Rock Green</v>
      </c>
      <c r="I837" t="str">
        <f>SUBSTITUTE(Table1[[#This Row],[Separate combined words ]],"?","")</f>
        <v>Rock Green</v>
      </c>
      <c r="J837" t="str">
        <f>TRIM(Table1[[#This Row],[Remove Question Mark "?"]])</f>
        <v>Rock Green</v>
      </c>
      <c r="K837" t="str">
        <f>PROPER(Table1[[#This Row],[Leading, Multiple &amp; Trailing spaces]])</f>
        <v>Rock Green</v>
      </c>
      <c r="L837" t="str">
        <f t="shared" ref="L837:L900" si="13">TRIM(PROPER(SUBSTITUTE(SUBSTITUTE((E837),"?",""),"Road"," Road")))</f>
        <v>Rock Green</v>
      </c>
      <c r="M837" t="s">
        <v>2881</v>
      </c>
    </row>
    <row r="838" spans="1:13" x14ac:dyDescent="0.3">
      <c r="A838">
        <v>835</v>
      </c>
      <c r="B838" t="s">
        <v>2883</v>
      </c>
      <c r="C838" t="s">
        <v>2590</v>
      </c>
      <c r="D838" t="s">
        <v>2353</v>
      </c>
      <c r="E838" t="s">
        <v>2884</v>
      </c>
      <c r="F838" t="s">
        <v>2885</v>
      </c>
      <c r="G838" t="str">
        <f xml:space="preserve"> PROPER(_xlfn.CONCAT(Table1[[#This Row],[Title]]," ",Table1[[#This Row],[First Name]]," ",Table1[[#This Row],[Last Name]]))</f>
        <v>Mr Hyman Lugo</v>
      </c>
      <c r="H838" t="str">
        <f>SUBSTITUTE(Table1[[#This Row],[Street]],"Road"," Road")</f>
        <v>Loughbourough Park</v>
      </c>
      <c r="I838" t="str">
        <f>SUBSTITUTE(Table1[[#This Row],[Separate combined words ]],"?","")</f>
        <v>Loughbourough Park</v>
      </c>
      <c r="J838" t="str">
        <f>TRIM(Table1[[#This Row],[Remove Question Mark "?"]])</f>
        <v>Loughbourough Park</v>
      </c>
      <c r="K838" t="str">
        <f>PROPER(Table1[[#This Row],[Leading, Multiple &amp; Trailing spaces]])</f>
        <v>Loughbourough Park</v>
      </c>
      <c r="L838" t="str">
        <f t="shared" si="13"/>
        <v>Loughbourough Park</v>
      </c>
      <c r="M838" t="s">
        <v>2884</v>
      </c>
    </row>
    <row r="839" spans="1:13" x14ac:dyDescent="0.3">
      <c r="A839">
        <v>836</v>
      </c>
      <c r="B839" t="s">
        <v>2615</v>
      </c>
      <c r="C839" t="s">
        <v>391</v>
      </c>
      <c r="D839" t="s">
        <v>318</v>
      </c>
      <c r="E839" t="s">
        <v>2886</v>
      </c>
      <c r="F839" t="s">
        <v>1507</v>
      </c>
      <c r="G839" t="str">
        <f xml:space="preserve"> PROPER(_xlfn.CONCAT(Table1[[#This Row],[Title]]," ",Table1[[#This Row],[First Name]]," ",Table1[[#This Row],[Last Name]]))</f>
        <v>Dr Chris Zapata</v>
      </c>
      <c r="H839" t="str">
        <f>SUBSTITUTE(Table1[[#This Row],[Street]],"Road"," Road")</f>
        <v>Willow Gardens</v>
      </c>
      <c r="I839" t="str">
        <f>SUBSTITUTE(Table1[[#This Row],[Separate combined words ]],"?","")</f>
        <v>Willow Gardens</v>
      </c>
      <c r="J839" t="str">
        <f>TRIM(Table1[[#This Row],[Remove Question Mark "?"]])</f>
        <v>Willow Gardens</v>
      </c>
      <c r="K839" t="str">
        <f>PROPER(Table1[[#This Row],[Leading, Multiple &amp; Trailing spaces]])</f>
        <v>Willow Gardens</v>
      </c>
      <c r="L839" t="str">
        <f t="shared" si="13"/>
        <v>Willow Gardens</v>
      </c>
      <c r="M839" t="s">
        <v>2886</v>
      </c>
    </row>
    <row r="840" spans="1:13" x14ac:dyDescent="0.3">
      <c r="A840">
        <v>837</v>
      </c>
      <c r="B840" t="s">
        <v>996</v>
      </c>
      <c r="C840" t="s">
        <v>2887</v>
      </c>
      <c r="D840" t="s">
        <v>2353</v>
      </c>
      <c r="E840" t="s">
        <v>2888</v>
      </c>
      <c r="F840" t="s">
        <v>1205</v>
      </c>
      <c r="G840" t="str">
        <f xml:space="preserve"> PROPER(_xlfn.CONCAT(Table1[[#This Row],[Title]]," ",Table1[[#This Row],[First Name]]," ",Table1[[#This Row],[Last Name]]))</f>
        <v>Mr Ellis Barr</v>
      </c>
      <c r="H840" t="str">
        <f>SUBSTITUTE(Table1[[#This Row],[Street]],"Road"," Road")</f>
        <v>Sterling Close</v>
      </c>
      <c r="I840" t="str">
        <f>SUBSTITUTE(Table1[[#This Row],[Separate combined words ]],"?","")</f>
        <v>Sterling Close</v>
      </c>
      <c r="J840" t="str">
        <f>TRIM(Table1[[#This Row],[Remove Question Mark "?"]])</f>
        <v>Sterling Close</v>
      </c>
      <c r="K840" t="str">
        <f>PROPER(Table1[[#This Row],[Leading, Multiple &amp; Trailing spaces]])</f>
        <v>Sterling Close</v>
      </c>
      <c r="L840" t="str">
        <f t="shared" si="13"/>
        <v>Sterling Close</v>
      </c>
      <c r="M840" t="s">
        <v>2888</v>
      </c>
    </row>
    <row r="841" spans="1:13" x14ac:dyDescent="0.3">
      <c r="A841">
        <v>838</v>
      </c>
      <c r="B841" t="s">
        <v>2889</v>
      </c>
      <c r="C841" t="s">
        <v>2890</v>
      </c>
      <c r="D841" t="s">
        <v>2353</v>
      </c>
      <c r="E841" t="s">
        <v>2891</v>
      </c>
      <c r="F841" t="s">
        <v>2892</v>
      </c>
      <c r="G841" t="str">
        <f xml:space="preserve"> PROPER(_xlfn.CONCAT(Table1[[#This Row],[Title]]," ",Table1[[#This Row],[First Name]]," ",Table1[[#This Row],[Last Name]]))</f>
        <v>Mr Millard Crowley</v>
      </c>
      <c r="H841" t="str">
        <f>SUBSTITUTE(Table1[[#This Row],[Street]],"Road"," Road")</f>
        <v>Dovercourt Estate</v>
      </c>
      <c r="I841" t="str">
        <f>SUBSTITUTE(Table1[[#This Row],[Separate combined words ]],"?","")</f>
        <v>Dovercourt Estate</v>
      </c>
      <c r="J841" t="str">
        <f>TRIM(Table1[[#This Row],[Remove Question Mark "?"]])</f>
        <v>Dovercourt Estate</v>
      </c>
      <c r="K841" t="str">
        <f>PROPER(Table1[[#This Row],[Leading, Multiple &amp; Trailing spaces]])</f>
        <v>Dovercourt Estate</v>
      </c>
      <c r="L841" t="str">
        <f t="shared" si="13"/>
        <v>Dovercourt Estate</v>
      </c>
      <c r="M841" t="s">
        <v>2891</v>
      </c>
    </row>
    <row r="842" spans="1:13" x14ac:dyDescent="0.3">
      <c r="A842">
        <v>839</v>
      </c>
      <c r="B842" t="s">
        <v>389</v>
      </c>
      <c r="C842" t="s">
        <v>1989</v>
      </c>
      <c r="D842" t="s">
        <v>2353</v>
      </c>
      <c r="E842" t="s">
        <v>2893</v>
      </c>
      <c r="F842" t="s">
        <v>2894</v>
      </c>
      <c r="G842" t="str">
        <f xml:space="preserve"> PROPER(_xlfn.CONCAT(Table1[[#This Row],[Title]]," ",Table1[[#This Row],[First Name]]," ",Table1[[#This Row],[Last Name]]))</f>
        <v>Mr Johnie Morgan</v>
      </c>
      <c r="H842" t="str">
        <f>SUBSTITUTE(Table1[[#This Row],[Street]],"Road"," Road")</f>
        <v>Hobart Place</v>
      </c>
      <c r="I842" t="str">
        <f>SUBSTITUTE(Table1[[#This Row],[Separate combined words ]],"?","")</f>
        <v>Hobart Place</v>
      </c>
      <c r="J842" t="str">
        <f>TRIM(Table1[[#This Row],[Remove Question Mark "?"]])</f>
        <v>Hobart Place</v>
      </c>
      <c r="K842" t="str">
        <f>PROPER(Table1[[#This Row],[Leading, Multiple &amp; Trailing spaces]])</f>
        <v>Hobart Place</v>
      </c>
      <c r="L842" t="str">
        <f t="shared" si="13"/>
        <v>Hobart Place</v>
      </c>
      <c r="M842" t="s">
        <v>2893</v>
      </c>
    </row>
    <row r="843" spans="1:13" x14ac:dyDescent="0.3">
      <c r="A843">
        <v>840</v>
      </c>
      <c r="B843" t="s">
        <v>2895</v>
      </c>
      <c r="C843" t="s">
        <v>538</v>
      </c>
      <c r="D843" t="s">
        <v>2353</v>
      </c>
      <c r="E843" t="s">
        <v>1456</v>
      </c>
      <c r="F843" t="s">
        <v>523</v>
      </c>
      <c r="G843" t="str">
        <f xml:space="preserve"> PROPER(_xlfn.CONCAT(Table1[[#This Row],[Title]]," ",Table1[[#This Row],[First Name]]," ",Table1[[#This Row],[Last Name]]))</f>
        <v>Mr Hank Barlow</v>
      </c>
      <c r="H843" t="str">
        <f>SUBSTITUTE(Table1[[#This Row],[Street]],"Road"," Road")</f>
        <v>Goldfinch  Road</v>
      </c>
      <c r="I843" t="str">
        <f>SUBSTITUTE(Table1[[#This Row],[Separate combined words ]],"?","")</f>
        <v>Goldfinch  Road</v>
      </c>
      <c r="J843" t="str">
        <f>TRIM(Table1[[#This Row],[Remove Question Mark "?"]])</f>
        <v>Goldfinch Road</v>
      </c>
      <c r="K843" t="str">
        <f>PROPER(Table1[[#This Row],[Leading, Multiple &amp; Trailing spaces]])</f>
        <v>Goldfinch Road</v>
      </c>
      <c r="L843" t="str">
        <f t="shared" si="13"/>
        <v>Goldfinch Road</v>
      </c>
      <c r="M843" t="s">
        <v>1456</v>
      </c>
    </row>
    <row r="844" spans="1:13" x14ac:dyDescent="0.3">
      <c r="A844">
        <v>841</v>
      </c>
      <c r="B844" t="s">
        <v>2523</v>
      </c>
      <c r="C844" t="s">
        <v>17</v>
      </c>
      <c r="D844" t="s">
        <v>2353</v>
      </c>
      <c r="E844" t="s">
        <v>2896</v>
      </c>
      <c r="F844" t="s">
        <v>1579</v>
      </c>
      <c r="G844" t="str">
        <f xml:space="preserve"> PROPER(_xlfn.CONCAT(Table1[[#This Row],[Title]]," ",Table1[[#This Row],[First Name]]," ",Table1[[#This Row],[Last Name]]))</f>
        <v>Mr Andreas Washington</v>
      </c>
      <c r="H844" t="str">
        <f>SUBSTITUTE(Table1[[#This Row],[Street]],"Road"," Road")</f>
        <v>Queens Elm</v>
      </c>
      <c r="I844" t="str">
        <f>SUBSTITUTE(Table1[[#This Row],[Separate combined words ]],"?","")</f>
        <v>Queens Elm</v>
      </c>
      <c r="J844" t="str">
        <f>TRIM(Table1[[#This Row],[Remove Question Mark "?"]])</f>
        <v>Queens Elm</v>
      </c>
      <c r="K844" t="str">
        <f>PROPER(Table1[[#This Row],[Leading, Multiple &amp; Trailing spaces]])</f>
        <v>Queens Elm</v>
      </c>
      <c r="L844" t="str">
        <f t="shared" si="13"/>
        <v>Queens Elm</v>
      </c>
      <c r="M844" t="s">
        <v>2896</v>
      </c>
    </row>
    <row r="845" spans="1:13" x14ac:dyDescent="0.3">
      <c r="A845">
        <v>842</v>
      </c>
      <c r="B845" t="s">
        <v>2897</v>
      </c>
      <c r="C845" t="s">
        <v>2898</v>
      </c>
      <c r="D845" t="s">
        <v>2353</v>
      </c>
      <c r="E845" t="s">
        <v>2899</v>
      </c>
      <c r="F845" t="s">
        <v>695</v>
      </c>
      <c r="G845" t="str">
        <f xml:space="preserve"> PROPER(_xlfn.CONCAT(Table1[[#This Row],[Title]]," ",Table1[[#This Row],[First Name]]," ",Table1[[#This Row],[Last Name]]))</f>
        <v>Mr Gregg Orr</v>
      </c>
      <c r="H845" t="str">
        <f>SUBSTITUTE(Table1[[#This Row],[Street]],"Road"," Road")</f>
        <v>Eaton Lane</v>
      </c>
      <c r="I845" t="str">
        <f>SUBSTITUTE(Table1[[#This Row],[Separate combined words ]],"?","")</f>
        <v>Eaton Lane</v>
      </c>
      <c r="J845" t="str">
        <f>TRIM(Table1[[#This Row],[Remove Question Mark "?"]])</f>
        <v>Eaton Lane</v>
      </c>
      <c r="K845" t="str">
        <f>PROPER(Table1[[#This Row],[Leading, Multiple &amp; Trailing spaces]])</f>
        <v>Eaton Lane</v>
      </c>
      <c r="L845" t="str">
        <f t="shared" si="13"/>
        <v>Eaton Lane</v>
      </c>
      <c r="M845" t="s">
        <v>2899</v>
      </c>
    </row>
    <row r="846" spans="1:13" x14ac:dyDescent="0.3">
      <c r="A846">
        <v>843</v>
      </c>
      <c r="B846" t="s">
        <v>2900</v>
      </c>
      <c r="C846" t="s">
        <v>603</v>
      </c>
      <c r="D846" t="s">
        <v>2353</v>
      </c>
      <c r="E846" t="s">
        <v>2901</v>
      </c>
      <c r="F846" t="s">
        <v>2902</v>
      </c>
      <c r="G846" t="str">
        <f xml:space="preserve"> PROPER(_xlfn.CONCAT(Table1[[#This Row],[Title]]," ",Table1[[#This Row],[First Name]]," ",Table1[[#This Row],[Last Name]]))</f>
        <v>Mr Terry John</v>
      </c>
      <c r="H846" t="str">
        <f>SUBSTITUTE(Table1[[#This Row],[Street]],"Road"," Road")</f>
        <v>Pasteur Gardens</v>
      </c>
      <c r="I846" t="str">
        <f>SUBSTITUTE(Table1[[#This Row],[Separate combined words ]],"?","")</f>
        <v>Pasteur Gardens</v>
      </c>
      <c r="J846" t="str">
        <f>TRIM(Table1[[#This Row],[Remove Question Mark "?"]])</f>
        <v>Pasteur Gardens</v>
      </c>
      <c r="K846" t="str">
        <f>PROPER(Table1[[#This Row],[Leading, Multiple &amp; Trailing spaces]])</f>
        <v>Pasteur Gardens</v>
      </c>
      <c r="L846" t="str">
        <f t="shared" si="13"/>
        <v>Pasteur Gardens</v>
      </c>
      <c r="M846" t="s">
        <v>2901</v>
      </c>
    </row>
    <row r="847" spans="1:13" x14ac:dyDescent="0.3">
      <c r="A847">
        <v>844</v>
      </c>
      <c r="B847" t="s">
        <v>2903</v>
      </c>
      <c r="C847" t="s">
        <v>503</v>
      </c>
      <c r="D847" t="s">
        <v>318</v>
      </c>
      <c r="E847" t="s">
        <v>2904</v>
      </c>
      <c r="F847" t="s">
        <v>2905</v>
      </c>
      <c r="G847" t="str">
        <f xml:space="preserve"> PROPER(_xlfn.CONCAT(Table1[[#This Row],[Title]]," ",Table1[[#This Row],[First Name]]," ",Table1[[#This Row],[Last Name]]))</f>
        <v>Dr Glen Jewell</v>
      </c>
      <c r="H847" t="str">
        <f>SUBSTITUTE(Table1[[#This Row],[Street]],"Road"," Road")</f>
        <v>Grange Lodge</v>
      </c>
      <c r="I847" t="str">
        <f>SUBSTITUTE(Table1[[#This Row],[Separate combined words ]],"?","")</f>
        <v>Grange Lodge</v>
      </c>
      <c r="J847" t="str">
        <f>TRIM(Table1[[#This Row],[Remove Question Mark "?"]])</f>
        <v>Grange Lodge</v>
      </c>
      <c r="K847" t="str">
        <f>PROPER(Table1[[#This Row],[Leading, Multiple &amp; Trailing spaces]])</f>
        <v>Grange Lodge</v>
      </c>
      <c r="L847" t="str">
        <f t="shared" si="13"/>
        <v>Grange Lodge</v>
      </c>
      <c r="M847" t="s">
        <v>2904</v>
      </c>
    </row>
    <row r="848" spans="1:13" x14ac:dyDescent="0.3">
      <c r="A848">
        <v>845</v>
      </c>
      <c r="B848" t="s">
        <v>2906</v>
      </c>
      <c r="C848" t="s">
        <v>2907</v>
      </c>
      <c r="D848" t="s">
        <v>2353</v>
      </c>
      <c r="E848" t="s">
        <v>2908</v>
      </c>
      <c r="F848" t="s">
        <v>222</v>
      </c>
      <c r="G848" t="str">
        <f xml:space="preserve"> PROPER(_xlfn.CONCAT(Table1[[#This Row],[Title]]," ",Table1[[#This Row],[First Name]]," ",Table1[[#This Row],[Last Name]]))</f>
        <v>Mr Devon Cummings</v>
      </c>
      <c r="H848" t="str">
        <f>SUBSTITUTE(Table1[[#This Row],[Street]],"Road"," Road")</f>
        <v>Christopher Street</v>
      </c>
      <c r="I848" t="str">
        <f>SUBSTITUTE(Table1[[#This Row],[Separate combined words ]],"?","")</f>
        <v>Christopher Street</v>
      </c>
      <c r="J848" t="str">
        <f>TRIM(Table1[[#This Row],[Remove Question Mark "?"]])</f>
        <v>Christopher Street</v>
      </c>
      <c r="K848" t="str">
        <f>PROPER(Table1[[#This Row],[Leading, Multiple &amp; Trailing spaces]])</f>
        <v>Christopher Street</v>
      </c>
      <c r="L848" t="str">
        <f t="shared" si="13"/>
        <v>Christopher Street</v>
      </c>
      <c r="M848" t="s">
        <v>2908</v>
      </c>
    </row>
    <row r="849" spans="1:13" x14ac:dyDescent="0.3">
      <c r="A849">
        <v>846</v>
      </c>
      <c r="B849" t="s">
        <v>2909</v>
      </c>
      <c r="C849" t="s">
        <v>2910</v>
      </c>
      <c r="D849" t="s">
        <v>2353</v>
      </c>
      <c r="E849" t="s">
        <v>2911</v>
      </c>
      <c r="F849" t="s">
        <v>2912</v>
      </c>
      <c r="G849" t="str">
        <f xml:space="preserve"> PROPER(_xlfn.CONCAT(Table1[[#This Row],[Title]]," ",Table1[[#This Row],[First Name]]," ",Table1[[#This Row],[Last Name]]))</f>
        <v>Mr Darrell Rowell</v>
      </c>
      <c r="H849" t="str">
        <f>SUBSTITUTE(Table1[[#This Row],[Street]],"Road"," Road")</f>
        <v>Pardon Street</v>
      </c>
      <c r="I849" t="str">
        <f>SUBSTITUTE(Table1[[#This Row],[Separate combined words ]],"?","")</f>
        <v>Pardon Street</v>
      </c>
      <c r="J849" t="str">
        <f>TRIM(Table1[[#This Row],[Remove Question Mark "?"]])</f>
        <v>Pardon Street</v>
      </c>
      <c r="K849" t="str">
        <f>PROPER(Table1[[#This Row],[Leading, Multiple &amp; Trailing spaces]])</f>
        <v>Pardon Street</v>
      </c>
      <c r="L849" t="str">
        <f t="shared" si="13"/>
        <v>Pardon Street</v>
      </c>
      <c r="M849" t="s">
        <v>2911</v>
      </c>
    </row>
    <row r="850" spans="1:13" x14ac:dyDescent="0.3">
      <c r="A850">
        <v>847</v>
      </c>
      <c r="B850" t="s">
        <v>2913</v>
      </c>
      <c r="C850" t="s">
        <v>1122</v>
      </c>
      <c r="D850" t="s">
        <v>2353</v>
      </c>
      <c r="E850" t="s">
        <v>2914</v>
      </c>
      <c r="F850" t="s">
        <v>2709</v>
      </c>
      <c r="G850" t="str">
        <f xml:space="preserve"> PROPER(_xlfn.CONCAT(Table1[[#This Row],[Title]]," ",Table1[[#This Row],[First Name]]," ",Table1[[#This Row],[Last Name]]))</f>
        <v>Mr Nathaniel Laird</v>
      </c>
      <c r="H850" t="str">
        <f>SUBSTITUTE(Table1[[#This Row],[Street]],"Road"," Road")</f>
        <v>Geneva Court</v>
      </c>
      <c r="I850" t="str">
        <f>SUBSTITUTE(Table1[[#This Row],[Separate combined words ]],"?","")</f>
        <v>Geneva Court</v>
      </c>
      <c r="J850" t="str">
        <f>TRIM(Table1[[#This Row],[Remove Question Mark "?"]])</f>
        <v>Geneva Court</v>
      </c>
      <c r="K850" t="str">
        <f>PROPER(Table1[[#This Row],[Leading, Multiple &amp; Trailing spaces]])</f>
        <v>Geneva Court</v>
      </c>
      <c r="L850" t="str">
        <f t="shared" si="13"/>
        <v>Geneva Court</v>
      </c>
      <c r="M850" t="s">
        <v>2914</v>
      </c>
    </row>
    <row r="851" spans="1:13" x14ac:dyDescent="0.3">
      <c r="A851">
        <v>848</v>
      </c>
      <c r="B851" t="s">
        <v>2915</v>
      </c>
      <c r="C851" t="s">
        <v>2916</v>
      </c>
      <c r="D851" t="s">
        <v>2353</v>
      </c>
      <c r="E851" t="s">
        <v>2917</v>
      </c>
      <c r="F851" t="s">
        <v>2918</v>
      </c>
      <c r="G851" t="str">
        <f xml:space="preserve"> PROPER(_xlfn.CONCAT(Table1[[#This Row],[Title]]," ",Table1[[#This Row],[First Name]]," ",Table1[[#This Row],[Last Name]]))</f>
        <v>Mr Hubert Tanner</v>
      </c>
      <c r="H851" t="str">
        <f>SUBSTITUTE(Table1[[#This Row],[Street]],"Road"," Road")</f>
        <v>Gutteridge Court</v>
      </c>
      <c r="I851" t="str">
        <f>SUBSTITUTE(Table1[[#This Row],[Separate combined words ]],"?","")</f>
        <v>Gutteridge Court</v>
      </c>
      <c r="J851" t="str">
        <f>TRIM(Table1[[#This Row],[Remove Question Mark "?"]])</f>
        <v>Gutteridge Court</v>
      </c>
      <c r="K851" t="str">
        <f>PROPER(Table1[[#This Row],[Leading, Multiple &amp; Trailing spaces]])</f>
        <v>Gutteridge Court</v>
      </c>
      <c r="L851" t="str">
        <f t="shared" si="13"/>
        <v>Gutteridge Court</v>
      </c>
      <c r="M851" t="s">
        <v>2917</v>
      </c>
    </row>
    <row r="852" spans="1:13" x14ac:dyDescent="0.3">
      <c r="A852">
        <v>849</v>
      </c>
      <c r="B852" t="s">
        <v>2919</v>
      </c>
      <c r="C852" t="s">
        <v>2920</v>
      </c>
      <c r="D852" t="s">
        <v>2353</v>
      </c>
      <c r="E852" t="s">
        <v>2921</v>
      </c>
      <c r="F852" t="s">
        <v>2922</v>
      </c>
      <c r="G852" t="str">
        <f xml:space="preserve"> PROPER(_xlfn.CONCAT(Table1[[#This Row],[Title]]," ",Table1[[#This Row],[First Name]]," ",Table1[[#This Row],[Last Name]]))</f>
        <v>Mr Isaiah Hamm</v>
      </c>
      <c r="H852" t="str">
        <f>SUBSTITUTE(Table1[[#This Row],[Street]],"Road"," Road")</f>
        <v>Earles Cottages</v>
      </c>
      <c r="I852" t="str">
        <f>SUBSTITUTE(Table1[[#This Row],[Separate combined words ]],"?","")</f>
        <v>Earles Cottages</v>
      </c>
      <c r="J852" t="str">
        <f>TRIM(Table1[[#This Row],[Remove Question Mark "?"]])</f>
        <v>Earles Cottages</v>
      </c>
      <c r="K852" t="str">
        <f>PROPER(Table1[[#This Row],[Leading, Multiple &amp; Trailing spaces]])</f>
        <v>Earles Cottages</v>
      </c>
      <c r="L852" t="str">
        <f t="shared" si="13"/>
        <v>Earles Cottages</v>
      </c>
      <c r="M852" t="s">
        <v>2921</v>
      </c>
    </row>
    <row r="853" spans="1:13" x14ac:dyDescent="0.3">
      <c r="A853">
        <v>850</v>
      </c>
      <c r="B853" t="s">
        <v>2923</v>
      </c>
      <c r="C853" t="s">
        <v>2924</v>
      </c>
      <c r="D853" t="s">
        <v>2353</v>
      </c>
      <c r="E853" t="s">
        <v>2925</v>
      </c>
      <c r="F853" t="s">
        <v>2926</v>
      </c>
      <c r="G853" t="str">
        <f xml:space="preserve"> PROPER(_xlfn.CONCAT(Table1[[#This Row],[Title]]," ",Table1[[#This Row],[First Name]]," ",Table1[[#This Row],[Last Name]]))</f>
        <v>Mr Nolan Akins</v>
      </c>
      <c r="H853" t="str">
        <f>SUBSTITUTE(Table1[[#This Row],[Street]],"Road"," Road")</f>
        <v>Royal Victoria</v>
      </c>
      <c r="I853" t="str">
        <f>SUBSTITUTE(Table1[[#This Row],[Separate combined words ]],"?","")</f>
        <v>Royal Victoria</v>
      </c>
      <c r="J853" t="str">
        <f>TRIM(Table1[[#This Row],[Remove Question Mark "?"]])</f>
        <v>Royal Victoria</v>
      </c>
      <c r="K853" t="str">
        <f>PROPER(Table1[[#This Row],[Leading, Multiple &amp; Trailing spaces]])</f>
        <v>Royal Victoria</v>
      </c>
      <c r="L853" t="str">
        <f t="shared" si="13"/>
        <v>Royal Victoria</v>
      </c>
      <c r="M853" t="s">
        <v>2925</v>
      </c>
    </row>
    <row r="854" spans="1:13" x14ac:dyDescent="0.3">
      <c r="A854">
        <v>851</v>
      </c>
      <c r="B854" t="s">
        <v>2927</v>
      </c>
      <c r="C854" t="s">
        <v>2928</v>
      </c>
      <c r="D854" t="s">
        <v>2353</v>
      </c>
      <c r="E854" t="s">
        <v>2929</v>
      </c>
      <c r="F854" t="s">
        <v>2930</v>
      </c>
      <c r="G854" t="str">
        <f xml:space="preserve"> PROPER(_xlfn.CONCAT(Table1[[#This Row],[Title]]," ",Table1[[#This Row],[First Name]]," ",Table1[[#This Row],[Last Name]]))</f>
        <v>Mr Blaine Blake</v>
      </c>
      <c r="H854" t="str">
        <f>SUBSTITUTE(Table1[[#This Row],[Street]],"Road"," Road")</f>
        <v>Trinity Lane</v>
      </c>
      <c r="I854" t="str">
        <f>SUBSTITUTE(Table1[[#This Row],[Separate combined words ]],"?","")</f>
        <v>Trinity Lane</v>
      </c>
      <c r="J854" t="str">
        <f>TRIM(Table1[[#This Row],[Remove Question Mark "?"]])</f>
        <v>Trinity Lane</v>
      </c>
      <c r="K854" t="str">
        <f>PROPER(Table1[[#This Row],[Leading, Multiple &amp; Trailing spaces]])</f>
        <v>Trinity Lane</v>
      </c>
      <c r="L854" t="str">
        <f t="shared" si="13"/>
        <v>Trinity Lane</v>
      </c>
      <c r="M854" t="s">
        <v>2929</v>
      </c>
    </row>
    <row r="855" spans="1:13" x14ac:dyDescent="0.3">
      <c r="A855">
        <v>852</v>
      </c>
      <c r="B855" t="s">
        <v>1070</v>
      </c>
      <c r="C855" t="s">
        <v>2931</v>
      </c>
      <c r="D855" t="s">
        <v>2353</v>
      </c>
      <c r="E855" t="s">
        <v>2932</v>
      </c>
      <c r="F855" t="s">
        <v>1605</v>
      </c>
      <c r="G855" t="str">
        <f xml:space="preserve"> PROPER(_xlfn.CONCAT(Table1[[#This Row],[Title]]," ",Table1[[#This Row],[First Name]]," ",Table1[[#This Row],[Last Name]]))</f>
        <v>Mr Leon Tobin</v>
      </c>
      <c r="H855" t="str">
        <f>SUBSTITUTE(Table1[[#This Row],[Street]],"Road"," Road")</f>
        <v>Balliol  Road</v>
      </c>
      <c r="I855" t="str">
        <f>SUBSTITUTE(Table1[[#This Row],[Separate combined words ]],"?","")</f>
        <v>Balliol  Road</v>
      </c>
      <c r="J855" t="str">
        <f>TRIM(Table1[[#This Row],[Remove Question Mark "?"]])</f>
        <v>Balliol Road</v>
      </c>
      <c r="K855" t="str">
        <f>PROPER(Table1[[#This Row],[Leading, Multiple &amp; Trailing spaces]])</f>
        <v>Balliol Road</v>
      </c>
      <c r="L855" t="str">
        <f t="shared" si="13"/>
        <v>Balliol Road</v>
      </c>
      <c r="M855" t="s">
        <v>2932</v>
      </c>
    </row>
    <row r="856" spans="1:13" x14ac:dyDescent="0.3">
      <c r="A856">
        <v>853</v>
      </c>
      <c r="B856" t="s">
        <v>2933</v>
      </c>
      <c r="C856" t="s">
        <v>1748</v>
      </c>
      <c r="D856" t="s">
        <v>2353</v>
      </c>
      <c r="E856" t="s">
        <v>2934</v>
      </c>
      <c r="F856" t="s">
        <v>596</v>
      </c>
      <c r="G856" t="str">
        <f xml:space="preserve"> PROPER(_xlfn.CONCAT(Table1[[#This Row],[Title]]," ",Table1[[#This Row],[First Name]]," ",Table1[[#This Row],[Last Name]]))</f>
        <v>Mr Basil Mccray</v>
      </c>
      <c r="H856" t="str">
        <f>SUBSTITUTE(Table1[[#This Row],[Street]],"Road"," Road")</f>
        <v>Chelsworth Drive</v>
      </c>
      <c r="I856" t="str">
        <f>SUBSTITUTE(Table1[[#This Row],[Separate combined words ]],"?","")</f>
        <v>Chelsworth Drive</v>
      </c>
      <c r="J856" t="str">
        <f>TRIM(Table1[[#This Row],[Remove Question Mark "?"]])</f>
        <v>Chelsworth Drive</v>
      </c>
      <c r="K856" t="str">
        <f>PROPER(Table1[[#This Row],[Leading, Multiple &amp; Trailing spaces]])</f>
        <v>Chelsworth Drive</v>
      </c>
      <c r="L856" t="str">
        <f t="shared" si="13"/>
        <v>Chelsworth Drive</v>
      </c>
      <c r="M856" t="s">
        <v>2934</v>
      </c>
    </row>
    <row r="857" spans="1:13" x14ac:dyDescent="0.3">
      <c r="A857">
        <v>854</v>
      </c>
      <c r="B857" t="s">
        <v>2935</v>
      </c>
      <c r="C857" t="s">
        <v>2936</v>
      </c>
      <c r="D857" t="s">
        <v>2353</v>
      </c>
      <c r="E857" t="s">
        <v>2937</v>
      </c>
      <c r="F857" t="s">
        <v>1542</v>
      </c>
      <c r="G857" t="str">
        <f xml:space="preserve"> PROPER(_xlfn.CONCAT(Table1[[#This Row],[Title]]," ",Table1[[#This Row],[First Name]]," ",Table1[[#This Row],[Last Name]]))</f>
        <v>Mr Marc Oakley</v>
      </c>
      <c r="H857" t="str">
        <f>SUBSTITUTE(Table1[[#This Row],[Street]],"Road"," Road")</f>
        <v>Station Crescent</v>
      </c>
      <c r="I857" t="str">
        <f>SUBSTITUTE(Table1[[#This Row],[Separate combined words ]],"?","")</f>
        <v>Station Crescent</v>
      </c>
      <c r="J857" t="str">
        <f>TRIM(Table1[[#This Row],[Remove Question Mark "?"]])</f>
        <v>Station Crescent</v>
      </c>
      <c r="K857" t="str">
        <f>PROPER(Table1[[#This Row],[Leading, Multiple &amp; Trailing spaces]])</f>
        <v>Station Crescent</v>
      </c>
      <c r="L857" t="str">
        <f t="shared" si="13"/>
        <v>Station Crescent</v>
      </c>
      <c r="M857" t="s">
        <v>2937</v>
      </c>
    </row>
    <row r="858" spans="1:13" x14ac:dyDescent="0.3">
      <c r="A858">
        <v>855</v>
      </c>
      <c r="B858" t="s">
        <v>2938</v>
      </c>
      <c r="C858" t="s">
        <v>2939</v>
      </c>
      <c r="D858" t="s">
        <v>2353</v>
      </c>
      <c r="E858" t="s">
        <v>2940</v>
      </c>
      <c r="F858" t="s">
        <v>407</v>
      </c>
      <c r="G858" t="str">
        <f xml:space="preserve"> PROPER(_xlfn.CONCAT(Table1[[#This Row],[Title]]," ",Table1[[#This Row],[First Name]]," ",Table1[[#This Row],[Last Name]]))</f>
        <v>Mr Jeffery Pace</v>
      </c>
      <c r="H858" t="str">
        <f>SUBSTITUTE(Table1[[#This Row],[Street]],"Road"," Road")</f>
        <v>Loddige's Terrace</v>
      </c>
      <c r="I858" t="str">
        <f>SUBSTITUTE(Table1[[#This Row],[Separate combined words ]],"?","")</f>
        <v>Loddige's Terrace</v>
      </c>
      <c r="J858" t="str">
        <f>TRIM(Table1[[#This Row],[Remove Question Mark "?"]])</f>
        <v>Loddige's Terrace</v>
      </c>
      <c r="K858" t="str">
        <f>PROPER(Table1[[#This Row],[Leading, Multiple &amp; Trailing spaces]])</f>
        <v>Loddige'S Terrace</v>
      </c>
      <c r="L858" t="str">
        <f t="shared" si="13"/>
        <v>Loddige'S Terrace</v>
      </c>
      <c r="M858" t="s">
        <v>3439</v>
      </c>
    </row>
    <row r="859" spans="1:13" x14ac:dyDescent="0.3">
      <c r="A859">
        <v>856</v>
      </c>
      <c r="B859" t="s">
        <v>2941</v>
      </c>
      <c r="C859" t="s">
        <v>679</v>
      </c>
      <c r="D859" t="s">
        <v>2353</v>
      </c>
      <c r="E859" t="s">
        <v>2942</v>
      </c>
      <c r="F859" t="s">
        <v>2943</v>
      </c>
      <c r="G859" t="str">
        <f xml:space="preserve"> PROPER(_xlfn.CONCAT(Table1[[#This Row],[Title]]," ",Table1[[#This Row],[First Name]]," ",Table1[[#This Row],[Last Name]]))</f>
        <v>Mr Dwain Ohara</v>
      </c>
      <c r="H859" t="str">
        <f>SUBSTITUTE(Table1[[#This Row],[Street]],"Road"," Road")</f>
        <v>Nassau Place</v>
      </c>
      <c r="I859" t="str">
        <f>SUBSTITUTE(Table1[[#This Row],[Separate combined words ]],"?","")</f>
        <v>Nassau Place</v>
      </c>
      <c r="J859" t="str">
        <f>TRIM(Table1[[#This Row],[Remove Question Mark "?"]])</f>
        <v>Nassau Place</v>
      </c>
      <c r="K859" t="str">
        <f>PROPER(Table1[[#This Row],[Leading, Multiple &amp; Trailing spaces]])</f>
        <v>Nassau Place</v>
      </c>
      <c r="L859" t="str">
        <f t="shared" si="13"/>
        <v>Nassau Place</v>
      </c>
      <c r="M859" t="s">
        <v>2942</v>
      </c>
    </row>
    <row r="860" spans="1:13" x14ac:dyDescent="0.3">
      <c r="A860">
        <v>857</v>
      </c>
      <c r="B860" t="s">
        <v>2944</v>
      </c>
      <c r="C860" t="s">
        <v>2945</v>
      </c>
      <c r="D860" t="s">
        <v>2353</v>
      </c>
      <c r="E860" t="s">
        <v>2946</v>
      </c>
      <c r="F860" t="s">
        <v>2947</v>
      </c>
      <c r="G860" t="str">
        <f xml:space="preserve"> PROPER(_xlfn.CONCAT(Table1[[#This Row],[Title]]," ",Table1[[#This Row],[First Name]]," ",Table1[[#This Row],[Last Name]]))</f>
        <v>Mr Don Crowell</v>
      </c>
      <c r="H860" t="str">
        <f>SUBSTITUTE(Table1[[#This Row],[Street]],"Road"," Road")</f>
        <v>Marsland Close</v>
      </c>
      <c r="I860" t="str">
        <f>SUBSTITUTE(Table1[[#This Row],[Separate combined words ]],"?","")</f>
        <v>Marsland Close</v>
      </c>
      <c r="J860" t="str">
        <f>TRIM(Table1[[#This Row],[Remove Question Mark "?"]])</f>
        <v>Marsland Close</v>
      </c>
      <c r="K860" t="str">
        <f>PROPER(Table1[[#This Row],[Leading, Multiple &amp; Trailing spaces]])</f>
        <v>Marsland Close</v>
      </c>
      <c r="L860" t="str">
        <f t="shared" si="13"/>
        <v>Marsland Close</v>
      </c>
      <c r="M860" t="s">
        <v>2946</v>
      </c>
    </row>
    <row r="861" spans="1:13" x14ac:dyDescent="0.3">
      <c r="A861">
        <v>858</v>
      </c>
      <c r="B861" t="s">
        <v>2948</v>
      </c>
      <c r="C861" t="s">
        <v>2949</v>
      </c>
      <c r="D861" t="s">
        <v>2353</v>
      </c>
      <c r="E861" t="s">
        <v>2950</v>
      </c>
      <c r="F861" t="s">
        <v>2951</v>
      </c>
      <c r="G861" t="str">
        <f xml:space="preserve"> PROPER(_xlfn.CONCAT(Table1[[#This Row],[Title]]," ",Table1[[#This Row],[First Name]]," ",Table1[[#This Row],[Last Name]]))</f>
        <v>Mr Lynwood Mckay</v>
      </c>
      <c r="H861" t="str">
        <f>SUBSTITUTE(Table1[[#This Row],[Street]],"Road"," Road")</f>
        <v>Minet  Road</v>
      </c>
      <c r="I861" t="str">
        <f>SUBSTITUTE(Table1[[#This Row],[Separate combined words ]],"?","")</f>
        <v>Minet  Road</v>
      </c>
      <c r="J861" t="str">
        <f>TRIM(Table1[[#This Row],[Remove Question Mark "?"]])</f>
        <v>Minet Road</v>
      </c>
      <c r="K861" t="str">
        <f>PROPER(Table1[[#This Row],[Leading, Multiple &amp; Trailing spaces]])</f>
        <v>Minet Road</v>
      </c>
      <c r="L861" t="str">
        <f t="shared" si="13"/>
        <v>Minet Road</v>
      </c>
      <c r="M861" t="s">
        <v>2950</v>
      </c>
    </row>
    <row r="862" spans="1:13" x14ac:dyDescent="0.3">
      <c r="A862">
        <v>859</v>
      </c>
      <c r="B862" t="s">
        <v>2389</v>
      </c>
      <c r="C862" t="s">
        <v>412</v>
      </c>
      <c r="D862" t="s">
        <v>2353</v>
      </c>
      <c r="E862" t="s">
        <v>2952</v>
      </c>
      <c r="F862" t="s">
        <v>2953</v>
      </c>
      <c r="G862" t="str">
        <f xml:space="preserve"> PROPER(_xlfn.CONCAT(Table1[[#This Row],[Title]]," ",Table1[[#This Row],[First Name]]," ",Table1[[#This Row],[Last Name]]))</f>
        <v>Mr Bryce Gore</v>
      </c>
      <c r="H862" t="str">
        <f>SUBSTITUTE(Table1[[#This Row],[Street]],"Road"," Road")</f>
        <v>Trig Lane</v>
      </c>
      <c r="I862" t="str">
        <f>SUBSTITUTE(Table1[[#This Row],[Separate combined words ]],"?","")</f>
        <v>Trig Lane</v>
      </c>
      <c r="J862" t="str">
        <f>TRIM(Table1[[#This Row],[Remove Question Mark "?"]])</f>
        <v>Trig Lane</v>
      </c>
      <c r="K862" t="str">
        <f>PROPER(Table1[[#This Row],[Leading, Multiple &amp; Trailing spaces]])</f>
        <v>Trig Lane</v>
      </c>
      <c r="L862" t="str">
        <f t="shared" si="13"/>
        <v>Trig Lane</v>
      </c>
      <c r="M862" t="s">
        <v>2952</v>
      </c>
    </row>
    <row r="863" spans="1:13" x14ac:dyDescent="0.3">
      <c r="A863">
        <v>860</v>
      </c>
      <c r="B863" t="s">
        <v>210</v>
      </c>
      <c r="C863" t="s">
        <v>954</v>
      </c>
      <c r="D863" t="s">
        <v>2353</v>
      </c>
      <c r="E863" t="s">
        <v>2954</v>
      </c>
      <c r="F863" t="s">
        <v>2955</v>
      </c>
      <c r="G863" t="str">
        <f xml:space="preserve"> PROPER(_xlfn.CONCAT(Table1[[#This Row],[Title]]," ",Table1[[#This Row],[First Name]]," ",Table1[[#This Row],[Last Name]]))</f>
        <v>Mr Dannie Latham</v>
      </c>
      <c r="H863" t="str">
        <f>SUBSTITUTE(Table1[[#This Row],[Street]],"Road"," Road")</f>
        <v>Parterstia Place</v>
      </c>
      <c r="I863" t="str">
        <f>SUBSTITUTE(Table1[[#This Row],[Separate combined words ]],"?","")</f>
        <v>Parterstia Place</v>
      </c>
      <c r="J863" t="str">
        <f>TRIM(Table1[[#This Row],[Remove Question Mark "?"]])</f>
        <v>Parterstia Place</v>
      </c>
      <c r="K863" t="str">
        <f>PROPER(Table1[[#This Row],[Leading, Multiple &amp; Trailing spaces]])</f>
        <v>Parterstia Place</v>
      </c>
      <c r="L863" t="str">
        <f t="shared" si="13"/>
        <v>Parterstia Place</v>
      </c>
      <c r="M863" t="s">
        <v>2954</v>
      </c>
    </row>
    <row r="864" spans="1:13" x14ac:dyDescent="0.3">
      <c r="A864">
        <v>861</v>
      </c>
      <c r="B864" t="s">
        <v>2511</v>
      </c>
      <c r="C864" t="s">
        <v>2956</v>
      </c>
      <c r="D864" t="s">
        <v>2353</v>
      </c>
      <c r="E864" t="s">
        <v>2957</v>
      </c>
      <c r="F864" t="s">
        <v>583</v>
      </c>
      <c r="G864" t="str">
        <f xml:space="preserve"> PROPER(_xlfn.CONCAT(Table1[[#This Row],[Title]]," ",Table1[[#This Row],[First Name]]," ",Table1[[#This Row],[Last Name]]))</f>
        <v>Mr Alden Stone</v>
      </c>
      <c r="H864" t="str">
        <f>SUBSTITUTE(Table1[[#This Row],[Street]],"Road"," Road")</f>
        <v>Farlton  Road</v>
      </c>
      <c r="I864" t="str">
        <f>SUBSTITUTE(Table1[[#This Row],[Separate combined words ]],"?","")</f>
        <v>Farlton  Road</v>
      </c>
      <c r="J864" t="str">
        <f>TRIM(Table1[[#This Row],[Remove Question Mark "?"]])</f>
        <v>Farlton Road</v>
      </c>
      <c r="K864" t="str">
        <f>PROPER(Table1[[#This Row],[Leading, Multiple &amp; Trailing spaces]])</f>
        <v>Farlton Road</v>
      </c>
      <c r="L864" t="str">
        <f t="shared" si="13"/>
        <v>Farlton Road</v>
      </c>
      <c r="M864" t="s">
        <v>2957</v>
      </c>
    </row>
    <row r="865" spans="1:13" x14ac:dyDescent="0.3">
      <c r="A865">
        <v>862</v>
      </c>
      <c r="B865" t="s">
        <v>2958</v>
      </c>
      <c r="C865" t="s">
        <v>279</v>
      </c>
      <c r="D865" t="s">
        <v>2353</v>
      </c>
      <c r="E865" t="s">
        <v>2959</v>
      </c>
      <c r="F865" t="s">
        <v>2960</v>
      </c>
      <c r="G865" t="str">
        <f xml:space="preserve"> PROPER(_xlfn.CONCAT(Table1[[#This Row],[Title]]," ",Table1[[#This Row],[First Name]]," ",Table1[[#This Row],[Last Name]]))</f>
        <v>Mr Faustino Abrams</v>
      </c>
      <c r="H865" t="str">
        <f>SUBSTITUTE(Table1[[#This Row],[Street]],"Road"," Road")</f>
        <v>Saxfield Street</v>
      </c>
      <c r="I865" t="str">
        <f>SUBSTITUTE(Table1[[#This Row],[Separate combined words ]],"?","")</f>
        <v>Saxfield Street</v>
      </c>
      <c r="J865" t="str">
        <f>TRIM(Table1[[#This Row],[Remove Question Mark "?"]])</f>
        <v>Saxfield Street</v>
      </c>
      <c r="K865" t="str">
        <f>PROPER(Table1[[#This Row],[Leading, Multiple &amp; Trailing spaces]])</f>
        <v>Saxfield Street</v>
      </c>
      <c r="L865" t="str">
        <f t="shared" si="13"/>
        <v>Saxfield Street</v>
      </c>
      <c r="M865" t="s">
        <v>2959</v>
      </c>
    </row>
    <row r="866" spans="1:13" x14ac:dyDescent="0.3">
      <c r="A866">
        <v>863</v>
      </c>
      <c r="B866" t="s">
        <v>2961</v>
      </c>
      <c r="C866" t="s">
        <v>1389</v>
      </c>
      <c r="D866" t="s">
        <v>2353</v>
      </c>
      <c r="E866" t="s">
        <v>2962</v>
      </c>
      <c r="F866" t="s">
        <v>602</v>
      </c>
      <c r="G866" t="str">
        <f xml:space="preserve"> PROPER(_xlfn.CONCAT(Table1[[#This Row],[Title]]," ",Table1[[#This Row],[First Name]]," ",Table1[[#This Row],[Last Name]]))</f>
        <v>Mr Milan Helton</v>
      </c>
      <c r="H866" t="str">
        <f>SUBSTITUTE(Table1[[#This Row],[Street]],"Road"," Road")</f>
        <v>Frazer Street</v>
      </c>
      <c r="I866" t="str">
        <f>SUBSTITUTE(Table1[[#This Row],[Separate combined words ]],"?","")</f>
        <v>Frazer Street</v>
      </c>
      <c r="J866" t="str">
        <f>TRIM(Table1[[#This Row],[Remove Question Mark "?"]])</f>
        <v>Frazer Street</v>
      </c>
      <c r="K866" t="str">
        <f>PROPER(Table1[[#This Row],[Leading, Multiple &amp; Trailing spaces]])</f>
        <v>Frazer Street</v>
      </c>
      <c r="L866" t="str">
        <f t="shared" si="13"/>
        <v>Frazer Street</v>
      </c>
      <c r="M866" t="s">
        <v>2962</v>
      </c>
    </row>
    <row r="867" spans="1:13" x14ac:dyDescent="0.3">
      <c r="A867">
        <v>864</v>
      </c>
      <c r="B867" t="s">
        <v>2963</v>
      </c>
      <c r="C867" t="s">
        <v>2964</v>
      </c>
      <c r="D867" t="s">
        <v>2353</v>
      </c>
      <c r="E867" t="s">
        <v>2965</v>
      </c>
      <c r="F867" t="s">
        <v>2966</v>
      </c>
      <c r="G867" t="str">
        <f xml:space="preserve"> PROPER(_xlfn.CONCAT(Table1[[#This Row],[Title]]," ",Table1[[#This Row],[First Name]]," ",Table1[[#This Row],[Last Name]]))</f>
        <v>Mr Leonardo Dunlap</v>
      </c>
      <c r="H867" t="str">
        <f>SUBSTITUTE(Table1[[#This Row],[Street]],"Road"," Road")</f>
        <v>Haverstock  Road</v>
      </c>
      <c r="I867" t="str">
        <f>SUBSTITUTE(Table1[[#This Row],[Separate combined words ]],"?","")</f>
        <v>Haverstock  Road</v>
      </c>
      <c r="J867" t="str">
        <f>TRIM(Table1[[#This Row],[Remove Question Mark "?"]])</f>
        <v>Haverstock Road</v>
      </c>
      <c r="K867" t="str">
        <f>PROPER(Table1[[#This Row],[Leading, Multiple &amp; Trailing spaces]])</f>
        <v>Haverstock Road</v>
      </c>
      <c r="L867" t="str">
        <f t="shared" si="13"/>
        <v>Haverstock Road</v>
      </c>
      <c r="M867" t="s">
        <v>2965</v>
      </c>
    </row>
    <row r="868" spans="1:13" x14ac:dyDescent="0.3">
      <c r="A868">
        <v>865</v>
      </c>
      <c r="B868" t="s">
        <v>2967</v>
      </c>
      <c r="C868" t="s">
        <v>2968</v>
      </c>
      <c r="D868" t="s">
        <v>2353</v>
      </c>
      <c r="E868" t="s">
        <v>2969</v>
      </c>
      <c r="F868" t="s">
        <v>1066</v>
      </c>
      <c r="G868" t="str">
        <f xml:space="preserve"> PROPER(_xlfn.CONCAT(Table1[[#This Row],[Title]]," ",Table1[[#This Row],[First Name]]," ",Table1[[#This Row],[Last Name]]))</f>
        <v>Mr Keven Champagne</v>
      </c>
      <c r="H868" t="str">
        <f>SUBSTITUTE(Table1[[#This Row],[Street]],"Road"," Road")</f>
        <v>Royal Tent</v>
      </c>
      <c r="I868" t="str">
        <f>SUBSTITUTE(Table1[[#This Row],[Separate combined words ]],"?","")</f>
        <v>Royal Tent</v>
      </c>
      <c r="J868" t="str">
        <f>TRIM(Table1[[#This Row],[Remove Question Mark "?"]])</f>
        <v>Royal Tent</v>
      </c>
      <c r="K868" t="str">
        <f>PROPER(Table1[[#This Row],[Leading, Multiple &amp; Trailing spaces]])</f>
        <v>Royal Tent</v>
      </c>
      <c r="L868" t="str">
        <f t="shared" si="13"/>
        <v>Royal Tent</v>
      </c>
      <c r="M868" t="s">
        <v>2969</v>
      </c>
    </row>
    <row r="869" spans="1:13" x14ac:dyDescent="0.3">
      <c r="A869">
        <v>866</v>
      </c>
      <c r="B869" t="s">
        <v>2448</v>
      </c>
      <c r="C869" t="s">
        <v>507</v>
      </c>
      <c r="D869" t="s">
        <v>2353</v>
      </c>
      <c r="E869" t="s">
        <v>2191</v>
      </c>
      <c r="F869" t="s">
        <v>701</v>
      </c>
      <c r="G869" t="str">
        <f xml:space="preserve"> PROPER(_xlfn.CONCAT(Table1[[#This Row],[Title]]," ",Table1[[#This Row],[First Name]]," ",Table1[[#This Row],[Last Name]]))</f>
        <v>Mr Mitch Rose</v>
      </c>
      <c r="H869" t="str">
        <f>SUBSTITUTE(Table1[[#This Row],[Street]],"Road"," Road")</f>
        <v>Keats Parade</v>
      </c>
      <c r="I869" t="str">
        <f>SUBSTITUTE(Table1[[#This Row],[Separate combined words ]],"?","")</f>
        <v>Keats Parade</v>
      </c>
      <c r="J869" t="str">
        <f>TRIM(Table1[[#This Row],[Remove Question Mark "?"]])</f>
        <v>Keats Parade</v>
      </c>
      <c r="K869" t="str">
        <f>PROPER(Table1[[#This Row],[Leading, Multiple &amp; Trailing spaces]])</f>
        <v>Keats Parade</v>
      </c>
      <c r="L869" t="str">
        <f t="shared" si="13"/>
        <v>Keats Parade</v>
      </c>
      <c r="M869" t="s">
        <v>2191</v>
      </c>
    </row>
    <row r="870" spans="1:13" x14ac:dyDescent="0.3">
      <c r="A870">
        <v>867</v>
      </c>
      <c r="B870" t="s">
        <v>1627</v>
      </c>
      <c r="C870" t="s">
        <v>2970</v>
      </c>
      <c r="D870" t="s">
        <v>2353</v>
      </c>
      <c r="E870" t="s">
        <v>2971</v>
      </c>
      <c r="F870" t="s">
        <v>2972</v>
      </c>
      <c r="G870" t="str">
        <f xml:space="preserve"> PROPER(_xlfn.CONCAT(Table1[[#This Row],[Title]]," ",Table1[[#This Row],[First Name]]," ",Table1[[#This Row],[Last Name]]))</f>
        <v>Mr Gail Robinson</v>
      </c>
      <c r="H870" t="str">
        <f>SUBSTITUTE(Table1[[#This Row],[Street]],"Road"," Road")</f>
        <v>Nancy Street</v>
      </c>
      <c r="I870" t="str">
        <f>SUBSTITUTE(Table1[[#This Row],[Separate combined words ]],"?","")</f>
        <v>Nancy Street</v>
      </c>
      <c r="J870" t="str">
        <f>TRIM(Table1[[#This Row],[Remove Question Mark "?"]])</f>
        <v>Nancy Street</v>
      </c>
      <c r="K870" t="str">
        <f>PROPER(Table1[[#This Row],[Leading, Multiple &amp; Trailing spaces]])</f>
        <v>Nancy Street</v>
      </c>
      <c r="L870" t="str">
        <f t="shared" si="13"/>
        <v>Nancy Street</v>
      </c>
      <c r="M870" t="s">
        <v>2971</v>
      </c>
    </row>
    <row r="871" spans="1:13" x14ac:dyDescent="0.3">
      <c r="A871">
        <v>868</v>
      </c>
      <c r="B871" t="s">
        <v>2973</v>
      </c>
      <c r="C871" t="s">
        <v>2974</v>
      </c>
      <c r="D871" t="s">
        <v>2353</v>
      </c>
      <c r="E871" t="s">
        <v>2975</v>
      </c>
      <c r="F871" t="s">
        <v>2976</v>
      </c>
      <c r="G871" t="str">
        <f xml:space="preserve"> PROPER(_xlfn.CONCAT(Table1[[#This Row],[Title]]," ",Table1[[#This Row],[First Name]]," ",Table1[[#This Row],[Last Name]]))</f>
        <v>Mr Jonas Quinones</v>
      </c>
      <c r="H871" t="str">
        <f>SUBSTITUTE(Table1[[#This Row],[Street]],"Road"," Road")</f>
        <v>Dunfield  Road</v>
      </c>
      <c r="I871" t="str">
        <f>SUBSTITUTE(Table1[[#This Row],[Separate combined words ]],"?","")</f>
        <v>Dunfield  Road</v>
      </c>
      <c r="J871" t="str">
        <f>TRIM(Table1[[#This Row],[Remove Question Mark "?"]])</f>
        <v>Dunfield Road</v>
      </c>
      <c r="K871" t="str">
        <f>PROPER(Table1[[#This Row],[Leading, Multiple &amp; Trailing spaces]])</f>
        <v>Dunfield Road</v>
      </c>
      <c r="L871" t="str">
        <f t="shared" si="13"/>
        <v>Dunfield Road</v>
      </c>
      <c r="M871" t="s">
        <v>2975</v>
      </c>
    </row>
    <row r="872" spans="1:13" x14ac:dyDescent="0.3">
      <c r="A872">
        <v>869</v>
      </c>
      <c r="B872" t="s">
        <v>2977</v>
      </c>
      <c r="C872" t="s">
        <v>651</v>
      </c>
      <c r="D872" t="s">
        <v>2353</v>
      </c>
      <c r="E872" t="s">
        <v>2978</v>
      </c>
      <c r="F872" t="s">
        <v>526</v>
      </c>
      <c r="G872" t="str">
        <f xml:space="preserve"> PROPER(_xlfn.CONCAT(Table1[[#This Row],[Title]]," ",Table1[[#This Row],[First Name]]," ",Table1[[#This Row],[Last Name]]))</f>
        <v>Mr Ty Echols</v>
      </c>
      <c r="H872" t="str">
        <f>SUBSTITUTE(Table1[[#This Row],[Street]],"Road"," Road")</f>
        <v>Great Guilford</v>
      </c>
      <c r="I872" t="str">
        <f>SUBSTITUTE(Table1[[#This Row],[Separate combined words ]],"?","")</f>
        <v>Great Guilford</v>
      </c>
      <c r="J872" t="str">
        <f>TRIM(Table1[[#This Row],[Remove Question Mark "?"]])</f>
        <v>Great Guilford</v>
      </c>
      <c r="K872" t="str">
        <f>PROPER(Table1[[#This Row],[Leading, Multiple &amp; Trailing spaces]])</f>
        <v>Great Guilford</v>
      </c>
      <c r="L872" t="str">
        <f t="shared" si="13"/>
        <v>Great Guilford</v>
      </c>
      <c r="M872" t="s">
        <v>2978</v>
      </c>
    </row>
    <row r="873" spans="1:13" x14ac:dyDescent="0.3">
      <c r="A873">
        <v>870</v>
      </c>
      <c r="B873" t="s">
        <v>505</v>
      </c>
      <c r="C873" t="s">
        <v>2979</v>
      </c>
      <c r="D873" t="s">
        <v>2353</v>
      </c>
      <c r="E873" t="s">
        <v>2980</v>
      </c>
      <c r="F873" t="s">
        <v>2820</v>
      </c>
      <c r="G873" t="str">
        <f xml:space="preserve"> PROPER(_xlfn.CONCAT(Table1[[#This Row],[Title]]," ",Table1[[#This Row],[First Name]]," ",Table1[[#This Row],[Last Name]]))</f>
        <v>Mr Hayden Corbett</v>
      </c>
      <c r="H873" t="str">
        <f>SUBSTITUTE(Table1[[#This Row],[Street]],"Road"," Road")</f>
        <v>Southcombe Street</v>
      </c>
      <c r="I873" t="str">
        <f>SUBSTITUTE(Table1[[#This Row],[Separate combined words ]],"?","")</f>
        <v>Southcombe Street</v>
      </c>
      <c r="J873" t="str">
        <f>TRIM(Table1[[#This Row],[Remove Question Mark "?"]])</f>
        <v>Southcombe Street</v>
      </c>
      <c r="K873" t="str">
        <f>PROPER(Table1[[#This Row],[Leading, Multiple &amp; Trailing spaces]])</f>
        <v>Southcombe Street</v>
      </c>
      <c r="L873" t="str">
        <f t="shared" si="13"/>
        <v>Southcombe Street</v>
      </c>
      <c r="M873" t="s">
        <v>2980</v>
      </c>
    </row>
    <row r="874" spans="1:13" x14ac:dyDescent="0.3">
      <c r="A874">
        <v>871</v>
      </c>
      <c r="B874" t="s">
        <v>2981</v>
      </c>
      <c r="C874" t="s">
        <v>2982</v>
      </c>
      <c r="D874" t="s">
        <v>2353</v>
      </c>
      <c r="E874" t="s">
        <v>2983</v>
      </c>
      <c r="F874" t="s">
        <v>2984</v>
      </c>
      <c r="G874" t="str">
        <f xml:space="preserve"> PROPER(_xlfn.CONCAT(Table1[[#This Row],[Title]]," ",Table1[[#This Row],[First Name]]," ",Table1[[#This Row],[Last Name]]))</f>
        <v>Mr Brad Mims</v>
      </c>
      <c r="H874" t="str">
        <f>SUBSTITUTE(Table1[[#This Row],[Street]],"Road"," Road")</f>
        <v>Fairfax  Road</v>
      </c>
      <c r="I874" t="str">
        <f>SUBSTITUTE(Table1[[#This Row],[Separate combined words ]],"?","")</f>
        <v>Fairfax  Road</v>
      </c>
      <c r="J874" t="str">
        <f>TRIM(Table1[[#This Row],[Remove Question Mark "?"]])</f>
        <v>Fairfax Road</v>
      </c>
      <c r="K874" t="str">
        <f>PROPER(Table1[[#This Row],[Leading, Multiple &amp; Trailing spaces]])</f>
        <v>Fairfax Road</v>
      </c>
      <c r="L874" t="str">
        <f t="shared" si="13"/>
        <v>Fairfax Road</v>
      </c>
      <c r="M874" t="s">
        <v>2983</v>
      </c>
    </row>
    <row r="875" spans="1:13" x14ac:dyDescent="0.3">
      <c r="A875">
        <v>872</v>
      </c>
      <c r="B875" t="s">
        <v>2985</v>
      </c>
      <c r="C875" t="s">
        <v>513</v>
      </c>
      <c r="D875" t="s">
        <v>2353</v>
      </c>
      <c r="E875" t="s">
        <v>2986</v>
      </c>
      <c r="F875" t="s">
        <v>2987</v>
      </c>
      <c r="G875" t="str">
        <f xml:space="preserve"> PROPER(_xlfn.CONCAT(Table1[[#This Row],[Title]]," ",Table1[[#This Row],[First Name]]," ",Table1[[#This Row],[Last Name]]))</f>
        <v>Mr Matthew Perdue</v>
      </c>
      <c r="H875" t="str">
        <f>SUBSTITUTE(Table1[[#This Row],[Street]],"Road"," Road")</f>
        <v>Granary  Road</v>
      </c>
      <c r="I875" t="str">
        <f>SUBSTITUTE(Table1[[#This Row],[Separate combined words ]],"?","")</f>
        <v>Granary  Road</v>
      </c>
      <c r="J875" t="str">
        <f>TRIM(Table1[[#This Row],[Remove Question Mark "?"]])</f>
        <v>Granary Road</v>
      </c>
      <c r="K875" t="str">
        <f>PROPER(Table1[[#This Row],[Leading, Multiple &amp; Trailing spaces]])</f>
        <v>Granary Road</v>
      </c>
      <c r="L875" t="str">
        <f t="shared" si="13"/>
        <v>Granary Road</v>
      </c>
      <c r="M875" t="s">
        <v>2986</v>
      </c>
    </row>
    <row r="876" spans="1:13" x14ac:dyDescent="0.3">
      <c r="A876">
        <v>873</v>
      </c>
      <c r="B876" t="s">
        <v>2988</v>
      </c>
      <c r="C876" t="s">
        <v>570</v>
      </c>
      <c r="D876" t="s">
        <v>2353</v>
      </c>
      <c r="E876" t="s">
        <v>2989</v>
      </c>
      <c r="F876" t="s">
        <v>2990</v>
      </c>
      <c r="G876" t="str">
        <f xml:space="preserve"> PROPER(_xlfn.CONCAT(Table1[[#This Row],[Title]]," ",Table1[[#This Row],[First Name]]," ",Table1[[#This Row],[Last Name]]))</f>
        <v>Mr Scot Fisher</v>
      </c>
      <c r="H876" t="str">
        <f>SUBSTITUTE(Table1[[#This Row],[Street]],"Road"," Road")</f>
        <v>Copper Mead</v>
      </c>
      <c r="I876" t="str">
        <f>SUBSTITUTE(Table1[[#This Row],[Separate combined words ]],"?","")</f>
        <v>Copper Mead</v>
      </c>
      <c r="J876" t="str">
        <f>TRIM(Table1[[#This Row],[Remove Question Mark "?"]])</f>
        <v>Copper Mead</v>
      </c>
      <c r="K876" t="str">
        <f>PROPER(Table1[[#This Row],[Leading, Multiple &amp; Trailing spaces]])</f>
        <v>Copper Mead</v>
      </c>
      <c r="L876" t="str">
        <f t="shared" si="13"/>
        <v>Copper Mead</v>
      </c>
      <c r="M876" t="s">
        <v>2989</v>
      </c>
    </row>
    <row r="877" spans="1:13" x14ac:dyDescent="0.3">
      <c r="A877">
        <v>874</v>
      </c>
      <c r="B877" t="s">
        <v>2991</v>
      </c>
      <c r="C877" t="s">
        <v>599</v>
      </c>
      <c r="D877" t="s">
        <v>2353</v>
      </c>
      <c r="E877" t="s">
        <v>2992</v>
      </c>
      <c r="F877" t="s">
        <v>2993</v>
      </c>
      <c r="G877" t="str">
        <f xml:space="preserve"> PROPER(_xlfn.CONCAT(Table1[[#This Row],[Title]]," ",Table1[[#This Row],[First Name]]," ",Table1[[#This Row],[Last Name]]))</f>
        <v>Mr Theo Moody</v>
      </c>
      <c r="H877" t="str">
        <f>SUBSTITUTE(Table1[[#This Row],[Street]],"Road"," Road")</f>
        <v>Evelyn Mews</v>
      </c>
      <c r="I877" t="str">
        <f>SUBSTITUTE(Table1[[#This Row],[Separate combined words ]],"?","")</f>
        <v>Evelyn Mews</v>
      </c>
      <c r="J877" t="str">
        <f>TRIM(Table1[[#This Row],[Remove Question Mark "?"]])</f>
        <v>Evelyn Mews</v>
      </c>
      <c r="K877" t="str">
        <f>PROPER(Table1[[#This Row],[Leading, Multiple &amp; Trailing spaces]])</f>
        <v>Evelyn Mews</v>
      </c>
      <c r="L877" t="str">
        <f t="shared" si="13"/>
        <v>Evelyn Mews</v>
      </c>
      <c r="M877" t="s">
        <v>2992</v>
      </c>
    </row>
    <row r="878" spans="1:13" x14ac:dyDescent="0.3">
      <c r="A878">
        <v>875</v>
      </c>
      <c r="B878" t="s">
        <v>2994</v>
      </c>
      <c r="C878" t="s">
        <v>2995</v>
      </c>
      <c r="D878" t="s">
        <v>2353</v>
      </c>
      <c r="E878" t="s">
        <v>2996</v>
      </c>
      <c r="F878" t="s">
        <v>2997</v>
      </c>
      <c r="G878" t="str">
        <f xml:space="preserve"> PROPER(_xlfn.CONCAT(Table1[[#This Row],[Title]]," ",Table1[[#This Row],[First Name]]," ",Table1[[#This Row],[Last Name]]))</f>
        <v>Mr Winford Teague</v>
      </c>
      <c r="H878" t="str">
        <f>SUBSTITUTE(Table1[[#This Row],[Street]],"Road"," Road")</f>
        <v>Ellaline  Road</v>
      </c>
      <c r="I878" t="str">
        <f>SUBSTITUTE(Table1[[#This Row],[Separate combined words ]],"?","")</f>
        <v>Ellaline  Road</v>
      </c>
      <c r="J878" t="str">
        <f>TRIM(Table1[[#This Row],[Remove Question Mark "?"]])</f>
        <v>Ellaline Road</v>
      </c>
      <c r="K878" t="str">
        <f>PROPER(Table1[[#This Row],[Leading, Multiple &amp; Trailing spaces]])</f>
        <v>Ellaline Road</v>
      </c>
      <c r="L878" t="str">
        <f t="shared" si="13"/>
        <v>Ellaline Road</v>
      </c>
      <c r="M878" t="s">
        <v>2996</v>
      </c>
    </row>
    <row r="879" spans="1:13" x14ac:dyDescent="0.3">
      <c r="A879">
        <v>876</v>
      </c>
      <c r="B879" t="s">
        <v>2998</v>
      </c>
      <c r="C879" t="s">
        <v>205</v>
      </c>
      <c r="D879" t="s">
        <v>2353</v>
      </c>
      <c r="E879" t="s">
        <v>2999</v>
      </c>
      <c r="F879" t="s">
        <v>532</v>
      </c>
      <c r="G879" t="str">
        <f xml:space="preserve"> PROPER(_xlfn.CONCAT(Table1[[#This Row],[Title]]," ",Table1[[#This Row],[First Name]]," ",Table1[[#This Row],[Last Name]]))</f>
        <v>Mr Charley Finch</v>
      </c>
      <c r="H879" t="str">
        <f>SUBSTITUTE(Table1[[#This Row],[Street]],"Road"," Road")</f>
        <v>Beckway Street</v>
      </c>
      <c r="I879" t="str">
        <f>SUBSTITUTE(Table1[[#This Row],[Separate combined words ]],"?","")</f>
        <v>Beckway Street</v>
      </c>
      <c r="J879" t="str">
        <f>TRIM(Table1[[#This Row],[Remove Question Mark "?"]])</f>
        <v>Beckway Street</v>
      </c>
      <c r="K879" t="str">
        <f>PROPER(Table1[[#This Row],[Leading, Multiple &amp; Trailing spaces]])</f>
        <v>Beckway Street</v>
      </c>
      <c r="L879" t="str">
        <f t="shared" si="13"/>
        <v>Beckway Street</v>
      </c>
      <c r="M879" t="s">
        <v>2999</v>
      </c>
    </row>
    <row r="880" spans="1:13" x14ac:dyDescent="0.3">
      <c r="A880">
        <v>877</v>
      </c>
      <c r="B880" t="s">
        <v>3000</v>
      </c>
      <c r="C880" t="s">
        <v>3001</v>
      </c>
      <c r="D880" t="s">
        <v>2353</v>
      </c>
      <c r="E880" t="s">
        <v>3002</v>
      </c>
      <c r="F880" t="s">
        <v>3003</v>
      </c>
      <c r="G880" t="str">
        <f xml:space="preserve"> PROPER(_xlfn.CONCAT(Table1[[#This Row],[Title]]," ",Table1[[#This Row],[First Name]]," ",Table1[[#This Row],[Last Name]]))</f>
        <v>Mr Rufus Cardenas</v>
      </c>
      <c r="H880" t="str">
        <f>SUBSTITUTE(Table1[[#This Row],[Street]],"Road"," Road")</f>
        <v>Goulston Square</v>
      </c>
      <c r="I880" t="str">
        <f>SUBSTITUTE(Table1[[#This Row],[Separate combined words ]],"?","")</f>
        <v>Goulston Square</v>
      </c>
      <c r="J880" t="str">
        <f>TRIM(Table1[[#This Row],[Remove Question Mark "?"]])</f>
        <v>Goulston Square</v>
      </c>
      <c r="K880" t="str">
        <f>PROPER(Table1[[#This Row],[Leading, Multiple &amp; Trailing spaces]])</f>
        <v>Goulston Square</v>
      </c>
      <c r="L880" t="str">
        <f t="shared" si="13"/>
        <v>Goulston Square</v>
      </c>
      <c r="M880" t="s">
        <v>3002</v>
      </c>
    </row>
    <row r="881" spans="1:13" x14ac:dyDescent="0.3">
      <c r="A881">
        <v>878</v>
      </c>
      <c r="B881" t="s">
        <v>3004</v>
      </c>
      <c r="C881" t="s">
        <v>1793</v>
      </c>
      <c r="D881" t="s">
        <v>2353</v>
      </c>
      <c r="E881" t="s">
        <v>3005</v>
      </c>
      <c r="F881" t="s">
        <v>81</v>
      </c>
      <c r="G881" t="str">
        <f xml:space="preserve"> PROPER(_xlfn.CONCAT(Table1[[#This Row],[Title]]," ",Table1[[#This Row],[First Name]]," ",Table1[[#This Row],[Last Name]]))</f>
        <v>Mr Columbus Willis</v>
      </c>
      <c r="H881" t="str">
        <f>SUBSTITUTE(Table1[[#This Row],[Street]],"Road"," Road")</f>
        <v>Jacksons Lane</v>
      </c>
      <c r="I881" t="str">
        <f>SUBSTITUTE(Table1[[#This Row],[Separate combined words ]],"?","")</f>
        <v>Jacksons Lane</v>
      </c>
      <c r="J881" t="str">
        <f>TRIM(Table1[[#This Row],[Remove Question Mark "?"]])</f>
        <v>Jacksons Lane</v>
      </c>
      <c r="K881" t="str">
        <f>PROPER(Table1[[#This Row],[Leading, Multiple &amp; Trailing spaces]])</f>
        <v>Jacksons Lane</v>
      </c>
      <c r="L881" t="str">
        <f t="shared" si="13"/>
        <v>Jacksons Lane</v>
      </c>
      <c r="M881" t="s">
        <v>3005</v>
      </c>
    </row>
    <row r="882" spans="1:13" x14ac:dyDescent="0.3">
      <c r="A882">
        <v>879</v>
      </c>
      <c r="B882" t="s">
        <v>2660</v>
      </c>
      <c r="C882" t="s">
        <v>3006</v>
      </c>
      <c r="D882" t="s">
        <v>2353</v>
      </c>
      <c r="E882" t="s">
        <v>3007</v>
      </c>
      <c r="F882" t="s">
        <v>3008</v>
      </c>
      <c r="G882" t="str">
        <f xml:space="preserve"> PROPER(_xlfn.CONCAT(Table1[[#This Row],[Title]]," ",Table1[[#This Row],[First Name]]," ",Table1[[#This Row],[Last Name]]))</f>
        <v>Mr Berry Ware</v>
      </c>
      <c r="H882" t="str">
        <f>SUBSTITUTE(Table1[[#This Row],[Street]],"Road"," Road")</f>
        <v>Edward  Road</v>
      </c>
      <c r="I882" t="str">
        <f>SUBSTITUTE(Table1[[#This Row],[Separate combined words ]],"?","")</f>
        <v>Edward  Road</v>
      </c>
      <c r="J882" t="str">
        <f>TRIM(Table1[[#This Row],[Remove Question Mark "?"]])</f>
        <v>Edward Road</v>
      </c>
      <c r="K882" t="str">
        <f>PROPER(Table1[[#This Row],[Leading, Multiple &amp; Trailing spaces]])</f>
        <v>Edward Road</v>
      </c>
      <c r="L882" t="str">
        <f t="shared" si="13"/>
        <v>Edward Road</v>
      </c>
      <c r="M882" t="s">
        <v>3007</v>
      </c>
    </row>
    <row r="883" spans="1:13" x14ac:dyDescent="0.3">
      <c r="A883">
        <v>880</v>
      </c>
      <c r="B883" t="s">
        <v>3009</v>
      </c>
      <c r="C883" t="s">
        <v>923</v>
      </c>
      <c r="D883" t="s">
        <v>2353</v>
      </c>
      <c r="E883" t="s">
        <v>3010</v>
      </c>
      <c r="F883" t="s">
        <v>2960</v>
      </c>
      <c r="G883" t="str">
        <f xml:space="preserve"> PROPER(_xlfn.CONCAT(Table1[[#This Row],[Title]]," ",Table1[[#This Row],[First Name]]," ",Table1[[#This Row],[Last Name]]))</f>
        <v>Mr Rocco Coker</v>
      </c>
      <c r="H883" t="str">
        <f>SUBSTITUTE(Table1[[#This Row],[Street]],"Road"," Road")</f>
        <v>Geoffrey Close</v>
      </c>
      <c r="I883" t="str">
        <f>SUBSTITUTE(Table1[[#This Row],[Separate combined words ]],"?","")</f>
        <v>Geoffrey Close</v>
      </c>
      <c r="J883" t="str">
        <f>TRIM(Table1[[#This Row],[Remove Question Mark "?"]])</f>
        <v>Geoffrey Close</v>
      </c>
      <c r="K883" t="str">
        <f>PROPER(Table1[[#This Row],[Leading, Multiple &amp; Trailing spaces]])</f>
        <v>Geoffrey Close</v>
      </c>
      <c r="L883" t="str">
        <f t="shared" si="13"/>
        <v>Geoffrey Close</v>
      </c>
      <c r="M883" t="s">
        <v>3010</v>
      </c>
    </row>
    <row r="884" spans="1:13" x14ac:dyDescent="0.3">
      <c r="A884">
        <v>881</v>
      </c>
      <c r="B884" t="s">
        <v>3011</v>
      </c>
      <c r="C884" t="s">
        <v>3012</v>
      </c>
      <c r="D884" t="s">
        <v>2353</v>
      </c>
      <c r="E884" t="s">
        <v>3013</v>
      </c>
      <c r="F884" t="s">
        <v>3014</v>
      </c>
      <c r="G884" t="str">
        <f xml:space="preserve"> PROPER(_xlfn.CONCAT(Table1[[#This Row],[Title]]," ",Table1[[#This Row],[First Name]]," ",Table1[[#This Row],[Last Name]]))</f>
        <v>Mr Jude Rush</v>
      </c>
      <c r="H884" t="str">
        <f>SUBSTITUTE(Table1[[#This Row],[Street]],"Road"," Road")</f>
        <v>Maddison Villas</v>
      </c>
      <c r="I884" t="str">
        <f>SUBSTITUTE(Table1[[#This Row],[Separate combined words ]],"?","")</f>
        <v>Maddison Villas</v>
      </c>
      <c r="J884" t="str">
        <f>TRIM(Table1[[#This Row],[Remove Question Mark "?"]])</f>
        <v>Maddison Villas</v>
      </c>
      <c r="K884" t="str">
        <f>PROPER(Table1[[#This Row],[Leading, Multiple &amp; Trailing spaces]])</f>
        <v>Maddison Villas</v>
      </c>
      <c r="L884" t="str">
        <f t="shared" si="13"/>
        <v>Maddison Villas</v>
      </c>
      <c r="M884" t="s">
        <v>3013</v>
      </c>
    </row>
    <row r="885" spans="1:13" x14ac:dyDescent="0.3">
      <c r="A885">
        <v>882</v>
      </c>
      <c r="B885" t="s">
        <v>2378</v>
      </c>
      <c r="C885" t="s">
        <v>656</v>
      </c>
      <c r="D885" t="s">
        <v>2353</v>
      </c>
      <c r="E885" t="s">
        <v>3015</v>
      </c>
      <c r="F885" t="s">
        <v>2773</v>
      </c>
      <c r="G885" t="str">
        <f xml:space="preserve"> PROPER(_xlfn.CONCAT(Table1[[#This Row],[Title]]," ",Table1[[#This Row],[First Name]]," ",Table1[[#This Row],[Last Name]]))</f>
        <v>Mr Dirk Whitney</v>
      </c>
      <c r="H885" t="str">
        <f>SUBSTITUTE(Table1[[#This Row],[Street]],"Road"," Road")</f>
        <v>Denmead Way</v>
      </c>
      <c r="I885" t="str">
        <f>SUBSTITUTE(Table1[[#This Row],[Separate combined words ]],"?","")</f>
        <v>Denmead Way</v>
      </c>
      <c r="J885" t="str">
        <f>TRIM(Table1[[#This Row],[Remove Question Mark "?"]])</f>
        <v>Denmead Way</v>
      </c>
      <c r="K885" t="str">
        <f>PROPER(Table1[[#This Row],[Leading, Multiple &amp; Trailing spaces]])</f>
        <v>Denmead Way</v>
      </c>
      <c r="L885" t="str">
        <f t="shared" si="13"/>
        <v>Denmead Way</v>
      </c>
      <c r="M885" t="s">
        <v>3015</v>
      </c>
    </row>
    <row r="886" spans="1:13" x14ac:dyDescent="0.3">
      <c r="A886">
        <v>883</v>
      </c>
      <c r="B886" t="s">
        <v>3016</v>
      </c>
      <c r="C886" t="s">
        <v>3017</v>
      </c>
      <c r="D886" t="s">
        <v>2353</v>
      </c>
      <c r="E886" t="s">
        <v>323</v>
      </c>
      <c r="F886" t="s">
        <v>1454</v>
      </c>
      <c r="G886" t="str">
        <f xml:space="preserve"> PROPER(_xlfn.CONCAT(Table1[[#This Row],[Title]]," ",Table1[[#This Row],[First Name]]," ",Table1[[#This Row],[Last Name]]))</f>
        <v>Mr Garry Holliday</v>
      </c>
      <c r="H886" t="str">
        <f>SUBSTITUTE(Table1[[#This Row],[Street]],"Road"," Road")</f>
        <v>Frome Street</v>
      </c>
      <c r="I886" t="str">
        <f>SUBSTITUTE(Table1[[#This Row],[Separate combined words ]],"?","")</f>
        <v>Frome Street</v>
      </c>
      <c r="J886" t="str">
        <f>TRIM(Table1[[#This Row],[Remove Question Mark "?"]])</f>
        <v>Frome Street</v>
      </c>
      <c r="K886" t="str">
        <f>PROPER(Table1[[#This Row],[Leading, Multiple &amp; Trailing spaces]])</f>
        <v>Frome Street</v>
      </c>
      <c r="L886" t="str">
        <f t="shared" si="13"/>
        <v>Frome Street</v>
      </c>
      <c r="M886" t="s">
        <v>323</v>
      </c>
    </row>
    <row r="887" spans="1:13" x14ac:dyDescent="0.3">
      <c r="A887">
        <v>884</v>
      </c>
      <c r="B887" t="s">
        <v>2973</v>
      </c>
      <c r="C887" t="s">
        <v>2593</v>
      </c>
      <c r="D887" t="s">
        <v>2353</v>
      </c>
      <c r="E887" t="s">
        <v>3018</v>
      </c>
      <c r="F887" t="s">
        <v>733</v>
      </c>
      <c r="G887" t="str">
        <f xml:space="preserve"> PROPER(_xlfn.CONCAT(Table1[[#This Row],[Title]]," ",Table1[[#This Row],[First Name]]," ",Table1[[#This Row],[Last Name]]))</f>
        <v>Mr Jonas David</v>
      </c>
      <c r="H887" t="str">
        <f>SUBSTITUTE(Table1[[#This Row],[Street]],"Road"," Road")</f>
        <v>Lanbury  Road</v>
      </c>
      <c r="I887" t="str">
        <f>SUBSTITUTE(Table1[[#This Row],[Separate combined words ]],"?","")</f>
        <v>Lanbury  Road</v>
      </c>
      <c r="J887" t="str">
        <f>TRIM(Table1[[#This Row],[Remove Question Mark "?"]])</f>
        <v>Lanbury Road</v>
      </c>
      <c r="K887" t="str">
        <f>PROPER(Table1[[#This Row],[Leading, Multiple &amp; Trailing spaces]])</f>
        <v>Lanbury Road</v>
      </c>
      <c r="L887" t="str">
        <f t="shared" si="13"/>
        <v>Lanbury Road</v>
      </c>
      <c r="M887" t="s">
        <v>3018</v>
      </c>
    </row>
    <row r="888" spans="1:13" x14ac:dyDescent="0.3">
      <c r="A888">
        <v>885</v>
      </c>
      <c r="B888" t="s">
        <v>3016</v>
      </c>
      <c r="C888" t="s">
        <v>1607</v>
      </c>
      <c r="D888" t="s">
        <v>318</v>
      </c>
      <c r="E888" t="s">
        <v>2188</v>
      </c>
      <c r="F888" t="s">
        <v>1433</v>
      </c>
      <c r="G888" t="str">
        <f xml:space="preserve"> PROPER(_xlfn.CONCAT(Table1[[#This Row],[Title]]," ",Table1[[#This Row],[First Name]]," ",Table1[[#This Row],[Last Name]]))</f>
        <v>Dr Garry Silva</v>
      </c>
      <c r="H888" t="str">
        <f>SUBSTITUTE(Table1[[#This Row],[Street]],"Road"," Road")</f>
        <v>Ludovick Walk</v>
      </c>
      <c r="I888" t="str">
        <f>SUBSTITUTE(Table1[[#This Row],[Separate combined words ]],"?","")</f>
        <v>Ludovick Walk</v>
      </c>
      <c r="J888" t="str">
        <f>TRIM(Table1[[#This Row],[Remove Question Mark "?"]])</f>
        <v>Ludovick Walk</v>
      </c>
      <c r="K888" t="str">
        <f>PROPER(Table1[[#This Row],[Leading, Multiple &amp; Trailing spaces]])</f>
        <v>Ludovick Walk</v>
      </c>
      <c r="L888" t="str">
        <f t="shared" si="13"/>
        <v>Ludovick Walk</v>
      </c>
      <c r="M888" t="s">
        <v>2188</v>
      </c>
    </row>
    <row r="889" spans="1:13" x14ac:dyDescent="0.3">
      <c r="A889">
        <v>886</v>
      </c>
      <c r="B889" t="s">
        <v>1825</v>
      </c>
      <c r="C889" t="s">
        <v>3</v>
      </c>
      <c r="D889" t="s">
        <v>2353</v>
      </c>
      <c r="E889" t="s">
        <v>3019</v>
      </c>
      <c r="F889" t="s">
        <v>1099</v>
      </c>
      <c r="G889" t="str">
        <f xml:space="preserve"> PROPER(_xlfn.CONCAT(Table1[[#This Row],[Title]]," ",Table1[[#This Row],[First Name]]," ",Table1[[#This Row],[Last Name]]))</f>
        <v>Mr Major Street</v>
      </c>
      <c r="H889" t="str">
        <f>SUBSTITUTE(Table1[[#This Row],[Street]],"Road"," Road")</f>
        <v>Lower Gun</v>
      </c>
      <c r="I889" t="str">
        <f>SUBSTITUTE(Table1[[#This Row],[Separate combined words ]],"?","")</f>
        <v>Lower Gun</v>
      </c>
      <c r="J889" t="str">
        <f>TRIM(Table1[[#This Row],[Remove Question Mark "?"]])</f>
        <v>Lower Gun</v>
      </c>
      <c r="K889" t="str">
        <f>PROPER(Table1[[#This Row],[Leading, Multiple &amp; Trailing spaces]])</f>
        <v>Lower Gun</v>
      </c>
      <c r="L889" t="str">
        <f t="shared" si="13"/>
        <v>Lower Gun</v>
      </c>
      <c r="M889" t="s">
        <v>3019</v>
      </c>
    </row>
    <row r="890" spans="1:13" x14ac:dyDescent="0.3">
      <c r="A890">
        <v>887</v>
      </c>
      <c r="B890" t="s">
        <v>3020</v>
      </c>
      <c r="C890" t="s">
        <v>3021</v>
      </c>
      <c r="D890" t="s">
        <v>2353</v>
      </c>
      <c r="E890" t="s">
        <v>3022</v>
      </c>
      <c r="F890" t="s">
        <v>281</v>
      </c>
      <c r="G890" t="str">
        <f xml:space="preserve"> PROPER(_xlfn.CONCAT(Table1[[#This Row],[Title]]," ",Table1[[#This Row],[First Name]]," ",Table1[[#This Row],[Last Name]]))</f>
        <v>Mr Zachery Kaufman</v>
      </c>
      <c r="H890" t="str">
        <f>SUBSTITUTE(Table1[[#This Row],[Street]],"Road"," Road")</f>
        <v>Frankfurt  Road</v>
      </c>
      <c r="I890" t="str">
        <f>SUBSTITUTE(Table1[[#This Row],[Separate combined words ]],"?","")</f>
        <v>Frankfurt  Road</v>
      </c>
      <c r="J890" t="str">
        <f>TRIM(Table1[[#This Row],[Remove Question Mark "?"]])</f>
        <v>Frankfurt Road</v>
      </c>
      <c r="K890" t="str">
        <f>PROPER(Table1[[#This Row],[Leading, Multiple &amp; Trailing spaces]])</f>
        <v>Frankfurt Road</v>
      </c>
      <c r="L890" t="str">
        <f t="shared" si="13"/>
        <v>Frankfurt Road</v>
      </c>
      <c r="M890" t="s">
        <v>3022</v>
      </c>
    </row>
    <row r="891" spans="1:13" x14ac:dyDescent="0.3">
      <c r="A891">
        <v>888</v>
      </c>
      <c r="B891" t="s">
        <v>3023</v>
      </c>
      <c r="C891" t="s">
        <v>2734</v>
      </c>
      <c r="D891" t="s">
        <v>2353</v>
      </c>
      <c r="E891" t="s">
        <v>3024</v>
      </c>
      <c r="F891" t="s">
        <v>1542</v>
      </c>
      <c r="G891" t="str">
        <f xml:space="preserve"> PROPER(_xlfn.CONCAT(Table1[[#This Row],[Title]]," ",Table1[[#This Row],[First Name]]," ",Table1[[#This Row],[Last Name]]))</f>
        <v>Mr Von Dailey</v>
      </c>
      <c r="H891" t="str">
        <f>SUBSTITUTE(Table1[[#This Row],[Street]],"Road"," Road")</f>
        <v>Humberstone  Road</v>
      </c>
      <c r="I891" t="str">
        <f>SUBSTITUTE(Table1[[#This Row],[Separate combined words ]],"?","")</f>
        <v>Humberstone  Road</v>
      </c>
      <c r="J891" t="str">
        <f>TRIM(Table1[[#This Row],[Remove Question Mark "?"]])</f>
        <v>Humberstone Road</v>
      </c>
      <c r="K891" t="str">
        <f>PROPER(Table1[[#This Row],[Leading, Multiple &amp; Trailing spaces]])</f>
        <v>Humberstone Road</v>
      </c>
      <c r="L891" t="str">
        <f t="shared" si="13"/>
        <v>Humberstone Road</v>
      </c>
      <c r="M891" t="s">
        <v>3024</v>
      </c>
    </row>
    <row r="892" spans="1:13" x14ac:dyDescent="0.3">
      <c r="A892">
        <v>889</v>
      </c>
      <c r="B892" t="s">
        <v>2574</v>
      </c>
      <c r="C892" t="s">
        <v>457</v>
      </c>
      <c r="D892" t="s">
        <v>2353</v>
      </c>
      <c r="E892" t="s">
        <v>3025</v>
      </c>
      <c r="F892" t="s">
        <v>473</v>
      </c>
      <c r="G892" t="str">
        <f xml:space="preserve"> PROPER(_xlfn.CONCAT(Table1[[#This Row],[Title]]," ",Table1[[#This Row],[First Name]]," ",Table1[[#This Row],[Last Name]]))</f>
        <v>Mr Gerardo Ross</v>
      </c>
      <c r="H892" t="str">
        <f>SUBSTITUTE(Table1[[#This Row],[Street]],"Road"," Road")</f>
        <v>Portinscale  Road</v>
      </c>
      <c r="I892" t="str">
        <f>SUBSTITUTE(Table1[[#This Row],[Separate combined words ]],"?","")</f>
        <v>Portinscale  Road</v>
      </c>
      <c r="J892" t="str">
        <f>TRIM(Table1[[#This Row],[Remove Question Mark "?"]])</f>
        <v>Portinscale Road</v>
      </c>
      <c r="K892" t="str">
        <f>PROPER(Table1[[#This Row],[Leading, Multiple &amp; Trailing spaces]])</f>
        <v>Portinscale Road</v>
      </c>
      <c r="L892" t="str">
        <f t="shared" si="13"/>
        <v>Portinscale Road</v>
      </c>
      <c r="M892" t="s">
        <v>3025</v>
      </c>
    </row>
    <row r="893" spans="1:13" x14ac:dyDescent="0.3">
      <c r="A893">
        <v>890</v>
      </c>
      <c r="B893" t="s">
        <v>1329</v>
      </c>
      <c r="C893" t="s">
        <v>3026</v>
      </c>
      <c r="D893" t="s">
        <v>2353</v>
      </c>
      <c r="E893" t="s">
        <v>3027</v>
      </c>
      <c r="F893" t="s">
        <v>579</v>
      </c>
      <c r="G893" t="str">
        <f xml:space="preserve"> PROPER(_xlfn.CONCAT(Table1[[#This Row],[Title]]," ",Table1[[#This Row],[First Name]]," ",Table1[[#This Row],[Last Name]]))</f>
        <v>Mr Chang Madrid</v>
      </c>
      <c r="H893" t="str">
        <f>SUBSTITUTE(Table1[[#This Row],[Street]],"Road"," Road")</f>
        <v>Reading Lane</v>
      </c>
      <c r="I893" t="str">
        <f>SUBSTITUTE(Table1[[#This Row],[Separate combined words ]],"?","")</f>
        <v>Reading Lane</v>
      </c>
      <c r="J893" t="str">
        <f>TRIM(Table1[[#This Row],[Remove Question Mark "?"]])</f>
        <v>Reading Lane</v>
      </c>
      <c r="K893" t="str">
        <f>PROPER(Table1[[#This Row],[Leading, Multiple &amp; Trailing spaces]])</f>
        <v>Reading Lane</v>
      </c>
      <c r="L893" t="str">
        <f t="shared" si="13"/>
        <v>Reading Lane</v>
      </c>
      <c r="M893" t="s">
        <v>3027</v>
      </c>
    </row>
    <row r="894" spans="1:13" x14ac:dyDescent="0.3">
      <c r="A894">
        <v>891</v>
      </c>
      <c r="B894" t="s">
        <v>1121</v>
      </c>
      <c r="C894" t="s">
        <v>3028</v>
      </c>
      <c r="D894" t="s">
        <v>2353</v>
      </c>
      <c r="E894" t="s">
        <v>3029</v>
      </c>
      <c r="F894" t="s">
        <v>1404</v>
      </c>
      <c r="G894" t="str">
        <f xml:space="preserve"> PROPER(_xlfn.CONCAT(Table1[[#This Row],[Title]]," ",Table1[[#This Row],[First Name]]," ",Table1[[#This Row],[Last Name]]))</f>
        <v>Mr Nicky Rodgers</v>
      </c>
      <c r="H894" t="str">
        <f>SUBSTITUTE(Table1[[#This Row],[Street]],"Road"," Road")</f>
        <v>John Adam</v>
      </c>
      <c r="I894" t="str">
        <f>SUBSTITUTE(Table1[[#This Row],[Separate combined words ]],"?","")</f>
        <v>John Adam</v>
      </c>
      <c r="J894" t="str">
        <f>TRIM(Table1[[#This Row],[Remove Question Mark "?"]])</f>
        <v>John Adam</v>
      </c>
      <c r="K894" t="str">
        <f>PROPER(Table1[[#This Row],[Leading, Multiple &amp; Trailing spaces]])</f>
        <v>John Adam</v>
      </c>
      <c r="L894" t="str">
        <f t="shared" si="13"/>
        <v>John Adam</v>
      </c>
      <c r="M894" t="s">
        <v>3029</v>
      </c>
    </row>
    <row r="895" spans="1:13" x14ac:dyDescent="0.3">
      <c r="A895">
        <v>892</v>
      </c>
      <c r="B895" t="s">
        <v>1828</v>
      </c>
      <c r="C895" t="s">
        <v>1047</v>
      </c>
      <c r="D895" t="s">
        <v>2353</v>
      </c>
      <c r="E895" t="s">
        <v>3030</v>
      </c>
      <c r="F895" t="s">
        <v>1737</v>
      </c>
      <c r="G895" t="str">
        <f xml:space="preserve"> PROPER(_xlfn.CONCAT(Table1[[#This Row],[Title]]," ",Table1[[#This Row],[First Name]]," ",Table1[[#This Row],[Last Name]]))</f>
        <v>Mr Harold Muller</v>
      </c>
      <c r="H895" t="str">
        <f>SUBSTITUTE(Table1[[#This Row],[Street]],"Road"," Road")</f>
        <v>Gibraltar Court</v>
      </c>
      <c r="I895" t="str">
        <f>SUBSTITUTE(Table1[[#This Row],[Separate combined words ]],"?","")</f>
        <v>Gibraltar Court</v>
      </c>
      <c r="J895" t="str">
        <f>TRIM(Table1[[#This Row],[Remove Question Mark "?"]])</f>
        <v>Gibraltar Court</v>
      </c>
      <c r="K895" t="str">
        <f>PROPER(Table1[[#This Row],[Leading, Multiple &amp; Trailing spaces]])</f>
        <v>Gibraltar Court</v>
      </c>
      <c r="L895" t="str">
        <f t="shared" si="13"/>
        <v>Gibraltar Court</v>
      </c>
      <c r="M895" t="s">
        <v>3030</v>
      </c>
    </row>
    <row r="896" spans="1:13" x14ac:dyDescent="0.3">
      <c r="A896">
        <v>893</v>
      </c>
      <c r="B896" t="s">
        <v>3031</v>
      </c>
      <c r="C896" t="s">
        <v>3032</v>
      </c>
      <c r="D896" t="s">
        <v>2353</v>
      </c>
      <c r="E896" t="s">
        <v>3033</v>
      </c>
      <c r="F896" t="s">
        <v>666</v>
      </c>
      <c r="G896" t="str">
        <f xml:space="preserve"> PROPER(_xlfn.CONCAT(Table1[[#This Row],[Title]]," ",Table1[[#This Row],[First Name]]," ",Table1[[#This Row],[Last Name]]))</f>
        <v>Mr Everette Barton</v>
      </c>
      <c r="H896" t="str">
        <f>SUBSTITUTE(Table1[[#This Row],[Street]],"Road"," Road")</f>
        <v>Hobbs Place</v>
      </c>
      <c r="I896" t="str">
        <f>SUBSTITUTE(Table1[[#This Row],[Separate combined words ]],"?","")</f>
        <v>Hobbs Place</v>
      </c>
      <c r="J896" t="str">
        <f>TRIM(Table1[[#This Row],[Remove Question Mark "?"]])</f>
        <v>Hobbs Place</v>
      </c>
      <c r="K896" t="str">
        <f>PROPER(Table1[[#This Row],[Leading, Multiple &amp; Trailing spaces]])</f>
        <v>Hobbs Place</v>
      </c>
      <c r="L896" t="str">
        <f t="shared" si="13"/>
        <v>Hobbs Place</v>
      </c>
      <c r="M896" t="s">
        <v>3033</v>
      </c>
    </row>
    <row r="897" spans="1:13" x14ac:dyDescent="0.3">
      <c r="A897">
        <v>894</v>
      </c>
      <c r="B897" t="s">
        <v>3034</v>
      </c>
      <c r="C897" t="s">
        <v>3035</v>
      </c>
      <c r="D897" t="s">
        <v>2353</v>
      </c>
      <c r="E897" t="s">
        <v>3036</v>
      </c>
      <c r="F897" t="s">
        <v>440</v>
      </c>
      <c r="G897" t="str">
        <f xml:space="preserve"> PROPER(_xlfn.CONCAT(Table1[[#This Row],[Title]]," ",Table1[[#This Row],[First Name]]," ",Table1[[#This Row],[Last Name]]))</f>
        <v>Mr Willie Jarvis</v>
      </c>
      <c r="H897" t="str">
        <f>SUBSTITUTE(Table1[[#This Row],[Street]],"Road"," Road")</f>
        <v>Bramble Gardens</v>
      </c>
      <c r="I897" t="str">
        <f>SUBSTITUTE(Table1[[#This Row],[Separate combined words ]],"?","")</f>
        <v>Bramble Gardens</v>
      </c>
      <c r="J897" t="str">
        <f>TRIM(Table1[[#This Row],[Remove Question Mark "?"]])</f>
        <v>Bramble Gardens</v>
      </c>
      <c r="K897" t="str">
        <f>PROPER(Table1[[#This Row],[Leading, Multiple &amp; Trailing spaces]])</f>
        <v>Bramble Gardens</v>
      </c>
      <c r="L897" t="str">
        <f t="shared" si="13"/>
        <v>Bramble Gardens</v>
      </c>
      <c r="M897" t="s">
        <v>3036</v>
      </c>
    </row>
    <row r="898" spans="1:13" x14ac:dyDescent="0.3">
      <c r="A898">
        <v>895</v>
      </c>
      <c r="B898" t="s">
        <v>1989</v>
      </c>
      <c r="C898" t="s">
        <v>3037</v>
      </c>
      <c r="D898" t="s">
        <v>2353</v>
      </c>
      <c r="E898" t="s">
        <v>3038</v>
      </c>
      <c r="F898" t="s">
        <v>300</v>
      </c>
      <c r="G898" t="str">
        <f xml:space="preserve"> PROPER(_xlfn.CONCAT(Table1[[#This Row],[Title]]," ",Table1[[#This Row],[First Name]]," ",Table1[[#This Row],[Last Name]]))</f>
        <v>Mr Morgan Montoya</v>
      </c>
      <c r="H898" t="str">
        <f>SUBSTITUTE(Table1[[#This Row],[Street]],"Road"," Road")</f>
        <v>Shepherdess Place</v>
      </c>
      <c r="I898" t="str">
        <f>SUBSTITUTE(Table1[[#This Row],[Separate combined words ]],"?","")</f>
        <v>Shepherdess Place</v>
      </c>
      <c r="J898" t="str">
        <f>TRIM(Table1[[#This Row],[Remove Question Mark "?"]])</f>
        <v>Shepherdess Place</v>
      </c>
      <c r="K898" t="str">
        <f>PROPER(Table1[[#This Row],[Leading, Multiple &amp; Trailing spaces]])</f>
        <v>Shepherdess Place</v>
      </c>
      <c r="L898" t="str">
        <f t="shared" si="13"/>
        <v>Shepherdess Place</v>
      </c>
      <c r="M898" t="s">
        <v>3038</v>
      </c>
    </row>
    <row r="899" spans="1:13" x14ac:dyDescent="0.3">
      <c r="A899">
        <v>896</v>
      </c>
      <c r="B899" t="s">
        <v>1768</v>
      </c>
      <c r="C899" t="s">
        <v>2970</v>
      </c>
      <c r="D899" t="s">
        <v>2353</v>
      </c>
      <c r="E899" t="s">
        <v>3039</v>
      </c>
      <c r="F899" t="s">
        <v>675</v>
      </c>
      <c r="G899" t="str">
        <f xml:space="preserve"> PROPER(_xlfn.CONCAT(Table1[[#This Row],[Title]]," ",Table1[[#This Row],[First Name]]," ",Table1[[#This Row],[Last Name]]))</f>
        <v>Mr Billy Robinson</v>
      </c>
      <c r="H899" t="str">
        <f>SUBSTITUTE(Table1[[#This Row],[Street]],"Road"," Road")</f>
        <v>Bartle Avenue</v>
      </c>
      <c r="I899" t="str">
        <f>SUBSTITUTE(Table1[[#This Row],[Separate combined words ]],"?","")</f>
        <v>Bartle Avenue</v>
      </c>
      <c r="J899" t="str">
        <f>TRIM(Table1[[#This Row],[Remove Question Mark "?"]])</f>
        <v>Bartle Avenue</v>
      </c>
      <c r="K899" t="str">
        <f>PROPER(Table1[[#This Row],[Leading, Multiple &amp; Trailing spaces]])</f>
        <v>Bartle Avenue</v>
      </c>
      <c r="L899" t="str">
        <f t="shared" si="13"/>
        <v>Bartle Avenue</v>
      </c>
      <c r="M899" t="s">
        <v>3039</v>
      </c>
    </row>
    <row r="900" spans="1:13" x14ac:dyDescent="0.3">
      <c r="A900">
        <v>897</v>
      </c>
      <c r="B900" t="s">
        <v>2933</v>
      </c>
      <c r="C900" t="s">
        <v>544</v>
      </c>
      <c r="D900" t="s">
        <v>2353</v>
      </c>
      <c r="E900" t="s">
        <v>3040</v>
      </c>
      <c r="F900" t="s">
        <v>518</v>
      </c>
      <c r="G900" t="str">
        <f xml:space="preserve"> PROPER(_xlfn.CONCAT(Table1[[#This Row],[Title]]," ",Table1[[#This Row],[First Name]]," ",Table1[[#This Row],[Last Name]]))</f>
        <v>Mr Basil Crouch</v>
      </c>
      <c r="H900" t="str">
        <f>SUBSTITUTE(Table1[[#This Row],[Street]],"Road"," Road")</f>
        <v>Sarah's Place</v>
      </c>
      <c r="I900" t="str">
        <f>SUBSTITUTE(Table1[[#This Row],[Separate combined words ]],"?","")</f>
        <v>Sarah's Place</v>
      </c>
      <c r="J900" t="str">
        <f>TRIM(Table1[[#This Row],[Remove Question Mark "?"]])</f>
        <v>Sarah's Place</v>
      </c>
      <c r="K900" t="str">
        <f>PROPER(Table1[[#This Row],[Leading, Multiple &amp; Trailing spaces]])</f>
        <v>Sarah'S Place</v>
      </c>
      <c r="L900" t="str">
        <f t="shared" si="13"/>
        <v>Sarah'S Place</v>
      </c>
      <c r="M900" t="s">
        <v>3440</v>
      </c>
    </row>
    <row r="901" spans="1:13" x14ac:dyDescent="0.3">
      <c r="A901">
        <v>898</v>
      </c>
      <c r="B901" t="s">
        <v>3041</v>
      </c>
      <c r="C901" t="s">
        <v>1793</v>
      </c>
      <c r="D901" t="s">
        <v>2353</v>
      </c>
      <c r="E901" t="s">
        <v>3042</v>
      </c>
      <c r="F901" t="s">
        <v>2902</v>
      </c>
      <c r="G901" t="str">
        <f xml:space="preserve"> PROPER(_xlfn.CONCAT(Table1[[#This Row],[Title]]," ",Table1[[#This Row],[First Name]]," ",Table1[[#This Row],[Last Name]]))</f>
        <v>Mr Weldon Willis</v>
      </c>
      <c r="H901" t="str">
        <f>SUBSTITUTE(Table1[[#This Row],[Street]],"Road"," Road")</f>
        <v>Hatcliffes Alms</v>
      </c>
      <c r="I901" t="str">
        <f>SUBSTITUTE(Table1[[#This Row],[Separate combined words ]],"?","")</f>
        <v>Hatcliffes Alms</v>
      </c>
      <c r="J901" t="str">
        <f>TRIM(Table1[[#This Row],[Remove Question Mark "?"]])</f>
        <v>Hatcliffes Alms</v>
      </c>
      <c r="K901" t="str">
        <f>PROPER(Table1[[#This Row],[Leading, Multiple &amp; Trailing spaces]])</f>
        <v>Hatcliffes Alms</v>
      </c>
      <c r="L901" t="str">
        <f t="shared" ref="L901:L964" si="14">TRIM(PROPER(SUBSTITUTE(SUBSTITUTE((E901),"?",""),"Road"," Road")))</f>
        <v>Hatcliffes Alms</v>
      </c>
      <c r="M901" t="s">
        <v>3042</v>
      </c>
    </row>
    <row r="902" spans="1:13" x14ac:dyDescent="0.3">
      <c r="A902">
        <v>899</v>
      </c>
      <c r="B902" t="s">
        <v>3043</v>
      </c>
      <c r="C902" t="s">
        <v>661</v>
      </c>
      <c r="D902" t="s">
        <v>2353</v>
      </c>
      <c r="E902" t="s">
        <v>3044</v>
      </c>
      <c r="F902" t="s">
        <v>1171</v>
      </c>
      <c r="G902" t="str">
        <f xml:space="preserve"> PROPER(_xlfn.CONCAT(Table1[[#This Row],[Title]]," ",Table1[[#This Row],[First Name]]," ",Table1[[#This Row],[Last Name]]))</f>
        <v>Mr Ignacio Gates</v>
      </c>
      <c r="H902" t="str">
        <f>SUBSTITUTE(Table1[[#This Row],[Street]],"Road"," Road")</f>
        <v>Normanton Park</v>
      </c>
      <c r="I902" t="str">
        <f>SUBSTITUTE(Table1[[#This Row],[Separate combined words ]],"?","")</f>
        <v>Normanton Park</v>
      </c>
      <c r="J902" t="str">
        <f>TRIM(Table1[[#This Row],[Remove Question Mark "?"]])</f>
        <v>Normanton Park</v>
      </c>
      <c r="K902" t="str">
        <f>PROPER(Table1[[#This Row],[Leading, Multiple &amp; Trailing spaces]])</f>
        <v>Normanton Park</v>
      </c>
      <c r="L902" t="str">
        <f t="shared" si="14"/>
        <v>Normanton Park</v>
      </c>
      <c r="M902" t="s">
        <v>3044</v>
      </c>
    </row>
    <row r="903" spans="1:13" x14ac:dyDescent="0.3">
      <c r="A903">
        <v>900</v>
      </c>
      <c r="B903" t="s">
        <v>3045</v>
      </c>
      <c r="C903" t="s">
        <v>483</v>
      </c>
      <c r="D903" t="s">
        <v>2353</v>
      </c>
      <c r="E903" t="s">
        <v>3046</v>
      </c>
      <c r="F903" t="s">
        <v>647</v>
      </c>
      <c r="G903" t="str">
        <f xml:space="preserve"> PROPER(_xlfn.CONCAT(Table1[[#This Row],[Title]]," ",Table1[[#This Row],[First Name]]," ",Table1[[#This Row],[Last Name]]))</f>
        <v>Mr Harry Moreland</v>
      </c>
      <c r="H903" t="str">
        <f>SUBSTITUTE(Table1[[#This Row],[Street]],"Road"," Road")</f>
        <v>Masslands Cottage</v>
      </c>
      <c r="I903" t="str">
        <f>SUBSTITUTE(Table1[[#This Row],[Separate combined words ]],"?","")</f>
        <v>Masslands Cottage</v>
      </c>
      <c r="J903" t="str">
        <f>TRIM(Table1[[#This Row],[Remove Question Mark "?"]])</f>
        <v>Masslands Cottage</v>
      </c>
      <c r="K903" t="str">
        <f>PROPER(Table1[[#This Row],[Leading, Multiple &amp; Trailing spaces]])</f>
        <v>Masslands Cottage</v>
      </c>
      <c r="L903" t="str">
        <f t="shared" si="14"/>
        <v>Masslands Cottage</v>
      </c>
      <c r="M903" t="s">
        <v>3046</v>
      </c>
    </row>
    <row r="904" spans="1:13" x14ac:dyDescent="0.3">
      <c r="A904">
        <v>901</v>
      </c>
      <c r="B904" t="s">
        <v>3047</v>
      </c>
      <c r="C904" t="s">
        <v>908</v>
      </c>
      <c r="D904" t="s">
        <v>2353</v>
      </c>
      <c r="E904" t="s">
        <v>3048</v>
      </c>
      <c r="F904" t="s">
        <v>445</v>
      </c>
      <c r="G904" t="str">
        <f xml:space="preserve"> PROPER(_xlfn.CONCAT(Table1[[#This Row],[Title]]," ",Table1[[#This Row],[First Name]]," ",Table1[[#This Row],[Last Name]]))</f>
        <v>Mr Chance Arredondo</v>
      </c>
      <c r="H904" t="str">
        <f>SUBSTITUTE(Table1[[#This Row],[Street]],"Road"," Road")</f>
        <v>Sherwood Villas</v>
      </c>
      <c r="I904" t="str">
        <f>SUBSTITUTE(Table1[[#This Row],[Separate combined words ]],"?","")</f>
        <v>Sherwood Villas</v>
      </c>
      <c r="J904" t="str">
        <f>TRIM(Table1[[#This Row],[Remove Question Mark "?"]])</f>
        <v>Sherwood Villas</v>
      </c>
      <c r="K904" t="str">
        <f>PROPER(Table1[[#This Row],[Leading, Multiple &amp; Trailing spaces]])</f>
        <v>Sherwood Villas</v>
      </c>
      <c r="L904" t="str">
        <f t="shared" si="14"/>
        <v>Sherwood Villas</v>
      </c>
      <c r="M904" t="s">
        <v>3048</v>
      </c>
    </row>
    <row r="905" spans="1:13" x14ac:dyDescent="0.3">
      <c r="A905">
        <v>902</v>
      </c>
      <c r="B905" t="s">
        <v>3049</v>
      </c>
      <c r="C905" t="s">
        <v>3050</v>
      </c>
      <c r="D905" t="s">
        <v>2353</v>
      </c>
      <c r="E905" t="s">
        <v>3051</v>
      </c>
      <c r="F905" t="s">
        <v>2033</v>
      </c>
      <c r="G905" t="str">
        <f xml:space="preserve"> PROPER(_xlfn.CONCAT(Table1[[#This Row],[Title]]," ",Table1[[#This Row],[First Name]]," ",Table1[[#This Row],[Last Name]]))</f>
        <v>Mr Carlton Meier</v>
      </c>
      <c r="H905" t="str">
        <f>SUBSTITUTE(Table1[[#This Row],[Street]],"Road"," Road")</f>
        <v>Hambledon Gardens</v>
      </c>
      <c r="I905" t="str">
        <f>SUBSTITUTE(Table1[[#This Row],[Separate combined words ]],"?","")</f>
        <v>Hambledon Gardens</v>
      </c>
      <c r="J905" t="str">
        <f>TRIM(Table1[[#This Row],[Remove Question Mark "?"]])</f>
        <v>Hambledon Gardens</v>
      </c>
      <c r="K905" t="str">
        <f>PROPER(Table1[[#This Row],[Leading, Multiple &amp; Trailing spaces]])</f>
        <v>Hambledon Gardens</v>
      </c>
      <c r="L905" t="str">
        <f t="shared" si="14"/>
        <v>Hambledon Gardens</v>
      </c>
      <c r="M905" t="s">
        <v>3051</v>
      </c>
    </row>
    <row r="906" spans="1:13" x14ac:dyDescent="0.3">
      <c r="A906">
        <v>903</v>
      </c>
      <c r="B906" t="s">
        <v>3052</v>
      </c>
      <c r="C906" t="s">
        <v>480</v>
      </c>
      <c r="D906" t="s">
        <v>2353</v>
      </c>
      <c r="E906" t="s">
        <v>3053</v>
      </c>
      <c r="F906" t="s">
        <v>454</v>
      </c>
      <c r="G906" t="str">
        <f xml:space="preserve"> PROPER(_xlfn.CONCAT(Table1[[#This Row],[Title]]," ",Table1[[#This Row],[First Name]]," ",Table1[[#This Row],[Last Name]]))</f>
        <v>Mr Bennie Sewell</v>
      </c>
      <c r="H906" t="str">
        <f>SUBSTITUTE(Table1[[#This Row],[Street]],"Road"," Road")</f>
        <v>Coupland Terrace</v>
      </c>
      <c r="I906" t="str">
        <f>SUBSTITUTE(Table1[[#This Row],[Separate combined words ]],"?","")</f>
        <v>Coupland Terrace</v>
      </c>
      <c r="J906" t="str">
        <f>TRIM(Table1[[#This Row],[Remove Question Mark "?"]])</f>
        <v>Coupland Terrace</v>
      </c>
      <c r="K906" t="str">
        <f>PROPER(Table1[[#This Row],[Leading, Multiple &amp; Trailing spaces]])</f>
        <v>Coupland Terrace</v>
      </c>
      <c r="L906" t="str">
        <f t="shared" si="14"/>
        <v>Coupland Terrace</v>
      </c>
      <c r="M906" t="s">
        <v>3053</v>
      </c>
    </row>
    <row r="907" spans="1:13" x14ac:dyDescent="0.3">
      <c r="A907">
        <v>904</v>
      </c>
      <c r="B907" t="s">
        <v>2877</v>
      </c>
      <c r="C907" t="s">
        <v>3054</v>
      </c>
      <c r="D907" t="s">
        <v>2353</v>
      </c>
      <c r="E907" t="s">
        <v>3055</v>
      </c>
      <c r="F907" t="s">
        <v>1110</v>
      </c>
      <c r="G907" t="str">
        <f xml:space="preserve"> PROPER(_xlfn.CONCAT(Table1[[#This Row],[Title]]," ",Table1[[#This Row],[First Name]]," ",Table1[[#This Row],[Last Name]]))</f>
        <v>Mr Rex Calvert</v>
      </c>
      <c r="H907" t="str">
        <f>SUBSTITUTE(Table1[[#This Row],[Street]],"Road"," Road")</f>
        <v>Radbourne  Road</v>
      </c>
      <c r="I907" t="str">
        <f>SUBSTITUTE(Table1[[#This Row],[Separate combined words ]],"?","")</f>
        <v>Radbourne  Road</v>
      </c>
      <c r="J907" t="str">
        <f>TRIM(Table1[[#This Row],[Remove Question Mark "?"]])</f>
        <v>Radbourne Road</v>
      </c>
      <c r="K907" t="str">
        <f>PROPER(Table1[[#This Row],[Leading, Multiple &amp; Trailing spaces]])</f>
        <v>Radbourne Road</v>
      </c>
      <c r="L907" t="str">
        <f t="shared" si="14"/>
        <v>Radbourne Road</v>
      </c>
      <c r="M907" t="s">
        <v>3055</v>
      </c>
    </row>
    <row r="908" spans="1:13" x14ac:dyDescent="0.3">
      <c r="A908">
        <v>905</v>
      </c>
      <c r="B908" t="s">
        <v>2985</v>
      </c>
      <c r="C908" t="s">
        <v>3056</v>
      </c>
      <c r="D908" t="s">
        <v>2353</v>
      </c>
      <c r="E908" t="s">
        <v>3057</v>
      </c>
      <c r="F908" t="s">
        <v>657</v>
      </c>
      <c r="G908" t="str">
        <f xml:space="preserve"> PROPER(_xlfn.CONCAT(Table1[[#This Row],[Title]]," ",Table1[[#This Row],[First Name]]," ",Table1[[#This Row],[Last Name]]))</f>
        <v>Mr Matthew Spears</v>
      </c>
      <c r="H908" t="str">
        <f>SUBSTITUTE(Table1[[#This Row],[Street]],"Road"," Road")</f>
        <v>Ceres  Road</v>
      </c>
      <c r="I908" t="str">
        <f>SUBSTITUTE(Table1[[#This Row],[Separate combined words ]],"?","")</f>
        <v>Ceres  Road</v>
      </c>
      <c r="J908" t="str">
        <f>TRIM(Table1[[#This Row],[Remove Question Mark "?"]])</f>
        <v>Ceres Road</v>
      </c>
      <c r="K908" t="str">
        <f>PROPER(Table1[[#This Row],[Leading, Multiple &amp; Trailing spaces]])</f>
        <v>Ceres Road</v>
      </c>
      <c r="L908" t="str">
        <f t="shared" si="14"/>
        <v>Ceres Road</v>
      </c>
      <c r="M908" t="s">
        <v>3057</v>
      </c>
    </row>
    <row r="909" spans="1:13" x14ac:dyDescent="0.3">
      <c r="A909">
        <v>906</v>
      </c>
      <c r="B909" t="s">
        <v>3058</v>
      </c>
      <c r="C909" t="s">
        <v>3059</v>
      </c>
      <c r="D909" t="s">
        <v>2353</v>
      </c>
      <c r="E909" t="s">
        <v>3060</v>
      </c>
      <c r="F909" t="s">
        <v>1132</v>
      </c>
      <c r="G909" t="str">
        <f xml:space="preserve"> PROPER(_xlfn.CONCAT(Table1[[#This Row],[Title]]," ",Table1[[#This Row],[First Name]]," ",Table1[[#This Row],[Last Name]]))</f>
        <v>Mr Jon Foote</v>
      </c>
      <c r="H909" t="str">
        <f>SUBSTITUTE(Table1[[#This Row],[Street]],"Road"," Road")</f>
        <v>Crabtree Walk</v>
      </c>
      <c r="I909" t="str">
        <f>SUBSTITUTE(Table1[[#This Row],[Separate combined words ]],"?","")</f>
        <v>Crabtree Walk</v>
      </c>
      <c r="J909" t="str">
        <f>TRIM(Table1[[#This Row],[Remove Question Mark "?"]])</f>
        <v>Crabtree Walk</v>
      </c>
      <c r="K909" t="str">
        <f>PROPER(Table1[[#This Row],[Leading, Multiple &amp; Trailing spaces]])</f>
        <v>Crabtree Walk</v>
      </c>
      <c r="L909" t="str">
        <f t="shared" si="14"/>
        <v>Crabtree Walk</v>
      </c>
      <c r="M909" t="s">
        <v>3060</v>
      </c>
    </row>
    <row r="910" spans="1:13" x14ac:dyDescent="0.3">
      <c r="A910">
        <v>907</v>
      </c>
      <c r="B910" t="s">
        <v>3061</v>
      </c>
      <c r="C910" t="s">
        <v>1831</v>
      </c>
      <c r="D910" t="s">
        <v>2353</v>
      </c>
      <c r="E910" t="s">
        <v>3062</v>
      </c>
      <c r="F910" t="s">
        <v>2738</v>
      </c>
      <c r="G910" t="str">
        <f xml:space="preserve"> PROPER(_xlfn.CONCAT(Table1[[#This Row],[Title]]," ",Table1[[#This Row],[First Name]]," ",Table1[[#This Row],[Last Name]]))</f>
        <v>Mr Raymon Mcdonough</v>
      </c>
      <c r="H910" t="str">
        <f>SUBSTITUTE(Table1[[#This Row],[Street]],"Road"," Road")</f>
        <v>Balben Path</v>
      </c>
      <c r="I910" t="str">
        <f>SUBSTITUTE(Table1[[#This Row],[Separate combined words ]],"?","")</f>
        <v>Balben Path</v>
      </c>
      <c r="J910" t="str">
        <f>TRIM(Table1[[#This Row],[Remove Question Mark "?"]])</f>
        <v>Balben Path</v>
      </c>
      <c r="K910" t="str">
        <f>PROPER(Table1[[#This Row],[Leading, Multiple &amp; Trailing spaces]])</f>
        <v>Balben Path</v>
      </c>
      <c r="L910" t="str">
        <f t="shared" si="14"/>
        <v>Balben Path</v>
      </c>
      <c r="M910" t="s">
        <v>3062</v>
      </c>
    </row>
    <row r="911" spans="1:13" x14ac:dyDescent="0.3">
      <c r="A911">
        <v>908</v>
      </c>
      <c r="B911" t="s">
        <v>3063</v>
      </c>
      <c r="C911" t="s">
        <v>3064</v>
      </c>
      <c r="D911" t="s">
        <v>2353</v>
      </c>
      <c r="E911" t="s">
        <v>3065</v>
      </c>
      <c r="F911" t="s">
        <v>3066</v>
      </c>
      <c r="G911" t="str">
        <f xml:space="preserve"> PROPER(_xlfn.CONCAT(Table1[[#This Row],[Title]]," ",Table1[[#This Row],[First Name]]," ",Table1[[#This Row],[Last Name]]))</f>
        <v>Mr Isaias Spangler</v>
      </c>
      <c r="H911" t="str">
        <f>SUBSTITUTE(Table1[[#This Row],[Street]],"Road"," Road")</f>
        <v>Haysleigh Gardens</v>
      </c>
      <c r="I911" t="str">
        <f>SUBSTITUTE(Table1[[#This Row],[Separate combined words ]],"?","")</f>
        <v>Haysleigh Gardens</v>
      </c>
      <c r="J911" t="str">
        <f>TRIM(Table1[[#This Row],[Remove Question Mark "?"]])</f>
        <v>Haysleigh Gardens</v>
      </c>
      <c r="K911" t="str">
        <f>PROPER(Table1[[#This Row],[Leading, Multiple &amp; Trailing spaces]])</f>
        <v>Haysleigh Gardens</v>
      </c>
      <c r="L911" t="str">
        <f t="shared" si="14"/>
        <v>Haysleigh Gardens</v>
      </c>
      <c r="M911" t="s">
        <v>3065</v>
      </c>
    </row>
    <row r="912" spans="1:13" x14ac:dyDescent="0.3">
      <c r="A912">
        <v>909</v>
      </c>
      <c r="B912" t="s">
        <v>3067</v>
      </c>
      <c r="C912" t="s">
        <v>38</v>
      </c>
      <c r="D912" t="s">
        <v>2353</v>
      </c>
      <c r="E912" t="s">
        <v>3068</v>
      </c>
      <c r="F912" t="s">
        <v>585</v>
      </c>
      <c r="G912" t="str">
        <f xml:space="preserve"> PROPER(_xlfn.CONCAT(Table1[[#This Row],[Title]]," ",Table1[[#This Row],[First Name]]," ",Table1[[#This Row],[Last Name]]))</f>
        <v>Mr Genaro Martin</v>
      </c>
      <c r="H912" t="str">
        <f>SUBSTITUTE(Table1[[#This Row],[Street]],"Road"," Road")</f>
        <v>Moulen House</v>
      </c>
      <c r="I912" t="str">
        <f>SUBSTITUTE(Table1[[#This Row],[Separate combined words ]],"?","")</f>
        <v>Moulen House</v>
      </c>
      <c r="J912" t="str">
        <f>TRIM(Table1[[#This Row],[Remove Question Mark "?"]])</f>
        <v>Moulen House</v>
      </c>
      <c r="K912" t="str">
        <f>PROPER(Table1[[#This Row],[Leading, Multiple &amp; Trailing spaces]])</f>
        <v>Moulen House</v>
      </c>
      <c r="L912" t="str">
        <f t="shared" si="14"/>
        <v>Moulen House</v>
      </c>
      <c r="M912" t="s">
        <v>3068</v>
      </c>
    </row>
    <row r="913" spans="1:13" x14ac:dyDescent="0.3">
      <c r="A913">
        <v>910</v>
      </c>
      <c r="B913" t="s">
        <v>210</v>
      </c>
      <c r="C913" t="s">
        <v>2289</v>
      </c>
      <c r="D913" t="s">
        <v>2353</v>
      </c>
      <c r="E913" t="s">
        <v>3069</v>
      </c>
      <c r="F913" t="s">
        <v>3070</v>
      </c>
      <c r="G913" t="str">
        <f xml:space="preserve"> PROPER(_xlfn.CONCAT(Table1[[#This Row],[Title]]," ",Table1[[#This Row],[First Name]]," ",Table1[[#This Row],[Last Name]]))</f>
        <v>Mr Dannie Pruitt</v>
      </c>
      <c r="H913" t="str">
        <f>SUBSTITUTE(Table1[[#This Row],[Street]],"Road"," Road")</f>
        <v>Alison Close</v>
      </c>
      <c r="I913" t="str">
        <f>SUBSTITUTE(Table1[[#This Row],[Separate combined words ]],"?","")</f>
        <v>Alison Close</v>
      </c>
      <c r="J913" t="str">
        <f>TRIM(Table1[[#This Row],[Remove Question Mark "?"]])</f>
        <v>Alison Close</v>
      </c>
      <c r="K913" t="str">
        <f>PROPER(Table1[[#This Row],[Leading, Multiple &amp; Trailing spaces]])</f>
        <v>Alison Close</v>
      </c>
      <c r="L913" t="str">
        <f t="shared" si="14"/>
        <v>Alison Close</v>
      </c>
      <c r="M913" t="s">
        <v>3069</v>
      </c>
    </row>
    <row r="914" spans="1:13" x14ac:dyDescent="0.3">
      <c r="A914">
        <v>911</v>
      </c>
      <c r="B914" t="s">
        <v>3071</v>
      </c>
      <c r="C914" t="s">
        <v>3072</v>
      </c>
      <c r="D914" t="s">
        <v>2353</v>
      </c>
      <c r="E914" t="s">
        <v>3073</v>
      </c>
      <c r="F914" t="s">
        <v>2355</v>
      </c>
      <c r="G914" t="str">
        <f xml:space="preserve"> PROPER(_xlfn.CONCAT(Table1[[#This Row],[Title]]," ",Table1[[#This Row],[First Name]]," ",Table1[[#This Row],[Last Name]]))</f>
        <v>Mr Kareem Hutchison</v>
      </c>
      <c r="H914" t="str">
        <f>SUBSTITUTE(Table1[[#This Row],[Street]],"Road"," Road")</f>
        <v>Holborn</v>
      </c>
      <c r="I914" t="str">
        <f>SUBSTITUTE(Table1[[#This Row],[Separate combined words ]],"?","")</f>
        <v>Holborn</v>
      </c>
      <c r="J914" t="str">
        <f>TRIM(Table1[[#This Row],[Remove Question Mark "?"]])</f>
        <v>Holborn</v>
      </c>
      <c r="K914" t="str">
        <f>PROPER(Table1[[#This Row],[Leading, Multiple &amp; Trailing spaces]])</f>
        <v>Holborn</v>
      </c>
      <c r="L914" t="str">
        <f t="shared" si="14"/>
        <v>Holborn</v>
      </c>
      <c r="M914" t="s">
        <v>3073</v>
      </c>
    </row>
    <row r="915" spans="1:13" x14ac:dyDescent="0.3">
      <c r="A915">
        <v>912</v>
      </c>
      <c r="B915" t="s">
        <v>3074</v>
      </c>
      <c r="C915" t="s">
        <v>2435</v>
      </c>
      <c r="D915" t="s">
        <v>2353</v>
      </c>
      <c r="E915" t="s">
        <v>3075</v>
      </c>
      <c r="F915" t="s">
        <v>3076</v>
      </c>
      <c r="G915" t="str">
        <f xml:space="preserve"> PROPER(_xlfn.CONCAT(Table1[[#This Row],[Title]]," ",Table1[[#This Row],[First Name]]," ",Table1[[#This Row],[Last Name]]))</f>
        <v>Mr Myles Daly</v>
      </c>
      <c r="H915" t="str">
        <f>SUBSTITUTE(Table1[[#This Row],[Street]],"Road"," Road")</f>
        <v>Friars  Road</v>
      </c>
      <c r="I915" t="str">
        <f>SUBSTITUTE(Table1[[#This Row],[Separate combined words ]],"?","")</f>
        <v>Friars  Road</v>
      </c>
      <c r="J915" t="str">
        <f>TRIM(Table1[[#This Row],[Remove Question Mark "?"]])</f>
        <v>Friars Road</v>
      </c>
      <c r="K915" t="str">
        <f>PROPER(Table1[[#This Row],[Leading, Multiple &amp; Trailing spaces]])</f>
        <v>Friars Road</v>
      </c>
      <c r="L915" t="str">
        <f t="shared" si="14"/>
        <v>Friars Road</v>
      </c>
      <c r="M915" t="s">
        <v>3075</v>
      </c>
    </row>
    <row r="916" spans="1:13" x14ac:dyDescent="0.3">
      <c r="A916">
        <v>913</v>
      </c>
      <c r="B916" t="s">
        <v>3077</v>
      </c>
      <c r="C916" t="s">
        <v>329</v>
      </c>
      <c r="D916" t="s">
        <v>2353</v>
      </c>
      <c r="E916" t="s">
        <v>1141</v>
      </c>
      <c r="F916" t="s">
        <v>3078</v>
      </c>
      <c r="G916" t="str">
        <f xml:space="preserve"> PROPER(_xlfn.CONCAT(Table1[[#This Row],[Title]]," ",Table1[[#This Row],[First Name]]," ",Table1[[#This Row],[Last Name]]))</f>
        <v>Mr Bradley Paulson</v>
      </c>
      <c r="H916" t="str">
        <f>SUBSTITUTE(Table1[[#This Row],[Street]],"Road"," Road")</f>
        <v>Kingfisher Close</v>
      </c>
      <c r="I916" t="str">
        <f>SUBSTITUTE(Table1[[#This Row],[Separate combined words ]],"?","")</f>
        <v>Kingfisher Close</v>
      </c>
      <c r="J916" t="str">
        <f>TRIM(Table1[[#This Row],[Remove Question Mark "?"]])</f>
        <v>Kingfisher Close</v>
      </c>
      <c r="K916" t="str">
        <f>PROPER(Table1[[#This Row],[Leading, Multiple &amp; Trailing spaces]])</f>
        <v>Kingfisher Close</v>
      </c>
      <c r="L916" t="str">
        <f t="shared" si="14"/>
        <v>Kingfisher Close</v>
      </c>
      <c r="M916" t="s">
        <v>1141</v>
      </c>
    </row>
    <row r="917" spans="1:13" x14ac:dyDescent="0.3">
      <c r="A917">
        <v>914</v>
      </c>
      <c r="B917" t="s">
        <v>3079</v>
      </c>
      <c r="C917" t="s">
        <v>2410</v>
      </c>
      <c r="D917" t="s">
        <v>2353</v>
      </c>
      <c r="E917" t="s">
        <v>3080</v>
      </c>
      <c r="F917" t="s">
        <v>3081</v>
      </c>
      <c r="G917" t="str">
        <f xml:space="preserve"> PROPER(_xlfn.CONCAT(Table1[[#This Row],[Title]]," ",Table1[[#This Row],[First Name]]," ",Table1[[#This Row],[Last Name]]))</f>
        <v>Mr Lloyd Dahl</v>
      </c>
      <c r="H917" t="str">
        <f>SUBSTITUTE(Table1[[#This Row],[Street]],"Road"," Road")</f>
        <v>Farnborough Way</v>
      </c>
      <c r="I917" t="str">
        <f>SUBSTITUTE(Table1[[#This Row],[Separate combined words ]],"?","")</f>
        <v>Farnborough Way</v>
      </c>
      <c r="J917" t="str">
        <f>TRIM(Table1[[#This Row],[Remove Question Mark "?"]])</f>
        <v>Farnborough Way</v>
      </c>
      <c r="K917" t="str">
        <f>PROPER(Table1[[#This Row],[Leading, Multiple &amp; Trailing spaces]])</f>
        <v>Farnborough Way</v>
      </c>
      <c r="L917" t="str">
        <f t="shared" si="14"/>
        <v>Farnborough Way</v>
      </c>
      <c r="M917" t="s">
        <v>3080</v>
      </c>
    </row>
    <row r="918" spans="1:13" x14ac:dyDescent="0.3">
      <c r="A918">
        <v>915</v>
      </c>
      <c r="B918" t="s">
        <v>3082</v>
      </c>
      <c r="C918" t="s">
        <v>3083</v>
      </c>
      <c r="D918" t="s">
        <v>2353</v>
      </c>
      <c r="E918" t="s">
        <v>3084</v>
      </c>
      <c r="F918" t="s">
        <v>1148</v>
      </c>
      <c r="G918" t="str">
        <f xml:space="preserve"> PROPER(_xlfn.CONCAT(Table1[[#This Row],[Title]]," ",Table1[[#This Row],[First Name]]," ",Table1[[#This Row],[Last Name]]))</f>
        <v>Mr Clyde Diggs</v>
      </c>
      <c r="H918" t="str">
        <f>SUBSTITUTE(Table1[[#This Row],[Street]],"Road"," Road")</f>
        <v>Brockley Hall</v>
      </c>
      <c r="I918" t="str">
        <f>SUBSTITUTE(Table1[[#This Row],[Separate combined words ]],"?","")</f>
        <v>Brockley Hall</v>
      </c>
      <c r="J918" t="str">
        <f>TRIM(Table1[[#This Row],[Remove Question Mark "?"]])</f>
        <v>Brockley Hall</v>
      </c>
      <c r="K918" t="str">
        <f>PROPER(Table1[[#This Row],[Leading, Multiple &amp; Trailing spaces]])</f>
        <v>Brockley Hall</v>
      </c>
      <c r="L918" t="str">
        <f t="shared" si="14"/>
        <v>Brockley Hall</v>
      </c>
      <c r="M918" t="s">
        <v>3084</v>
      </c>
    </row>
    <row r="919" spans="1:13" x14ac:dyDescent="0.3">
      <c r="A919">
        <v>916</v>
      </c>
      <c r="B919" t="s">
        <v>3085</v>
      </c>
      <c r="C919" t="s">
        <v>3086</v>
      </c>
      <c r="D919" t="s">
        <v>2353</v>
      </c>
      <c r="E919" t="s">
        <v>3087</v>
      </c>
      <c r="F919" t="s">
        <v>3088</v>
      </c>
      <c r="G919" t="str">
        <f xml:space="preserve"> PROPER(_xlfn.CONCAT(Table1[[#This Row],[Title]]," ",Table1[[#This Row],[First Name]]," ",Table1[[#This Row],[Last Name]]))</f>
        <v>Mr Dylan Hoyt</v>
      </c>
      <c r="H919" t="str">
        <f>SUBSTITUTE(Table1[[#This Row],[Street]],"Road"," Road")</f>
        <v>Garden Close</v>
      </c>
      <c r="I919" t="str">
        <f>SUBSTITUTE(Table1[[#This Row],[Separate combined words ]],"?","")</f>
        <v>Garden Close</v>
      </c>
      <c r="J919" t="str">
        <f>TRIM(Table1[[#This Row],[Remove Question Mark "?"]])</f>
        <v>Garden Close</v>
      </c>
      <c r="K919" t="str">
        <f>PROPER(Table1[[#This Row],[Leading, Multiple &amp; Trailing spaces]])</f>
        <v>Garden Close</v>
      </c>
      <c r="L919" t="str">
        <f t="shared" si="14"/>
        <v>Garden Close</v>
      </c>
      <c r="M919" t="s">
        <v>3087</v>
      </c>
    </row>
    <row r="920" spans="1:13" x14ac:dyDescent="0.3">
      <c r="A920">
        <v>917</v>
      </c>
      <c r="B920" t="s">
        <v>3089</v>
      </c>
      <c r="C920" t="s">
        <v>692</v>
      </c>
      <c r="D920" t="s">
        <v>2353</v>
      </c>
      <c r="E920" t="s">
        <v>3090</v>
      </c>
      <c r="F920" t="s">
        <v>3091</v>
      </c>
      <c r="G920" t="str">
        <f xml:space="preserve"> PROPER(_xlfn.CONCAT(Table1[[#This Row],[Title]]," ",Table1[[#This Row],[First Name]]," ",Table1[[#This Row],[Last Name]]))</f>
        <v>Mr Dewayne Walter</v>
      </c>
      <c r="H920" t="str">
        <f>SUBSTITUTE(Table1[[#This Row],[Street]],"Road"," Road")</f>
        <v>Claps Gate</v>
      </c>
      <c r="I920" t="str">
        <f>SUBSTITUTE(Table1[[#This Row],[Separate combined words ]],"?","")</f>
        <v>Claps Gate</v>
      </c>
      <c r="J920" t="str">
        <f>TRIM(Table1[[#This Row],[Remove Question Mark "?"]])</f>
        <v>Claps Gate</v>
      </c>
      <c r="K920" t="str">
        <f>PROPER(Table1[[#This Row],[Leading, Multiple &amp; Trailing spaces]])</f>
        <v>Claps Gate</v>
      </c>
      <c r="L920" t="str">
        <f t="shared" si="14"/>
        <v>Claps Gate</v>
      </c>
      <c r="M920" t="s">
        <v>3090</v>
      </c>
    </row>
    <row r="921" spans="1:13" x14ac:dyDescent="0.3">
      <c r="A921">
        <v>918</v>
      </c>
      <c r="B921" t="s">
        <v>3092</v>
      </c>
      <c r="C921" t="s">
        <v>3093</v>
      </c>
      <c r="D921" t="s">
        <v>2353</v>
      </c>
      <c r="E921" t="s">
        <v>3094</v>
      </c>
      <c r="F921" t="s">
        <v>952</v>
      </c>
      <c r="G921" t="str">
        <f xml:space="preserve"> PROPER(_xlfn.CONCAT(Table1[[#This Row],[Title]]," ",Table1[[#This Row],[First Name]]," ",Table1[[#This Row],[Last Name]]))</f>
        <v>Mr Alonzo Rodrigues</v>
      </c>
      <c r="H921" t="str">
        <f>SUBSTITUTE(Table1[[#This Row],[Street]],"Road"," Road")</f>
        <v>Pierrepoint  Road</v>
      </c>
      <c r="I921" t="str">
        <f>SUBSTITUTE(Table1[[#This Row],[Separate combined words ]],"?","")</f>
        <v>Pierrepoint  Road</v>
      </c>
      <c r="J921" t="str">
        <f>TRIM(Table1[[#This Row],[Remove Question Mark "?"]])</f>
        <v>Pierrepoint Road</v>
      </c>
      <c r="K921" t="str">
        <f>PROPER(Table1[[#This Row],[Leading, Multiple &amp; Trailing spaces]])</f>
        <v>Pierrepoint Road</v>
      </c>
      <c r="L921" t="str">
        <f t="shared" si="14"/>
        <v>Pierrepoint Road</v>
      </c>
      <c r="M921" t="s">
        <v>3094</v>
      </c>
    </row>
    <row r="922" spans="1:13" x14ac:dyDescent="0.3">
      <c r="A922">
        <v>919</v>
      </c>
      <c r="B922" t="s">
        <v>3095</v>
      </c>
      <c r="C922" t="s">
        <v>3096</v>
      </c>
      <c r="D922" t="s">
        <v>2353</v>
      </c>
      <c r="E922" t="s">
        <v>3097</v>
      </c>
      <c r="F922" t="s">
        <v>3098</v>
      </c>
      <c r="G922" t="str">
        <f xml:space="preserve"> PROPER(_xlfn.CONCAT(Table1[[#This Row],[Title]]," ",Table1[[#This Row],[First Name]]," ",Table1[[#This Row],[Last Name]]))</f>
        <v>Mr Jewel Oakes</v>
      </c>
      <c r="H922" t="str">
        <f>SUBSTITUTE(Table1[[#This Row],[Street]],"Road"," Road")</f>
        <v>Lobelia Close</v>
      </c>
      <c r="I922" t="str">
        <f>SUBSTITUTE(Table1[[#This Row],[Separate combined words ]],"?","")</f>
        <v>Lobelia Close</v>
      </c>
      <c r="J922" t="str">
        <f>TRIM(Table1[[#This Row],[Remove Question Mark "?"]])</f>
        <v>Lobelia Close</v>
      </c>
      <c r="K922" t="str">
        <f>PROPER(Table1[[#This Row],[Leading, Multiple &amp; Trailing spaces]])</f>
        <v>Lobelia Close</v>
      </c>
      <c r="L922" t="str">
        <f t="shared" si="14"/>
        <v>Lobelia Close</v>
      </c>
      <c r="M922" t="s">
        <v>3097</v>
      </c>
    </row>
    <row r="923" spans="1:13" x14ac:dyDescent="0.3">
      <c r="A923">
        <v>920</v>
      </c>
      <c r="B923" t="s">
        <v>2544</v>
      </c>
      <c r="C923" t="s">
        <v>2081</v>
      </c>
      <c r="D923" t="s">
        <v>2353</v>
      </c>
      <c r="E923" t="s">
        <v>3099</v>
      </c>
      <c r="F923" t="s">
        <v>2748</v>
      </c>
      <c r="G923" t="str">
        <f xml:space="preserve"> PROPER(_xlfn.CONCAT(Table1[[#This Row],[Title]]," ",Table1[[#This Row],[First Name]]," ",Table1[[#This Row],[Last Name]]))</f>
        <v>Mr Arnoldo Wong</v>
      </c>
      <c r="H923" t="str">
        <f>SUBSTITUTE(Table1[[#This Row],[Street]],"Road"," Road")</f>
        <v>Amies Street</v>
      </c>
      <c r="I923" t="str">
        <f>SUBSTITUTE(Table1[[#This Row],[Separate combined words ]],"?","")</f>
        <v>Amies Street</v>
      </c>
      <c r="J923" t="str">
        <f>TRIM(Table1[[#This Row],[Remove Question Mark "?"]])</f>
        <v>Amies Street</v>
      </c>
      <c r="K923" t="str">
        <f>PROPER(Table1[[#This Row],[Leading, Multiple &amp; Trailing spaces]])</f>
        <v>Amies Street</v>
      </c>
      <c r="L923" t="str">
        <f t="shared" si="14"/>
        <v>Amies Street</v>
      </c>
      <c r="M923" t="s">
        <v>3099</v>
      </c>
    </row>
    <row r="924" spans="1:13" x14ac:dyDescent="0.3">
      <c r="A924">
        <v>921</v>
      </c>
      <c r="B924" t="s">
        <v>3100</v>
      </c>
      <c r="C924" t="s">
        <v>3101</v>
      </c>
      <c r="D924" t="s">
        <v>2353</v>
      </c>
      <c r="E924" t="s">
        <v>3102</v>
      </c>
      <c r="F924" t="s">
        <v>3103</v>
      </c>
      <c r="G924" t="str">
        <f xml:space="preserve"> PROPER(_xlfn.CONCAT(Table1[[#This Row],[Title]]," ",Table1[[#This Row],[First Name]]," ",Table1[[#This Row],[Last Name]]))</f>
        <v>Mr Orlando Hooker</v>
      </c>
      <c r="H924" t="str">
        <f>SUBSTITUTE(Table1[[#This Row],[Street]],"Road"," Road")</f>
        <v>Ottaway Street</v>
      </c>
      <c r="I924" t="str">
        <f>SUBSTITUTE(Table1[[#This Row],[Separate combined words ]],"?","")</f>
        <v>Ottaway Street</v>
      </c>
      <c r="J924" t="str">
        <f>TRIM(Table1[[#This Row],[Remove Question Mark "?"]])</f>
        <v>Ottaway Street</v>
      </c>
      <c r="K924" t="str">
        <f>PROPER(Table1[[#This Row],[Leading, Multiple &amp; Trailing spaces]])</f>
        <v>Ottaway Street</v>
      </c>
      <c r="L924" t="str">
        <f t="shared" si="14"/>
        <v>Ottaway Street</v>
      </c>
      <c r="M924" t="s">
        <v>3102</v>
      </c>
    </row>
    <row r="925" spans="1:13" x14ac:dyDescent="0.3">
      <c r="A925">
        <v>922</v>
      </c>
      <c r="B925" t="s">
        <v>3104</v>
      </c>
      <c r="C925" t="s">
        <v>3105</v>
      </c>
      <c r="D925" t="s">
        <v>2353</v>
      </c>
      <c r="E925" t="s">
        <v>2234</v>
      </c>
      <c r="F925" t="s">
        <v>433</v>
      </c>
      <c r="G925" t="str">
        <f xml:space="preserve"> PROPER(_xlfn.CONCAT(Table1[[#This Row],[Title]]," ",Table1[[#This Row],[First Name]]," ",Table1[[#This Row],[Last Name]]))</f>
        <v>Mr Irvin Sawyer</v>
      </c>
      <c r="H925" t="str">
        <f>SUBSTITUTE(Table1[[#This Row],[Street]],"Road"," Road")</f>
        <v>Brunswick Mews</v>
      </c>
      <c r="I925" t="str">
        <f>SUBSTITUTE(Table1[[#This Row],[Separate combined words ]],"?","")</f>
        <v>Brunswick Mews</v>
      </c>
      <c r="J925" t="str">
        <f>TRIM(Table1[[#This Row],[Remove Question Mark "?"]])</f>
        <v>Brunswick Mews</v>
      </c>
      <c r="K925" t="str">
        <f>PROPER(Table1[[#This Row],[Leading, Multiple &amp; Trailing spaces]])</f>
        <v>Brunswick Mews</v>
      </c>
      <c r="L925" t="str">
        <f t="shared" si="14"/>
        <v>Brunswick Mews</v>
      </c>
      <c r="M925" t="s">
        <v>2234</v>
      </c>
    </row>
    <row r="926" spans="1:13" x14ac:dyDescent="0.3">
      <c r="A926">
        <v>923</v>
      </c>
      <c r="B926" t="s">
        <v>3106</v>
      </c>
      <c r="C926" t="s">
        <v>3107</v>
      </c>
      <c r="D926" t="s">
        <v>2353</v>
      </c>
      <c r="E926" t="s">
        <v>3108</v>
      </c>
      <c r="F926" t="s">
        <v>577</v>
      </c>
      <c r="G926" t="str">
        <f xml:space="preserve"> PROPER(_xlfn.CONCAT(Table1[[#This Row],[Title]]," ",Table1[[#This Row],[First Name]]," ",Table1[[#This Row],[Last Name]]))</f>
        <v>Mr Stanton Walls</v>
      </c>
      <c r="H926" t="str">
        <f>SUBSTITUTE(Table1[[#This Row],[Street]],"Road"," Road")</f>
        <v>Malthouse Drive</v>
      </c>
      <c r="I926" t="str">
        <f>SUBSTITUTE(Table1[[#This Row],[Separate combined words ]],"?","")</f>
        <v>Malthouse Drive</v>
      </c>
      <c r="J926" t="str">
        <f>TRIM(Table1[[#This Row],[Remove Question Mark "?"]])</f>
        <v>Malthouse Drive</v>
      </c>
      <c r="K926" t="str">
        <f>PROPER(Table1[[#This Row],[Leading, Multiple &amp; Trailing spaces]])</f>
        <v>Malthouse Drive</v>
      </c>
      <c r="L926" t="str">
        <f t="shared" si="14"/>
        <v>Malthouse Drive</v>
      </c>
      <c r="M926" t="s">
        <v>3108</v>
      </c>
    </row>
    <row r="927" spans="1:13" x14ac:dyDescent="0.3">
      <c r="A927">
        <v>924</v>
      </c>
      <c r="B927" t="s">
        <v>1528</v>
      </c>
      <c r="C927" t="s">
        <v>3109</v>
      </c>
      <c r="D927" t="s">
        <v>2353</v>
      </c>
      <c r="E927" t="s">
        <v>3110</v>
      </c>
      <c r="F927" t="s">
        <v>33</v>
      </c>
      <c r="G927" t="str">
        <f xml:space="preserve"> PROPER(_xlfn.CONCAT(Table1[[#This Row],[Title]]," ",Table1[[#This Row],[First Name]]," ",Table1[[#This Row],[Last Name]]))</f>
        <v>Mr Wesley Connors</v>
      </c>
      <c r="H927" t="str">
        <f>SUBSTITUTE(Table1[[#This Row],[Street]],"Road"," Road")</f>
        <v>Boyd Street</v>
      </c>
      <c r="I927" t="str">
        <f>SUBSTITUTE(Table1[[#This Row],[Separate combined words ]],"?","")</f>
        <v>Boyd Street</v>
      </c>
      <c r="J927" t="str">
        <f>TRIM(Table1[[#This Row],[Remove Question Mark "?"]])</f>
        <v>Boyd Street</v>
      </c>
      <c r="K927" t="str">
        <f>PROPER(Table1[[#This Row],[Leading, Multiple &amp; Trailing spaces]])</f>
        <v>Boyd Street</v>
      </c>
      <c r="L927" t="str">
        <f t="shared" si="14"/>
        <v>Boyd Street</v>
      </c>
      <c r="M927" t="s">
        <v>3110</v>
      </c>
    </row>
    <row r="928" spans="1:13" x14ac:dyDescent="0.3">
      <c r="A928">
        <v>925</v>
      </c>
      <c r="B928" t="s">
        <v>3111</v>
      </c>
      <c r="C928" t="s">
        <v>3112</v>
      </c>
      <c r="D928" t="s">
        <v>2353</v>
      </c>
      <c r="E928" t="s">
        <v>3113</v>
      </c>
      <c r="F928" t="s">
        <v>3114</v>
      </c>
      <c r="G928" t="str">
        <f xml:space="preserve"> PROPER(_xlfn.CONCAT(Table1[[#This Row],[Title]]," ",Table1[[#This Row],[First Name]]," ",Table1[[#This Row],[Last Name]]))</f>
        <v>Mr Bob Lara</v>
      </c>
      <c r="H928" t="str">
        <f>SUBSTITUTE(Table1[[#This Row],[Street]],"Road"," Road")</f>
        <v>Albert Avenue</v>
      </c>
      <c r="I928" t="str">
        <f>SUBSTITUTE(Table1[[#This Row],[Separate combined words ]],"?","")</f>
        <v>Albert Avenue</v>
      </c>
      <c r="J928" t="str">
        <f>TRIM(Table1[[#This Row],[Remove Question Mark "?"]])</f>
        <v>Albert Avenue</v>
      </c>
      <c r="K928" t="str">
        <f>PROPER(Table1[[#This Row],[Leading, Multiple &amp; Trailing spaces]])</f>
        <v>Albert Avenue</v>
      </c>
      <c r="L928" t="str">
        <f t="shared" si="14"/>
        <v>Albert Avenue</v>
      </c>
      <c r="M928" t="s">
        <v>3113</v>
      </c>
    </row>
    <row r="929" spans="1:13" x14ac:dyDescent="0.3">
      <c r="A929">
        <v>926</v>
      </c>
      <c r="B929" t="s">
        <v>3115</v>
      </c>
      <c r="C929" t="s">
        <v>1486</v>
      </c>
      <c r="D929" t="s">
        <v>2353</v>
      </c>
      <c r="E929" t="s">
        <v>3116</v>
      </c>
      <c r="F929" t="s">
        <v>585</v>
      </c>
      <c r="G929" t="str">
        <f xml:space="preserve"> PROPER(_xlfn.CONCAT(Table1[[#This Row],[Title]]," ",Table1[[#This Row],[First Name]]," ",Table1[[#This Row],[Last Name]]))</f>
        <v>Mr Lincoln Velazquez</v>
      </c>
      <c r="H929" t="str">
        <f>SUBSTITUTE(Table1[[#This Row],[Street]],"Road"," Road")</f>
        <v>Lessar Avenue</v>
      </c>
      <c r="I929" t="str">
        <f>SUBSTITUTE(Table1[[#This Row],[Separate combined words ]],"?","")</f>
        <v>Lessar Avenue</v>
      </c>
      <c r="J929" t="str">
        <f>TRIM(Table1[[#This Row],[Remove Question Mark "?"]])</f>
        <v>Lessar Avenue</v>
      </c>
      <c r="K929" t="str">
        <f>PROPER(Table1[[#This Row],[Leading, Multiple &amp; Trailing spaces]])</f>
        <v>Lessar Avenue</v>
      </c>
      <c r="L929" t="str">
        <f t="shared" si="14"/>
        <v>Lessar Avenue</v>
      </c>
      <c r="M929" t="s">
        <v>3116</v>
      </c>
    </row>
    <row r="930" spans="1:13" x14ac:dyDescent="0.3">
      <c r="A930">
        <v>927</v>
      </c>
      <c r="B930" t="s">
        <v>3117</v>
      </c>
      <c r="C930" t="s">
        <v>1819</v>
      </c>
      <c r="D930" t="s">
        <v>2353</v>
      </c>
      <c r="E930" t="s">
        <v>2576</v>
      </c>
      <c r="F930" t="s">
        <v>3118</v>
      </c>
      <c r="G930" t="str">
        <f xml:space="preserve"> PROPER(_xlfn.CONCAT(Table1[[#This Row],[Title]]," ",Table1[[#This Row],[First Name]]," ",Table1[[#This Row],[Last Name]]))</f>
        <v>Mr Thad Weston</v>
      </c>
      <c r="H930" t="str">
        <f>SUBSTITUTE(Table1[[#This Row],[Street]],"Road"," Road")</f>
        <v>Sturdys Cottage</v>
      </c>
      <c r="I930" t="str">
        <f>SUBSTITUTE(Table1[[#This Row],[Separate combined words ]],"?","")</f>
        <v>Sturdys Cottage</v>
      </c>
      <c r="J930" t="str">
        <f>TRIM(Table1[[#This Row],[Remove Question Mark "?"]])</f>
        <v>Sturdys Cottage</v>
      </c>
      <c r="K930" t="str">
        <f>PROPER(Table1[[#This Row],[Leading, Multiple &amp; Trailing spaces]])</f>
        <v>Sturdys Cottage</v>
      </c>
      <c r="L930" t="str">
        <f t="shared" si="14"/>
        <v>Sturdys Cottage</v>
      </c>
      <c r="M930" t="s">
        <v>2576</v>
      </c>
    </row>
    <row r="931" spans="1:13" x14ac:dyDescent="0.3">
      <c r="A931">
        <v>928</v>
      </c>
      <c r="B931" t="s">
        <v>1125</v>
      </c>
      <c r="C931" t="s">
        <v>3119</v>
      </c>
      <c r="D931" t="s">
        <v>2353</v>
      </c>
      <c r="E931" t="s">
        <v>3120</v>
      </c>
      <c r="F931" t="s">
        <v>3121</v>
      </c>
      <c r="G931" t="str">
        <f xml:space="preserve"> PROPER(_xlfn.CONCAT(Table1[[#This Row],[Title]]," ",Table1[[#This Row],[First Name]]," ",Table1[[#This Row],[Last Name]]))</f>
        <v>Mr Christian Frazier</v>
      </c>
      <c r="H931" t="str">
        <f>SUBSTITUTE(Table1[[#This Row],[Street]],"Road"," Road")</f>
        <v>Blaker  Road</v>
      </c>
      <c r="I931" t="str">
        <f>SUBSTITUTE(Table1[[#This Row],[Separate combined words ]],"?","")</f>
        <v>Blaker  Road</v>
      </c>
      <c r="J931" t="str">
        <f>TRIM(Table1[[#This Row],[Remove Question Mark "?"]])</f>
        <v>Blaker Road</v>
      </c>
      <c r="K931" t="str">
        <f>PROPER(Table1[[#This Row],[Leading, Multiple &amp; Trailing spaces]])</f>
        <v>Blaker Road</v>
      </c>
      <c r="L931" t="str">
        <f t="shared" si="14"/>
        <v>Blaker Road</v>
      </c>
      <c r="M931" t="s">
        <v>3120</v>
      </c>
    </row>
    <row r="932" spans="1:13" x14ac:dyDescent="0.3">
      <c r="A932">
        <v>929</v>
      </c>
      <c r="B932" t="s">
        <v>2539</v>
      </c>
      <c r="C932" t="s">
        <v>3122</v>
      </c>
      <c r="D932" t="s">
        <v>2353</v>
      </c>
      <c r="E932" t="s">
        <v>3123</v>
      </c>
      <c r="F932" t="s">
        <v>3124</v>
      </c>
      <c r="G932" t="str">
        <f xml:space="preserve"> PROPER(_xlfn.CONCAT(Table1[[#This Row],[Title]]," ",Table1[[#This Row],[First Name]]," ",Table1[[#This Row],[Last Name]]))</f>
        <v>Mr Riley Goldman</v>
      </c>
      <c r="H932" t="str">
        <f>SUBSTITUTE(Table1[[#This Row],[Street]],"Road"," Road")</f>
        <v>Southampton Mews</v>
      </c>
      <c r="I932" t="str">
        <f>SUBSTITUTE(Table1[[#This Row],[Separate combined words ]],"?","")</f>
        <v>Southampton Mews</v>
      </c>
      <c r="J932" t="str">
        <f>TRIM(Table1[[#This Row],[Remove Question Mark "?"]])</f>
        <v>Southampton Mews</v>
      </c>
      <c r="K932" t="str">
        <f>PROPER(Table1[[#This Row],[Leading, Multiple &amp; Trailing spaces]])</f>
        <v>Southampton Mews</v>
      </c>
      <c r="L932" t="str">
        <f t="shared" si="14"/>
        <v>Southampton Mews</v>
      </c>
      <c r="M932" t="s">
        <v>3123</v>
      </c>
    </row>
    <row r="933" spans="1:13" x14ac:dyDescent="0.3">
      <c r="A933">
        <v>930</v>
      </c>
      <c r="B933" t="s">
        <v>3125</v>
      </c>
      <c r="C933" t="s">
        <v>3126</v>
      </c>
      <c r="D933" t="s">
        <v>2353</v>
      </c>
      <c r="E933" t="s">
        <v>3127</v>
      </c>
      <c r="F933" t="s">
        <v>3128</v>
      </c>
      <c r="G933" t="str">
        <f xml:space="preserve"> PROPER(_xlfn.CONCAT(Table1[[#This Row],[Title]]," ",Table1[[#This Row],[First Name]]," ",Table1[[#This Row],[Last Name]]))</f>
        <v>Mr Delmer Livingston</v>
      </c>
      <c r="H933" t="str">
        <f>SUBSTITUTE(Table1[[#This Row],[Street]],"Road"," Road")</f>
        <v>Emerson Street</v>
      </c>
      <c r="I933" t="str">
        <f>SUBSTITUTE(Table1[[#This Row],[Separate combined words ]],"?","")</f>
        <v>Emerson Street</v>
      </c>
      <c r="J933" t="str">
        <f>TRIM(Table1[[#This Row],[Remove Question Mark "?"]])</f>
        <v>Emerson Street</v>
      </c>
      <c r="K933" t="str">
        <f>PROPER(Table1[[#This Row],[Leading, Multiple &amp; Trailing spaces]])</f>
        <v>Emerson Street</v>
      </c>
      <c r="L933" t="str">
        <f t="shared" si="14"/>
        <v>Emerson Street</v>
      </c>
      <c r="M933" t="s">
        <v>3127</v>
      </c>
    </row>
    <row r="934" spans="1:13" x14ac:dyDescent="0.3">
      <c r="A934">
        <v>931</v>
      </c>
      <c r="B934" t="s">
        <v>2897</v>
      </c>
      <c r="C934" t="s">
        <v>3129</v>
      </c>
      <c r="D934" t="s">
        <v>2353</v>
      </c>
      <c r="E934" t="s">
        <v>3130</v>
      </c>
      <c r="F934" t="s">
        <v>1287</v>
      </c>
      <c r="G934" t="str">
        <f xml:space="preserve"> PROPER(_xlfn.CONCAT(Table1[[#This Row],[Title]]," ",Table1[[#This Row],[First Name]]," ",Table1[[#This Row],[Last Name]]))</f>
        <v>Mr Gregg Brewer</v>
      </c>
      <c r="H934" t="str">
        <f>SUBSTITUTE(Table1[[#This Row],[Street]],"Road"," Road")</f>
        <v>Garrick Avenue</v>
      </c>
      <c r="I934" t="str">
        <f>SUBSTITUTE(Table1[[#This Row],[Separate combined words ]],"?","")</f>
        <v>Garrick Avenue</v>
      </c>
      <c r="J934" t="str">
        <f>TRIM(Table1[[#This Row],[Remove Question Mark "?"]])</f>
        <v>Garrick Avenue</v>
      </c>
      <c r="K934" t="str">
        <f>PROPER(Table1[[#This Row],[Leading, Multiple &amp; Trailing spaces]])</f>
        <v>Garrick Avenue</v>
      </c>
      <c r="L934" t="str">
        <f t="shared" si="14"/>
        <v>Garrick Avenue</v>
      </c>
      <c r="M934" t="s">
        <v>3130</v>
      </c>
    </row>
    <row r="935" spans="1:13" x14ac:dyDescent="0.3">
      <c r="A935">
        <v>932</v>
      </c>
      <c r="B935" t="s">
        <v>3131</v>
      </c>
      <c r="C935" t="s">
        <v>2539</v>
      </c>
      <c r="D935" t="s">
        <v>2353</v>
      </c>
      <c r="E935" t="s">
        <v>3132</v>
      </c>
      <c r="F935" t="s">
        <v>496</v>
      </c>
      <c r="G935" t="str">
        <f xml:space="preserve"> PROPER(_xlfn.CONCAT(Table1[[#This Row],[Title]]," ",Table1[[#This Row],[First Name]]," ",Table1[[#This Row],[Last Name]]))</f>
        <v>Mr Hershel Riley</v>
      </c>
      <c r="H935" t="str">
        <f>SUBSTITUTE(Table1[[#This Row],[Street]],"Road"," Road")</f>
        <v>North Dulwich</v>
      </c>
      <c r="I935" t="str">
        <f>SUBSTITUTE(Table1[[#This Row],[Separate combined words ]],"?","")</f>
        <v>North Dulwich</v>
      </c>
      <c r="J935" t="str">
        <f>TRIM(Table1[[#This Row],[Remove Question Mark "?"]])</f>
        <v>North Dulwich</v>
      </c>
      <c r="K935" t="str">
        <f>PROPER(Table1[[#This Row],[Leading, Multiple &amp; Trailing spaces]])</f>
        <v>North Dulwich</v>
      </c>
      <c r="L935" t="str">
        <f t="shared" si="14"/>
        <v>North Dulwich</v>
      </c>
      <c r="M935" t="s">
        <v>3132</v>
      </c>
    </row>
    <row r="936" spans="1:13" x14ac:dyDescent="0.3">
      <c r="A936">
        <v>933</v>
      </c>
      <c r="B936" t="s">
        <v>3133</v>
      </c>
      <c r="C936" t="s">
        <v>3134</v>
      </c>
      <c r="D936" t="s">
        <v>2353</v>
      </c>
      <c r="E936" t="s">
        <v>3135</v>
      </c>
      <c r="F936" t="s">
        <v>3136</v>
      </c>
      <c r="G936" t="str">
        <f xml:space="preserve"> PROPER(_xlfn.CONCAT(Table1[[#This Row],[Title]]," ",Table1[[#This Row],[First Name]]," ",Table1[[#This Row],[Last Name]]))</f>
        <v>Mr Toby Gagnon</v>
      </c>
      <c r="H936" t="str">
        <f>SUBSTITUTE(Table1[[#This Row],[Street]],"Road"," Road")</f>
        <v>St Crispins</v>
      </c>
      <c r="I936" t="str">
        <f>SUBSTITUTE(Table1[[#This Row],[Separate combined words ]],"?","")</f>
        <v>St Crispins</v>
      </c>
      <c r="J936" t="str">
        <f>TRIM(Table1[[#This Row],[Remove Question Mark "?"]])</f>
        <v>St Crispins</v>
      </c>
      <c r="K936" t="str">
        <f>PROPER(Table1[[#This Row],[Leading, Multiple &amp; Trailing spaces]])</f>
        <v>St Crispins</v>
      </c>
      <c r="L936" t="str">
        <f t="shared" si="14"/>
        <v>St Crispins</v>
      </c>
      <c r="M936" t="s">
        <v>3135</v>
      </c>
    </row>
    <row r="937" spans="1:13" x14ac:dyDescent="0.3">
      <c r="A937">
        <v>934</v>
      </c>
      <c r="B937" t="s">
        <v>2814</v>
      </c>
      <c r="C937" t="s">
        <v>3137</v>
      </c>
      <c r="D937" t="s">
        <v>2353</v>
      </c>
      <c r="E937" t="s">
        <v>3138</v>
      </c>
      <c r="F937" t="s">
        <v>3139</v>
      </c>
      <c r="G937" t="str">
        <f xml:space="preserve"> PROPER(_xlfn.CONCAT(Table1[[#This Row],[Title]]," ",Table1[[#This Row],[First Name]]," ",Table1[[#This Row],[Last Name]]))</f>
        <v>Mr Maynard Griffin</v>
      </c>
      <c r="H937" t="str">
        <f>SUBSTITUTE(Table1[[#This Row],[Street]],"Road"," Road")</f>
        <v>Selwood Place</v>
      </c>
      <c r="I937" t="str">
        <f>SUBSTITUTE(Table1[[#This Row],[Separate combined words ]],"?","")</f>
        <v>Selwood Place</v>
      </c>
      <c r="J937" t="str">
        <f>TRIM(Table1[[#This Row],[Remove Question Mark "?"]])</f>
        <v>Selwood Place</v>
      </c>
      <c r="K937" t="str">
        <f>PROPER(Table1[[#This Row],[Leading, Multiple &amp; Trailing spaces]])</f>
        <v>Selwood Place</v>
      </c>
      <c r="L937" t="str">
        <f t="shared" si="14"/>
        <v>Selwood Place</v>
      </c>
      <c r="M937" t="s">
        <v>3138</v>
      </c>
    </row>
    <row r="938" spans="1:13" x14ac:dyDescent="0.3">
      <c r="A938">
        <v>935</v>
      </c>
      <c r="B938" t="s">
        <v>3140</v>
      </c>
      <c r="C938" t="s">
        <v>586</v>
      </c>
      <c r="D938" t="s">
        <v>2353</v>
      </c>
      <c r="E938" t="s">
        <v>3141</v>
      </c>
      <c r="F938" t="s">
        <v>3142</v>
      </c>
      <c r="G938" t="str">
        <f xml:space="preserve"> PROPER(_xlfn.CONCAT(Table1[[#This Row],[Title]]," ",Table1[[#This Row],[First Name]]," ",Table1[[#This Row],[Last Name]]))</f>
        <v>Mr Milford Whalen</v>
      </c>
      <c r="H938" t="str">
        <f>SUBSTITUTE(Table1[[#This Row],[Street]],"Road"," Road")</f>
        <v>Uverdale  Road</v>
      </c>
      <c r="I938" t="str">
        <f>SUBSTITUTE(Table1[[#This Row],[Separate combined words ]],"?","")</f>
        <v>Uverdale  Road</v>
      </c>
      <c r="J938" t="str">
        <f>TRIM(Table1[[#This Row],[Remove Question Mark "?"]])</f>
        <v>Uverdale Road</v>
      </c>
      <c r="K938" t="str">
        <f>PROPER(Table1[[#This Row],[Leading, Multiple &amp; Trailing spaces]])</f>
        <v>Uverdale Road</v>
      </c>
      <c r="L938" t="str">
        <f t="shared" si="14"/>
        <v>Uverdale Road</v>
      </c>
      <c r="M938" t="s">
        <v>3141</v>
      </c>
    </row>
    <row r="939" spans="1:13" x14ac:dyDescent="0.3">
      <c r="A939">
        <v>936</v>
      </c>
      <c r="B939" t="s">
        <v>3143</v>
      </c>
      <c r="C939" t="s">
        <v>403</v>
      </c>
      <c r="D939" t="s">
        <v>2353</v>
      </c>
      <c r="E939" t="s">
        <v>3144</v>
      </c>
      <c r="F939" t="s">
        <v>3145</v>
      </c>
      <c r="G939" t="str">
        <f xml:space="preserve"> PROPER(_xlfn.CONCAT(Table1[[#This Row],[Title]]," ",Table1[[#This Row],[First Name]]," ",Table1[[#This Row],[Last Name]]))</f>
        <v>Mr Stewart Hodges</v>
      </c>
      <c r="H939" t="str">
        <f>SUBSTITUTE(Table1[[#This Row],[Street]],"Road"," Road")</f>
        <v>Chambon Place</v>
      </c>
      <c r="I939" t="str">
        <f>SUBSTITUTE(Table1[[#This Row],[Separate combined words ]],"?","")</f>
        <v>Chambon Place</v>
      </c>
      <c r="J939" t="str">
        <f>TRIM(Table1[[#This Row],[Remove Question Mark "?"]])</f>
        <v>Chambon Place</v>
      </c>
      <c r="K939" t="str">
        <f>PROPER(Table1[[#This Row],[Leading, Multiple &amp; Trailing spaces]])</f>
        <v>Chambon Place</v>
      </c>
      <c r="L939" t="str">
        <f t="shared" si="14"/>
        <v>Chambon Place</v>
      </c>
      <c r="M939" t="s">
        <v>3144</v>
      </c>
    </row>
    <row r="940" spans="1:13" x14ac:dyDescent="0.3">
      <c r="A940">
        <v>937</v>
      </c>
      <c r="B940" t="s">
        <v>1371</v>
      </c>
      <c r="C940" t="s">
        <v>642</v>
      </c>
      <c r="D940" t="s">
        <v>2353</v>
      </c>
      <c r="E940" t="s">
        <v>3146</v>
      </c>
      <c r="F940" t="s">
        <v>3088</v>
      </c>
      <c r="G940" t="str">
        <f xml:space="preserve"> PROPER(_xlfn.CONCAT(Table1[[#This Row],[Title]]," ",Table1[[#This Row],[First Name]]," ",Table1[[#This Row],[Last Name]]))</f>
        <v>Mr Toney Law</v>
      </c>
      <c r="H940" t="str">
        <f>SUBSTITUTE(Table1[[#This Row],[Street]],"Road"," Road")</f>
        <v>Faringford  Road</v>
      </c>
      <c r="I940" t="str">
        <f>SUBSTITUTE(Table1[[#This Row],[Separate combined words ]],"?","")</f>
        <v>Faringford  Road</v>
      </c>
      <c r="J940" t="str">
        <f>TRIM(Table1[[#This Row],[Remove Question Mark "?"]])</f>
        <v>Faringford Road</v>
      </c>
      <c r="K940" t="str">
        <f>PROPER(Table1[[#This Row],[Leading, Multiple &amp; Trailing spaces]])</f>
        <v>Faringford Road</v>
      </c>
      <c r="L940" t="str">
        <f t="shared" si="14"/>
        <v>Faringford Road</v>
      </c>
      <c r="M940" t="s">
        <v>3146</v>
      </c>
    </row>
    <row r="941" spans="1:13" x14ac:dyDescent="0.3">
      <c r="A941">
        <v>938</v>
      </c>
      <c r="B941" t="s">
        <v>3147</v>
      </c>
      <c r="C941" t="s">
        <v>1047</v>
      </c>
      <c r="D941" t="s">
        <v>2353</v>
      </c>
      <c r="E941" t="s">
        <v>3148</v>
      </c>
      <c r="F941" t="s">
        <v>3149</v>
      </c>
      <c r="G941" t="str">
        <f xml:space="preserve"> PROPER(_xlfn.CONCAT(Table1[[#This Row],[Title]]," ",Table1[[#This Row],[First Name]]," ",Table1[[#This Row],[Last Name]]))</f>
        <v>Mr Leopoldo Muller</v>
      </c>
      <c r="H941" t="str">
        <f>SUBSTITUTE(Table1[[#This Row],[Street]],"Road"," Road")</f>
        <v>Sanctuary Buildings</v>
      </c>
      <c r="I941" t="str">
        <f>SUBSTITUTE(Table1[[#This Row],[Separate combined words ]],"?","")</f>
        <v>Sanctuary Buildings</v>
      </c>
      <c r="J941" t="str">
        <f>TRIM(Table1[[#This Row],[Remove Question Mark "?"]])</f>
        <v>Sanctuary Buildings</v>
      </c>
      <c r="K941" t="str">
        <f>PROPER(Table1[[#This Row],[Leading, Multiple &amp; Trailing spaces]])</f>
        <v>Sanctuary Buildings</v>
      </c>
      <c r="L941" t="str">
        <f t="shared" si="14"/>
        <v>Sanctuary Buildings</v>
      </c>
      <c r="M941" t="s">
        <v>3148</v>
      </c>
    </row>
    <row r="942" spans="1:13" x14ac:dyDescent="0.3">
      <c r="A942">
        <v>939</v>
      </c>
      <c r="B942" t="s">
        <v>265</v>
      </c>
      <c r="C942" t="s">
        <v>188</v>
      </c>
      <c r="D942" t="s">
        <v>2353</v>
      </c>
      <c r="E942" t="s">
        <v>3150</v>
      </c>
      <c r="F942" t="s">
        <v>3151</v>
      </c>
      <c r="G942" t="str">
        <f xml:space="preserve"> PROPER(_xlfn.CONCAT(Table1[[#This Row],[Title]]," ",Table1[[#This Row],[First Name]]," ",Table1[[#This Row],[Last Name]]))</f>
        <v>Mr Abel Parson</v>
      </c>
      <c r="H942" t="str">
        <f>SUBSTITUTE(Table1[[#This Row],[Street]],"Road"," Road")</f>
        <v>Orlando Villas</v>
      </c>
      <c r="I942" t="str">
        <f>SUBSTITUTE(Table1[[#This Row],[Separate combined words ]],"?","")</f>
        <v>Orlando Villas</v>
      </c>
      <c r="J942" t="str">
        <f>TRIM(Table1[[#This Row],[Remove Question Mark "?"]])</f>
        <v>Orlando Villas</v>
      </c>
      <c r="K942" t="str">
        <f>PROPER(Table1[[#This Row],[Leading, Multiple &amp; Trailing spaces]])</f>
        <v>Orlando Villas</v>
      </c>
      <c r="L942" t="str">
        <f t="shared" si="14"/>
        <v>Orlando Villas</v>
      </c>
      <c r="M942" t="s">
        <v>3150</v>
      </c>
    </row>
    <row r="943" spans="1:13" x14ac:dyDescent="0.3">
      <c r="A943">
        <v>940</v>
      </c>
      <c r="B943" t="s">
        <v>3152</v>
      </c>
      <c r="C943" t="s">
        <v>3153</v>
      </c>
      <c r="D943" t="s">
        <v>2353</v>
      </c>
      <c r="E943" t="s">
        <v>3154</v>
      </c>
      <c r="F943" t="s">
        <v>3155</v>
      </c>
      <c r="G943" t="str">
        <f xml:space="preserve"> PROPER(_xlfn.CONCAT(Table1[[#This Row],[Title]]," ",Table1[[#This Row],[First Name]]," ",Table1[[#This Row],[Last Name]]))</f>
        <v>Mr Terence Jordan</v>
      </c>
      <c r="H943" t="str">
        <f>SUBSTITUTE(Table1[[#This Row],[Street]],"Road"," Road")</f>
        <v>Cowthorpe  Road</v>
      </c>
      <c r="I943" t="str">
        <f>SUBSTITUTE(Table1[[#This Row],[Separate combined words ]],"?","")</f>
        <v>Cowthorpe  Road</v>
      </c>
      <c r="J943" t="str">
        <f>TRIM(Table1[[#This Row],[Remove Question Mark "?"]])</f>
        <v>Cowthorpe Road</v>
      </c>
      <c r="K943" t="str">
        <f>PROPER(Table1[[#This Row],[Leading, Multiple &amp; Trailing spaces]])</f>
        <v>Cowthorpe Road</v>
      </c>
      <c r="L943" t="str">
        <f t="shared" si="14"/>
        <v>Cowthorpe Road</v>
      </c>
      <c r="M943" t="s">
        <v>3154</v>
      </c>
    </row>
    <row r="944" spans="1:13" x14ac:dyDescent="0.3">
      <c r="A944">
        <v>941</v>
      </c>
      <c r="B944" t="s">
        <v>3156</v>
      </c>
      <c r="C944" t="s">
        <v>3157</v>
      </c>
      <c r="D944" t="s">
        <v>2353</v>
      </c>
      <c r="E944" t="s">
        <v>3158</v>
      </c>
      <c r="F944" t="s">
        <v>506</v>
      </c>
      <c r="G944" t="str">
        <f xml:space="preserve"> PROPER(_xlfn.CONCAT(Table1[[#This Row],[Title]]," ",Table1[[#This Row],[First Name]]," ",Table1[[#This Row],[Last Name]]))</f>
        <v>Mr Salvatore Jacobs</v>
      </c>
      <c r="H944" t="str">
        <f>SUBSTITUTE(Table1[[#This Row],[Street]],"Road"," Road")</f>
        <v>Oxford Close</v>
      </c>
      <c r="I944" t="str">
        <f>SUBSTITUTE(Table1[[#This Row],[Separate combined words ]],"?","")</f>
        <v>Oxford Close</v>
      </c>
      <c r="J944" t="str">
        <f>TRIM(Table1[[#This Row],[Remove Question Mark "?"]])</f>
        <v>Oxford Close</v>
      </c>
      <c r="K944" t="str">
        <f>PROPER(Table1[[#This Row],[Leading, Multiple &amp; Trailing spaces]])</f>
        <v>Oxford Close</v>
      </c>
      <c r="L944" t="str">
        <f t="shared" si="14"/>
        <v>Oxford Close</v>
      </c>
      <c r="M944" t="s">
        <v>3158</v>
      </c>
    </row>
    <row r="945" spans="1:13" x14ac:dyDescent="0.3">
      <c r="A945">
        <v>942</v>
      </c>
      <c r="B945" t="s">
        <v>3159</v>
      </c>
      <c r="C945" t="s">
        <v>3160</v>
      </c>
      <c r="D945" t="s">
        <v>2469</v>
      </c>
      <c r="E945" t="s">
        <v>3161</v>
      </c>
      <c r="F945" t="s">
        <v>696</v>
      </c>
      <c r="G945" t="str">
        <f xml:space="preserve"> PROPER(_xlfn.CONCAT(Table1[[#This Row],[Title]]," ",Table1[[#This Row],[First Name]]," ",Table1[[#This Row],[Last Name]]))</f>
        <v>Rev Casey Crawford</v>
      </c>
      <c r="H945" t="str">
        <f>SUBSTITUTE(Table1[[#This Row],[Street]],"Road"," Road")</f>
        <v>Anns Row</v>
      </c>
      <c r="I945" t="str">
        <f>SUBSTITUTE(Table1[[#This Row],[Separate combined words ]],"?","")</f>
        <v>Anns Row</v>
      </c>
      <c r="J945" t="str">
        <f>TRIM(Table1[[#This Row],[Remove Question Mark "?"]])</f>
        <v>Anns Row</v>
      </c>
      <c r="K945" t="str">
        <f>PROPER(Table1[[#This Row],[Leading, Multiple &amp; Trailing spaces]])</f>
        <v>Anns Row</v>
      </c>
      <c r="L945" t="str">
        <f t="shared" si="14"/>
        <v>Anns Row</v>
      </c>
      <c r="M945" t="s">
        <v>3161</v>
      </c>
    </row>
    <row r="946" spans="1:13" x14ac:dyDescent="0.3">
      <c r="A946">
        <v>943</v>
      </c>
      <c r="B946" t="s">
        <v>3162</v>
      </c>
      <c r="C946" t="s">
        <v>3163</v>
      </c>
      <c r="D946" t="s">
        <v>2353</v>
      </c>
      <c r="E946" t="s">
        <v>3164</v>
      </c>
      <c r="F946" t="s">
        <v>3165</v>
      </c>
      <c r="G946" t="str">
        <f xml:space="preserve"> PROPER(_xlfn.CONCAT(Table1[[#This Row],[Title]]," ",Table1[[#This Row],[First Name]]," ",Table1[[#This Row],[Last Name]]))</f>
        <v>Mr Elmo Kendrick</v>
      </c>
      <c r="H946" t="str">
        <f>SUBSTITUTE(Table1[[#This Row],[Street]],"Road"," Road")</f>
        <v>Margery Street</v>
      </c>
      <c r="I946" t="str">
        <f>SUBSTITUTE(Table1[[#This Row],[Separate combined words ]],"?","")</f>
        <v>Margery Street</v>
      </c>
      <c r="J946" t="str">
        <f>TRIM(Table1[[#This Row],[Remove Question Mark "?"]])</f>
        <v>Margery Street</v>
      </c>
      <c r="K946" t="str">
        <f>PROPER(Table1[[#This Row],[Leading, Multiple &amp; Trailing spaces]])</f>
        <v>Margery Street</v>
      </c>
      <c r="L946" t="str">
        <f t="shared" si="14"/>
        <v>Margery Street</v>
      </c>
      <c r="M946" t="s">
        <v>3164</v>
      </c>
    </row>
    <row r="947" spans="1:13" x14ac:dyDescent="0.3">
      <c r="A947">
        <v>944</v>
      </c>
      <c r="B947" t="s">
        <v>2909</v>
      </c>
      <c r="C947" t="s">
        <v>3160</v>
      </c>
      <c r="D947" t="s">
        <v>2353</v>
      </c>
      <c r="E947" t="s">
        <v>3166</v>
      </c>
      <c r="F947" t="s">
        <v>3167</v>
      </c>
      <c r="G947" t="str">
        <f xml:space="preserve"> PROPER(_xlfn.CONCAT(Table1[[#This Row],[Title]]," ",Table1[[#This Row],[First Name]]," ",Table1[[#This Row],[Last Name]]))</f>
        <v>Mr Darrell Crawford</v>
      </c>
      <c r="H947" t="str">
        <f>SUBSTITUTE(Table1[[#This Row],[Street]],"Road"," Road")</f>
        <v>Bright Street</v>
      </c>
      <c r="I947" t="str">
        <f>SUBSTITUTE(Table1[[#This Row],[Separate combined words ]],"?","")</f>
        <v>Bright Street</v>
      </c>
      <c r="J947" t="str">
        <f>TRIM(Table1[[#This Row],[Remove Question Mark "?"]])</f>
        <v>Bright Street</v>
      </c>
      <c r="K947" t="str">
        <f>PROPER(Table1[[#This Row],[Leading, Multiple &amp; Trailing spaces]])</f>
        <v>Bright Street</v>
      </c>
      <c r="L947" t="str">
        <f t="shared" si="14"/>
        <v>Bright Street</v>
      </c>
      <c r="M947" t="s">
        <v>3166</v>
      </c>
    </row>
    <row r="948" spans="1:13" x14ac:dyDescent="0.3">
      <c r="A948">
        <v>945</v>
      </c>
      <c r="B948" t="s">
        <v>3168</v>
      </c>
      <c r="C948" t="s">
        <v>3169</v>
      </c>
      <c r="D948" t="s">
        <v>2353</v>
      </c>
      <c r="E948" t="s">
        <v>3170</v>
      </c>
      <c r="F948" t="s">
        <v>3171</v>
      </c>
      <c r="G948" t="str">
        <f xml:space="preserve"> PROPER(_xlfn.CONCAT(Table1[[#This Row],[Title]]," ",Table1[[#This Row],[First Name]]," ",Table1[[#This Row],[Last Name]]))</f>
        <v>Mr Lon Rudd</v>
      </c>
      <c r="H948" t="str">
        <f>SUBSTITUTE(Table1[[#This Row],[Street]],"Road"," Road")</f>
        <v>St Bartholomew</v>
      </c>
      <c r="I948" t="str">
        <f>SUBSTITUTE(Table1[[#This Row],[Separate combined words ]],"?","")</f>
        <v>St Bartholomew</v>
      </c>
      <c r="J948" t="str">
        <f>TRIM(Table1[[#This Row],[Remove Question Mark "?"]])</f>
        <v>St Bartholomew</v>
      </c>
      <c r="K948" t="str">
        <f>PROPER(Table1[[#This Row],[Leading, Multiple &amp; Trailing spaces]])</f>
        <v>St Bartholomew</v>
      </c>
      <c r="L948" t="str">
        <f t="shared" si="14"/>
        <v>St Bartholomew</v>
      </c>
      <c r="M948" t="s">
        <v>3170</v>
      </c>
    </row>
    <row r="949" spans="1:13" x14ac:dyDescent="0.3">
      <c r="A949">
        <v>946</v>
      </c>
      <c r="B949" t="s">
        <v>1073</v>
      </c>
      <c r="C949" t="s">
        <v>3172</v>
      </c>
      <c r="D949" t="s">
        <v>2353</v>
      </c>
      <c r="E949" t="s">
        <v>3173</v>
      </c>
      <c r="F949" t="s">
        <v>3174</v>
      </c>
      <c r="G949" t="str">
        <f xml:space="preserve"> PROPER(_xlfn.CONCAT(Table1[[#This Row],[Title]]," ",Table1[[#This Row],[First Name]]," ",Table1[[#This Row],[Last Name]]))</f>
        <v>Mr Carl Bartley</v>
      </c>
      <c r="H949" t="str">
        <f>SUBSTITUTE(Table1[[#This Row],[Street]],"Road"," Road")</f>
        <v>Portsmouth  Road</v>
      </c>
      <c r="I949" t="str">
        <f>SUBSTITUTE(Table1[[#This Row],[Separate combined words ]],"?","")</f>
        <v>Portsmouth  Road</v>
      </c>
      <c r="J949" t="str">
        <f>TRIM(Table1[[#This Row],[Remove Question Mark "?"]])</f>
        <v>Portsmouth Road</v>
      </c>
      <c r="K949" t="str">
        <f>PROPER(Table1[[#This Row],[Leading, Multiple &amp; Trailing spaces]])</f>
        <v>Portsmouth Road</v>
      </c>
      <c r="L949" t="str">
        <f t="shared" si="14"/>
        <v>Portsmouth Road</v>
      </c>
      <c r="M949" t="s">
        <v>3173</v>
      </c>
    </row>
    <row r="950" spans="1:13" x14ac:dyDescent="0.3">
      <c r="A950">
        <v>947</v>
      </c>
      <c r="B950" t="s">
        <v>3175</v>
      </c>
      <c r="C950" t="s">
        <v>1458</v>
      </c>
      <c r="D950" t="s">
        <v>2353</v>
      </c>
      <c r="E950" t="s">
        <v>3176</v>
      </c>
      <c r="F950" t="s">
        <v>3177</v>
      </c>
      <c r="G950" t="str">
        <f xml:space="preserve"> PROPER(_xlfn.CONCAT(Table1[[#This Row],[Title]]," ",Table1[[#This Row],[First Name]]," ",Table1[[#This Row],[Last Name]]))</f>
        <v>Mr Darin Hatch</v>
      </c>
      <c r="H950" t="str">
        <f>SUBSTITUTE(Table1[[#This Row],[Street]],"Road"," Road")</f>
        <v>Wharton Street</v>
      </c>
      <c r="I950" t="str">
        <f>SUBSTITUTE(Table1[[#This Row],[Separate combined words ]],"?","")</f>
        <v>Wharton Street</v>
      </c>
      <c r="J950" t="str">
        <f>TRIM(Table1[[#This Row],[Remove Question Mark "?"]])</f>
        <v>Wharton Street</v>
      </c>
      <c r="K950" t="str">
        <f>PROPER(Table1[[#This Row],[Leading, Multiple &amp; Trailing spaces]])</f>
        <v>Wharton Street</v>
      </c>
      <c r="L950" t="str">
        <f t="shared" si="14"/>
        <v>Wharton Street</v>
      </c>
      <c r="M950" t="s">
        <v>3176</v>
      </c>
    </row>
    <row r="951" spans="1:13" x14ac:dyDescent="0.3">
      <c r="A951">
        <v>948</v>
      </c>
      <c r="B951" t="s">
        <v>1249</v>
      </c>
      <c r="C951" t="s">
        <v>3178</v>
      </c>
      <c r="D951" t="s">
        <v>2353</v>
      </c>
      <c r="E951" t="s">
        <v>3179</v>
      </c>
      <c r="F951" t="s">
        <v>2374</v>
      </c>
      <c r="G951" t="str">
        <f xml:space="preserve"> PROPER(_xlfn.CONCAT(Table1[[#This Row],[Title]]," ",Table1[[#This Row],[First Name]]," ",Table1[[#This Row],[Last Name]]))</f>
        <v>Mr Hunter Medina</v>
      </c>
      <c r="H951" t="str">
        <f>SUBSTITUTE(Table1[[#This Row],[Street]],"Road"," Road")</f>
        <v>Eyr Court</v>
      </c>
      <c r="I951" t="str">
        <f>SUBSTITUTE(Table1[[#This Row],[Separate combined words ]],"?","")</f>
        <v>Eyr Court</v>
      </c>
      <c r="J951" t="str">
        <f>TRIM(Table1[[#This Row],[Remove Question Mark "?"]])</f>
        <v>Eyr Court</v>
      </c>
      <c r="K951" t="str">
        <f>PROPER(Table1[[#This Row],[Leading, Multiple &amp; Trailing spaces]])</f>
        <v>Eyr Court</v>
      </c>
      <c r="L951" t="str">
        <f t="shared" si="14"/>
        <v>Eyr Court</v>
      </c>
      <c r="M951" t="s">
        <v>3179</v>
      </c>
    </row>
    <row r="952" spans="1:13" x14ac:dyDescent="0.3">
      <c r="A952">
        <v>949</v>
      </c>
      <c r="B952" t="s">
        <v>3180</v>
      </c>
      <c r="C952" t="s">
        <v>711</v>
      </c>
      <c r="D952" t="s">
        <v>2353</v>
      </c>
      <c r="E952" t="s">
        <v>3181</v>
      </c>
      <c r="F952" t="s">
        <v>2976</v>
      </c>
      <c r="G952" t="str">
        <f xml:space="preserve"> PROPER(_xlfn.CONCAT(Table1[[#This Row],[Title]]," ",Table1[[#This Row],[First Name]]," ",Table1[[#This Row],[Last Name]]))</f>
        <v>Mr Marquis Benson</v>
      </c>
      <c r="H952" t="str">
        <f>SUBSTITUTE(Table1[[#This Row],[Street]],"Road"," Road")</f>
        <v>Silvenhall</v>
      </c>
      <c r="I952" t="str">
        <f>SUBSTITUTE(Table1[[#This Row],[Separate combined words ]],"?","")</f>
        <v>Silvenhall</v>
      </c>
      <c r="J952" t="str">
        <f>TRIM(Table1[[#This Row],[Remove Question Mark "?"]])</f>
        <v>Silvenhall</v>
      </c>
      <c r="K952" t="str">
        <f>PROPER(Table1[[#This Row],[Leading, Multiple &amp; Trailing spaces]])</f>
        <v>Silvenhall</v>
      </c>
      <c r="L952" t="str">
        <f t="shared" si="14"/>
        <v>Silvenhall</v>
      </c>
      <c r="M952" t="s">
        <v>3181</v>
      </c>
    </row>
    <row r="953" spans="1:13" x14ac:dyDescent="0.3">
      <c r="A953">
        <v>950</v>
      </c>
      <c r="B953" t="s">
        <v>2985</v>
      </c>
      <c r="C953" t="s">
        <v>3182</v>
      </c>
      <c r="D953" t="s">
        <v>2353</v>
      </c>
      <c r="E953" t="s">
        <v>3183</v>
      </c>
      <c r="F953" t="s">
        <v>568</v>
      </c>
      <c r="G953" t="str">
        <f xml:space="preserve"> PROPER(_xlfn.CONCAT(Table1[[#This Row],[Title]]," ",Table1[[#This Row],[First Name]]," ",Table1[[#This Row],[Last Name]]))</f>
        <v>Mr Matthew Schultz</v>
      </c>
      <c r="H953" t="str">
        <f>SUBSTITUTE(Table1[[#This Row],[Street]],"Road"," Road")</f>
        <v>Ambrose Close</v>
      </c>
      <c r="I953" t="str">
        <f>SUBSTITUTE(Table1[[#This Row],[Separate combined words ]],"?","")</f>
        <v>Ambrose Close</v>
      </c>
      <c r="J953" t="str">
        <f>TRIM(Table1[[#This Row],[Remove Question Mark "?"]])</f>
        <v>Ambrose Close</v>
      </c>
      <c r="K953" t="str">
        <f>PROPER(Table1[[#This Row],[Leading, Multiple &amp; Trailing spaces]])</f>
        <v>Ambrose Close</v>
      </c>
      <c r="L953" t="str">
        <f t="shared" si="14"/>
        <v>Ambrose Close</v>
      </c>
      <c r="M953" t="s">
        <v>3183</v>
      </c>
    </row>
    <row r="954" spans="1:13" x14ac:dyDescent="0.3">
      <c r="A954">
        <v>951</v>
      </c>
      <c r="B954" t="s">
        <v>2378</v>
      </c>
      <c r="C954" t="s">
        <v>1825</v>
      </c>
      <c r="D954" t="s">
        <v>2353</v>
      </c>
      <c r="E954" t="s">
        <v>3184</v>
      </c>
      <c r="F954" t="s">
        <v>3185</v>
      </c>
      <c r="G954" t="str">
        <f xml:space="preserve"> PROPER(_xlfn.CONCAT(Table1[[#This Row],[Title]]," ",Table1[[#This Row],[First Name]]," ",Table1[[#This Row],[Last Name]]))</f>
        <v>Mr Dirk Major</v>
      </c>
      <c r="H954" t="str">
        <f>SUBSTITUTE(Table1[[#This Row],[Street]],"Road"," Road")</f>
        <v>Valance Avenue</v>
      </c>
      <c r="I954" t="str">
        <f>SUBSTITUTE(Table1[[#This Row],[Separate combined words ]],"?","")</f>
        <v>Valance Avenue</v>
      </c>
      <c r="J954" t="str">
        <f>TRIM(Table1[[#This Row],[Remove Question Mark "?"]])</f>
        <v>Valance Avenue</v>
      </c>
      <c r="K954" t="str">
        <f>PROPER(Table1[[#This Row],[Leading, Multiple &amp; Trailing spaces]])</f>
        <v>Valance Avenue</v>
      </c>
      <c r="L954" t="str">
        <f t="shared" si="14"/>
        <v>Valance Avenue</v>
      </c>
      <c r="M954" t="s">
        <v>3184</v>
      </c>
    </row>
    <row r="955" spans="1:13" x14ac:dyDescent="0.3">
      <c r="A955">
        <v>952</v>
      </c>
      <c r="B955" t="s">
        <v>1797</v>
      </c>
      <c r="C955" t="s">
        <v>3186</v>
      </c>
      <c r="D955" t="s">
        <v>2353</v>
      </c>
      <c r="E955" t="s">
        <v>3187</v>
      </c>
      <c r="F955" t="s">
        <v>2301</v>
      </c>
      <c r="G955" t="str">
        <f xml:space="preserve"> PROPER(_xlfn.CONCAT(Table1[[#This Row],[Title]]," ",Table1[[#This Row],[First Name]]," ",Table1[[#This Row],[Last Name]]))</f>
        <v>Mr Miles Hoskins</v>
      </c>
      <c r="H955" t="str">
        <f>SUBSTITUTE(Table1[[#This Row],[Street]],"Road"," Road")</f>
        <v>Ashcroft  Road</v>
      </c>
      <c r="I955" t="str">
        <f>SUBSTITUTE(Table1[[#This Row],[Separate combined words ]],"?","")</f>
        <v>Ashcroft  Road</v>
      </c>
      <c r="J955" t="str">
        <f>TRIM(Table1[[#This Row],[Remove Question Mark "?"]])</f>
        <v>Ashcroft Road</v>
      </c>
      <c r="K955" t="str">
        <f>PROPER(Table1[[#This Row],[Leading, Multiple &amp; Trailing spaces]])</f>
        <v>Ashcroft Road</v>
      </c>
      <c r="L955" t="str">
        <f t="shared" si="14"/>
        <v>Ashcroft Road</v>
      </c>
      <c r="M955" t="s">
        <v>3187</v>
      </c>
    </row>
    <row r="956" spans="1:13" x14ac:dyDescent="0.3">
      <c r="A956">
        <v>953</v>
      </c>
      <c r="B956" t="s">
        <v>3188</v>
      </c>
      <c r="C956" t="s">
        <v>3189</v>
      </c>
      <c r="D956" t="s">
        <v>2353</v>
      </c>
      <c r="E956" t="s">
        <v>3190</v>
      </c>
      <c r="F956" t="s">
        <v>3191</v>
      </c>
      <c r="G956" t="str">
        <f xml:space="preserve"> PROPER(_xlfn.CONCAT(Table1[[#This Row],[Title]]," ",Table1[[#This Row],[First Name]]," ",Table1[[#This Row],[Last Name]]))</f>
        <v>Mr Rashad Egan</v>
      </c>
      <c r="H956" t="str">
        <f>SUBSTITUTE(Table1[[#This Row],[Street]],"Road"," Road")</f>
        <v>Conington  Road</v>
      </c>
      <c r="I956" t="str">
        <f>SUBSTITUTE(Table1[[#This Row],[Separate combined words ]],"?","")</f>
        <v>Conington  Road</v>
      </c>
      <c r="J956" t="str">
        <f>TRIM(Table1[[#This Row],[Remove Question Mark "?"]])</f>
        <v>Conington Road</v>
      </c>
      <c r="K956" t="str">
        <f>PROPER(Table1[[#This Row],[Leading, Multiple &amp; Trailing spaces]])</f>
        <v>Conington Road</v>
      </c>
      <c r="L956" t="str">
        <f t="shared" si="14"/>
        <v>Conington Road</v>
      </c>
      <c r="M956" t="s">
        <v>3190</v>
      </c>
    </row>
    <row r="957" spans="1:13" x14ac:dyDescent="0.3">
      <c r="A957">
        <v>954</v>
      </c>
      <c r="B957" t="s">
        <v>1074</v>
      </c>
      <c r="C957" t="s">
        <v>823</v>
      </c>
      <c r="D957" t="s">
        <v>2353</v>
      </c>
      <c r="E957" t="s">
        <v>3192</v>
      </c>
      <c r="F957" t="s">
        <v>3193</v>
      </c>
      <c r="G957" t="str">
        <f xml:space="preserve"> PROPER(_xlfn.CONCAT(Table1[[#This Row],[Title]]," ",Table1[[#This Row],[First Name]]," ",Table1[[#This Row],[Last Name]]))</f>
        <v>Mr Stacy Lindsay</v>
      </c>
      <c r="H957" t="str">
        <f>SUBSTITUTE(Table1[[#This Row],[Street]],"Road"," Road")</f>
        <v>Leeland  Road</v>
      </c>
      <c r="I957" t="str">
        <f>SUBSTITUTE(Table1[[#This Row],[Separate combined words ]],"?","")</f>
        <v>Leeland  Road</v>
      </c>
      <c r="J957" t="str">
        <f>TRIM(Table1[[#This Row],[Remove Question Mark "?"]])</f>
        <v>Leeland Road</v>
      </c>
      <c r="K957" t="str">
        <f>PROPER(Table1[[#This Row],[Leading, Multiple &amp; Trailing spaces]])</f>
        <v>Leeland Road</v>
      </c>
      <c r="L957" t="str">
        <f t="shared" si="14"/>
        <v>Leeland Road</v>
      </c>
      <c r="M957" t="s">
        <v>3192</v>
      </c>
    </row>
    <row r="958" spans="1:13" x14ac:dyDescent="0.3">
      <c r="A958">
        <v>955</v>
      </c>
      <c r="B958" t="s">
        <v>3194</v>
      </c>
      <c r="C958" t="s">
        <v>3195</v>
      </c>
      <c r="D958" t="s">
        <v>2353</v>
      </c>
      <c r="E958" t="s">
        <v>3196</v>
      </c>
      <c r="F958" t="s">
        <v>3197</v>
      </c>
      <c r="G958" t="str">
        <f xml:space="preserve"> PROPER(_xlfn.CONCAT(Table1[[#This Row],[Title]]," ",Table1[[#This Row],[First Name]]," ",Table1[[#This Row],[Last Name]]))</f>
        <v>Mr Federico Sherwood</v>
      </c>
      <c r="H958" t="str">
        <f>SUBSTITUTE(Table1[[#This Row],[Street]],"Road"," Road")</f>
        <v>Vaudeville Court</v>
      </c>
      <c r="I958" t="str">
        <f>SUBSTITUTE(Table1[[#This Row],[Separate combined words ]],"?","")</f>
        <v>Vaudeville Court</v>
      </c>
      <c r="J958" t="str">
        <f>TRIM(Table1[[#This Row],[Remove Question Mark "?"]])</f>
        <v>Vaudeville Court</v>
      </c>
      <c r="K958" t="str">
        <f>PROPER(Table1[[#This Row],[Leading, Multiple &amp; Trailing spaces]])</f>
        <v>Vaudeville Court</v>
      </c>
      <c r="L958" t="str">
        <f t="shared" si="14"/>
        <v>Vaudeville Court</v>
      </c>
      <c r="M958" t="s">
        <v>3196</v>
      </c>
    </row>
    <row r="959" spans="1:13" x14ac:dyDescent="0.3">
      <c r="A959">
        <v>956</v>
      </c>
      <c r="B959" t="s">
        <v>3198</v>
      </c>
      <c r="C959" t="s">
        <v>569</v>
      </c>
      <c r="D959" t="s">
        <v>2353</v>
      </c>
      <c r="E959" t="s">
        <v>3199</v>
      </c>
      <c r="F959" t="s">
        <v>3200</v>
      </c>
      <c r="G959" t="str">
        <f xml:space="preserve"> PROPER(_xlfn.CONCAT(Table1[[#This Row],[Title]]," ",Table1[[#This Row],[First Name]]," ",Table1[[#This Row],[Last Name]]))</f>
        <v>Mr Isiah Dempsey</v>
      </c>
      <c r="H959" t="str">
        <f>SUBSTITUTE(Table1[[#This Row],[Street]],"Road"," Road")</f>
        <v>North Passage</v>
      </c>
      <c r="I959" t="str">
        <f>SUBSTITUTE(Table1[[#This Row],[Separate combined words ]],"?","")</f>
        <v>North Passage</v>
      </c>
      <c r="J959" t="str">
        <f>TRIM(Table1[[#This Row],[Remove Question Mark "?"]])</f>
        <v>North Passage</v>
      </c>
      <c r="K959" t="str">
        <f>PROPER(Table1[[#This Row],[Leading, Multiple &amp; Trailing spaces]])</f>
        <v>North Passage</v>
      </c>
      <c r="L959" t="str">
        <f t="shared" si="14"/>
        <v>North Passage</v>
      </c>
      <c r="M959" t="s">
        <v>3199</v>
      </c>
    </row>
    <row r="960" spans="1:13" x14ac:dyDescent="0.3">
      <c r="A960">
        <v>957</v>
      </c>
      <c r="B960" t="s">
        <v>3201</v>
      </c>
      <c r="C960" t="s">
        <v>1118</v>
      </c>
      <c r="D960" t="s">
        <v>2353</v>
      </c>
      <c r="E960" t="s">
        <v>3202</v>
      </c>
      <c r="F960" t="s">
        <v>555</v>
      </c>
      <c r="G960" t="str">
        <f xml:space="preserve"> PROPER(_xlfn.CONCAT(Table1[[#This Row],[Title]]," ",Table1[[#This Row],[First Name]]," ",Table1[[#This Row],[Last Name]]))</f>
        <v>Mr Domingo Kirkland</v>
      </c>
      <c r="H960" t="str">
        <f>SUBSTITUTE(Table1[[#This Row],[Street]],"Road"," Road")</f>
        <v>Ram Square</v>
      </c>
      <c r="I960" t="str">
        <f>SUBSTITUTE(Table1[[#This Row],[Separate combined words ]],"?","")</f>
        <v>Ram Square</v>
      </c>
      <c r="J960" t="str">
        <f>TRIM(Table1[[#This Row],[Remove Question Mark "?"]])</f>
        <v>Ram Square</v>
      </c>
      <c r="K960" t="str">
        <f>PROPER(Table1[[#This Row],[Leading, Multiple &amp; Trailing spaces]])</f>
        <v>Ram Square</v>
      </c>
      <c r="L960" t="str">
        <f t="shared" si="14"/>
        <v>Ram Square</v>
      </c>
      <c r="M960" t="s">
        <v>3202</v>
      </c>
    </row>
    <row r="961" spans="1:13" x14ac:dyDescent="0.3">
      <c r="A961">
        <v>958</v>
      </c>
      <c r="B961" t="s">
        <v>3203</v>
      </c>
      <c r="C961" t="s">
        <v>2691</v>
      </c>
      <c r="D961" t="s">
        <v>2353</v>
      </c>
      <c r="E961" t="s">
        <v>3204</v>
      </c>
      <c r="F961" t="s">
        <v>2627</v>
      </c>
      <c r="G961" t="str">
        <f xml:space="preserve"> PROPER(_xlfn.CONCAT(Table1[[#This Row],[Title]]," ",Table1[[#This Row],[First Name]]," ",Table1[[#This Row],[Last Name]]))</f>
        <v>Mr Armand Rojas</v>
      </c>
      <c r="H961" t="str">
        <f>SUBSTITUTE(Table1[[#This Row],[Street]],"Road"," Road")</f>
        <v>South Parade</v>
      </c>
      <c r="I961" t="str">
        <f>SUBSTITUTE(Table1[[#This Row],[Separate combined words ]],"?","")</f>
        <v>South Parade</v>
      </c>
      <c r="J961" t="str">
        <f>TRIM(Table1[[#This Row],[Remove Question Mark "?"]])</f>
        <v>South Parade</v>
      </c>
      <c r="K961" t="str">
        <f>PROPER(Table1[[#This Row],[Leading, Multiple &amp; Trailing spaces]])</f>
        <v>South Parade</v>
      </c>
      <c r="L961" t="str">
        <f t="shared" si="14"/>
        <v>South Parade</v>
      </c>
      <c r="M961" t="s">
        <v>3204</v>
      </c>
    </row>
    <row r="962" spans="1:13" x14ac:dyDescent="0.3">
      <c r="A962">
        <v>959</v>
      </c>
      <c r="B962" t="s">
        <v>3205</v>
      </c>
      <c r="C962" t="s">
        <v>2275</v>
      </c>
      <c r="D962" t="s">
        <v>2353</v>
      </c>
      <c r="E962" t="s">
        <v>3206</v>
      </c>
      <c r="F962" t="s">
        <v>222</v>
      </c>
      <c r="G962" t="str">
        <f xml:space="preserve"> PROPER(_xlfn.CONCAT(Table1[[#This Row],[Title]]," ",Table1[[#This Row],[First Name]]," ",Table1[[#This Row],[Last Name]]))</f>
        <v>Mr Johnson Faulk</v>
      </c>
      <c r="H962" t="str">
        <f>SUBSTITUTE(Table1[[#This Row],[Street]],"Road"," Road")</f>
        <v>Daigeish Street</v>
      </c>
      <c r="I962" t="str">
        <f>SUBSTITUTE(Table1[[#This Row],[Separate combined words ]],"?","")</f>
        <v>Daigeish Street</v>
      </c>
      <c r="J962" t="str">
        <f>TRIM(Table1[[#This Row],[Remove Question Mark "?"]])</f>
        <v>Daigeish Street</v>
      </c>
      <c r="K962" t="str">
        <f>PROPER(Table1[[#This Row],[Leading, Multiple &amp; Trailing spaces]])</f>
        <v>Daigeish Street</v>
      </c>
      <c r="L962" t="str">
        <f t="shared" si="14"/>
        <v>Daigeish Street</v>
      </c>
      <c r="M962" t="s">
        <v>3206</v>
      </c>
    </row>
    <row r="963" spans="1:13" x14ac:dyDescent="0.3">
      <c r="A963">
        <v>960</v>
      </c>
      <c r="B963" t="s">
        <v>2916</v>
      </c>
      <c r="C963" t="s">
        <v>134</v>
      </c>
      <c r="D963" t="s">
        <v>2353</v>
      </c>
      <c r="E963" t="s">
        <v>3207</v>
      </c>
      <c r="F963" t="s">
        <v>3208</v>
      </c>
      <c r="G963" t="str">
        <f xml:space="preserve"> PROPER(_xlfn.CONCAT(Table1[[#This Row],[Title]]," ",Table1[[#This Row],[First Name]]," ",Table1[[#This Row],[Last Name]]))</f>
        <v>Mr Tanner Mcfadden</v>
      </c>
      <c r="H963" t="str">
        <f>SUBSTITUTE(Table1[[#This Row],[Street]],"Road"," Road")</f>
        <v>Doyce Street</v>
      </c>
      <c r="I963" t="str">
        <f>SUBSTITUTE(Table1[[#This Row],[Separate combined words ]],"?","")</f>
        <v>Doyce Street</v>
      </c>
      <c r="J963" t="str">
        <f>TRIM(Table1[[#This Row],[Remove Question Mark "?"]])</f>
        <v>Doyce Street</v>
      </c>
      <c r="K963" t="str">
        <f>PROPER(Table1[[#This Row],[Leading, Multiple &amp; Trailing spaces]])</f>
        <v>Doyce Street</v>
      </c>
      <c r="L963" t="str">
        <f t="shared" si="14"/>
        <v>Doyce Street</v>
      </c>
      <c r="M963" t="s">
        <v>3207</v>
      </c>
    </row>
    <row r="964" spans="1:13" x14ac:dyDescent="0.3">
      <c r="A964">
        <v>961</v>
      </c>
      <c r="B964" t="s">
        <v>3209</v>
      </c>
      <c r="C964" t="s">
        <v>2126</v>
      </c>
      <c r="D964" t="s">
        <v>2353</v>
      </c>
      <c r="E964" t="s">
        <v>3210</v>
      </c>
      <c r="F964" t="s">
        <v>643</v>
      </c>
      <c r="G964" t="str">
        <f xml:space="preserve"> PROPER(_xlfn.CONCAT(Table1[[#This Row],[Title]]," ",Table1[[#This Row],[First Name]]," ",Table1[[#This Row],[Last Name]]))</f>
        <v>Mr Danny Conley</v>
      </c>
      <c r="H964" t="str">
        <f>SUBSTITUTE(Table1[[#This Row],[Street]],"Road"," Road")</f>
        <v>Morena Street</v>
      </c>
      <c r="I964" t="str">
        <f>SUBSTITUTE(Table1[[#This Row],[Separate combined words ]],"?","")</f>
        <v>Morena Street</v>
      </c>
      <c r="J964" t="str">
        <f>TRIM(Table1[[#This Row],[Remove Question Mark "?"]])</f>
        <v>Morena Street</v>
      </c>
      <c r="K964" t="str">
        <f>PROPER(Table1[[#This Row],[Leading, Multiple &amp; Trailing spaces]])</f>
        <v>Morena Street</v>
      </c>
      <c r="L964" t="str">
        <f t="shared" si="14"/>
        <v>Morena Street</v>
      </c>
      <c r="M964" t="s">
        <v>3210</v>
      </c>
    </row>
    <row r="965" spans="1:13" x14ac:dyDescent="0.3">
      <c r="A965">
        <v>962</v>
      </c>
      <c r="B965" t="s">
        <v>3211</v>
      </c>
      <c r="C965" t="s">
        <v>594</v>
      </c>
      <c r="D965" t="s">
        <v>2353</v>
      </c>
      <c r="E965" t="s">
        <v>3212</v>
      </c>
      <c r="F965" t="s">
        <v>148</v>
      </c>
      <c r="G965" t="str">
        <f xml:space="preserve"> PROPER(_xlfn.CONCAT(Table1[[#This Row],[Title]]," ",Table1[[#This Row],[First Name]]," ",Table1[[#This Row],[Last Name]]))</f>
        <v>Mr Salvador Boykin</v>
      </c>
      <c r="H965" t="str">
        <f>SUBSTITUTE(Table1[[#This Row],[Street]],"Road"," Road")</f>
        <v>Topsfield Close</v>
      </c>
      <c r="I965" t="str">
        <f>SUBSTITUTE(Table1[[#This Row],[Separate combined words ]],"?","")</f>
        <v>Topsfield Close</v>
      </c>
      <c r="J965" t="str">
        <f>TRIM(Table1[[#This Row],[Remove Question Mark "?"]])</f>
        <v>Topsfield Close</v>
      </c>
      <c r="K965" t="str">
        <f>PROPER(Table1[[#This Row],[Leading, Multiple &amp; Trailing spaces]])</f>
        <v>Topsfield Close</v>
      </c>
      <c r="L965" t="str">
        <f t="shared" ref="L965:L1028" si="15">TRIM(PROPER(SUBSTITUTE(SUBSTITUTE((E965),"?",""),"Road"," Road")))</f>
        <v>Topsfield Close</v>
      </c>
      <c r="M965" t="s">
        <v>3212</v>
      </c>
    </row>
    <row r="966" spans="1:13" x14ac:dyDescent="0.3">
      <c r="A966">
        <v>963</v>
      </c>
      <c r="B966" t="s">
        <v>3213</v>
      </c>
      <c r="C966" t="s">
        <v>3214</v>
      </c>
      <c r="D966" t="s">
        <v>2353</v>
      </c>
      <c r="E966" t="s">
        <v>3215</v>
      </c>
      <c r="F966" t="s">
        <v>255</v>
      </c>
      <c r="G966" t="str">
        <f xml:space="preserve"> PROPER(_xlfn.CONCAT(Table1[[#This Row],[Title]]," ",Table1[[#This Row],[First Name]]," ",Table1[[#This Row],[Last Name]]))</f>
        <v>Mr Virgilio Conrad</v>
      </c>
      <c r="H966" t="str">
        <f>SUBSTITUTE(Table1[[#This Row],[Street]],"Road"," Road")</f>
        <v>Kotree Way</v>
      </c>
      <c r="I966" t="str">
        <f>SUBSTITUTE(Table1[[#This Row],[Separate combined words ]],"?","")</f>
        <v>Kotree Way</v>
      </c>
      <c r="J966" t="str">
        <f>TRIM(Table1[[#This Row],[Remove Question Mark "?"]])</f>
        <v>Kotree Way</v>
      </c>
      <c r="K966" t="str">
        <f>PROPER(Table1[[#This Row],[Leading, Multiple &amp; Trailing spaces]])</f>
        <v>Kotree Way</v>
      </c>
      <c r="L966" t="str">
        <f t="shared" si="15"/>
        <v>Kotree Way</v>
      </c>
      <c r="M966" t="s">
        <v>3215</v>
      </c>
    </row>
    <row r="967" spans="1:13" x14ac:dyDescent="0.3">
      <c r="A967">
        <v>964</v>
      </c>
      <c r="B967" t="s">
        <v>2381</v>
      </c>
      <c r="C967" t="s">
        <v>307</v>
      </c>
      <c r="D967" t="s">
        <v>2353</v>
      </c>
      <c r="E967" t="s">
        <v>3216</v>
      </c>
      <c r="F967" t="s">
        <v>3217</v>
      </c>
      <c r="G967" t="str">
        <f xml:space="preserve"> PROPER(_xlfn.CONCAT(Table1[[#This Row],[Title]]," ",Table1[[#This Row],[First Name]]," ",Table1[[#This Row],[Last Name]]))</f>
        <v>Mr Chas Rollins</v>
      </c>
      <c r="H967" t="str">
        <f>SUBSTITUTE(Table1[[#This Row],[Street]],"Road"," Road")</f>
        <v>Colegrove  Road</v>
      </c>
      <c r="I967" t="str">
        <f>SUBSTITUTE(Table1[[#This Row],[Separate combined words ]],"?","")</f>
        <v>Colegrove  Road</v>
      </c>
      <c r="J967" t="str">
        <f>TRIM(Table1[[#This Row],[Remove Question Mark "?"]])</f>
        <v>Colegrove Road</v>
      </c>
      <c r="K967" t="str">
        <f>PROPER(Table1[[#This Row],[Leading, Multiple &amp; Trailing spaces]])</f>
        <v>Colegrove Road</v>
      </c>
      <c r="L967" t="str">
        <f t="shared" si="15"/>
        <v>Colegrove Road</v>
      </c>
      <c r="M967" t="s">
        <v>3216</v>
      </c>
    </row>
    <row r="968" spans="1:13" x14ac:dyDescent="0.3">
      <c r="A968">
        <v>965</v>
      </c>
      <c r="B968" t="s">
        <v>3218</v>
      </c>
      <c r="C968" t="s">
        <v>2858</v>
      </c>
      <c r="D968" t="s">
        <v>2353</v>
      </c>
      <c r="E968" t="s">
        <v>3219</v>
      </c>
      <c r="F968" t="s">
        <v>64</v>
      </c>
      <c r="G968" t="str">
        <f xml:space="preserve"> PROPER(_xlfn.CONCAT(Table1[[#This Row],[Title]]," ",Table1[[#This Row],[First Name]]," ",Table1[[#This Row],[Last Name]]))</f>
        <v>Mr Dan Shipley</v>
      </c>
      <c r="H968" t="str">
        <f>SUBSTITUTE(Table1[[#This Row],[Street]],"Road"," Road")</f>
        <v>Coppetts  Road</v>
      </c>
      <c r="I968" t="str">
        <f>SUBSTITUTE(Table1[[#This Row],[Separate combined words ]],"?","")</f>
        <v>Coppetts  Road</v>
      </c>
      <c r="J968" t="str">
        <f>TRIM(Table1[[#This Row],[Remove Question Mark "?"]])</f>
        <v>Coppetts Road</v>
      </c>
      <c r="K968" t="str">
        <f>PROPER(Table1[[#This Row],[Leading, Multiple &amp; Trailing spaces]])</f>
        <v>Coppetts Road</v>
      </c>
      <c r="L968" t="str">
        <f t="shared" si="15"/>
        <v>Coppetts Road</v>
      </c>
      <c r="M968" t="s">
        <v>3219</v>
      </c>
    </row>
    <row r="969" spans="1:13" x14ac:dyDescent="0.3">
      <c r="A969">
        <v>966</v>
      </c>
      <c r="B969" t="s">
        <v>3220</v>
      </c>
      <c r="C969" t="s">
        <v>989</v>
      </c>
      <c r="D969" t="s">
        <v>2353</v>
      </c>
      <c r="E969" t="s">
        <v>3221</v>
      </c>
      <c r="F969" t="s">
        <v>399</v>
      </c>
      <c r="G969" t="str">
        <f xml:space="preserve"> PROPER(_xlfn.CONCAT(Table1[[#This Row],[Title]]," ",Table1[[#This Row],[First Name]]," ",Table1[[#This Row],[Last Name]]))</f>
        <v>Mr Shad Raymond</v>
      </c>
      <c r="H969" t="str">
        <f>SUBSTITUTE(Table1[[#This Row],[Street]],"Road"," Road")</f>
        <v>Primrose Close</v>
      </c>
      <c r="I969" t="str">
        <f>SUBSTITUTE(Table1[[#This Row],[Separate combined words ]],"?","")</f>
        <v>Primrose Close</v>
      </c>
      <c r="J969" t="str">
        <f>TRIM(Table1[[#This Row],[Remove Question Mark "?"]])</f>
        <v>Primrose Close</v>
      </c>
      <c r="K969" t="str">
        <f>PROPER(Table1[[#This Row],[Leading, Multiple &amp; Trailing spaces]])</f>
        <v>Primrose Close</v>
      </c>
      <c r="L969" t="str">
        <f t="shared" si="15"/>
        <v>Primrose Close</v>
      </c>
      <c r="M969" t="s">
        <v>3221</v>
      </c>
    </row>
    <row r="970" spans="1:13" x14ac:dyDescent="0.3">
      <c r="A970">
        <v>967</v>
      </c>
      <c r="B970" t="s">
        <v>3222</v>
      </c>
      <c r="C970" t="s">
        <v>400</v>
      </c>
      <c r="D970" t="s">
        <v>2353</v>
      </c>
      <c r="E970" t="s">
        <v>3223</v>
      </c>
      <c r="F970" t="s">
        <v>3224</v>
      </c>
      <c r="G970" t="str">
        <f xml:space="preserve"> PROPER(_xlfn.CONCAT(Table1[[#This Row],[Title]]," ",Table1[[#This Row],[First Name]]," ",Table1[[#This Row],[Last Name]]))</f>
        <v>Mr Burt Stubbs</v>
      </c>
      <c r="H970" t="str">
        <f>SUBSTITUTE(Table1[[#This Row],[Street]],"Road"," Road")</f>
        <v>Cambourne Avenue</v>
      </c>
      <c r="I970" t="str">
        <f>SUBSTITUTE(Table1[[#This Row],[Separate combined words ]],"?","")</f>
        <v>Cambourne Avenue</v>
      </c>
      <c r="J970" t="str">
        <f>TRIM(Table1[[#This Row],[Remove Question Mark "?"]])</f>
        <v>Cambourne Avenue</v>
      </c>
      <c r="K970" t="str">
        <f>PROPER(Table1[[#This Row],[Leading, Multiple &amp; Trailing spaces]])</f>
        <v>Cambourne Avenue</v>
      </c>
      <c r="L970" t="str">
        <f t="shared" si="15"/>
        <v>Cambourne Avenue</v>
      </c>
      <c r="M970" t="s">
        <v>3223</v>
      </c>
    </row>
    <row r="971" spans="1:13" x14ac:dyDescent="0.3">
      <c r="A971">
        <v>968</v>
      </c>
      <c r="B971" t="s">
        <v>3225</v>
      </c>
      <c r="C971" t="s">
        <v>3226</v>
      </c>
      <c r="D971" t="s">
        <v>2353</v>
      </c>
      <c r="E971" t="s">
        <v>3227</v>
      </c>
      <c r="F971" t="s">
        <v>1366</v>
      </c>
      <c r="G971" t="str">
        <f xml:space="preserve"> PROPER(_xlfn.CONCAT(Table1[[#This Row],[Title]]," ",Table1[[#This Row],[First Name]]," ",Table1[[#This Row],[Last Name]]))</f>
        <v>Mr Arturo Mcghee</v>
      </c>
      <c r="H971" t="str">
        <f>SUBSTITUTE(Table1[[#This Row],[Street]],"Road"," Road")</f>
        <v>Hillside Terrace</v>
      </c>
      <c r="I971" t="str">
        <f>SUBSTITUTE(Table1[[#This Row],[Separate combined words ]],"?","")</f>
        <v>Hillside Terrace</v>
      </c>
      <c r="J971" t="str">
        <f>TRIM(Table1[[#This Row],[Remove Question Mark "?"]])</f>
        <v>Hillside Terrace</v>
      </c>
      <c r="K971" t="str">
        <f>PROPER(Table1[[#This Row],[Leading, Multiple &amp; Trailing spaces]])</f>
        <v>Hillside Terrace</v>
      </c>
      <c r="L971" t="str">
        <f t="shared" si="15"/>
        <v>Hillside Terrace</v>
      </c>
      <c r="M971" t="s">
        <v>3227</v>
      </c>
    </row>
    <row r="972" spans="1:13" x14ac:dyDescent="0.3">
      <c r="A972">
        <v>969</v>
      </c>
      <c r="B972" t="s">
        <v>3228</v>
      </c>
      <c r="C972" t="s">
        <v>441</v>
      </c>
      <c r="D972" t="s">
        <v>2353</v>
      </c>
      <c r="E972" t="s">
        <v>3229</v>
      </c>
      <c r="F972" t="s">
        <v>979</v>
      </c>
      <c r="G972" t="str">
        <f xml:space="preserve"> PROPER(_xlfn.CONCAT(Table1[[#This Row],[Title]]," ",Table1[[#This Row],[First Name]]," ",Table1[[#This Row],[Last Name]]))</f>
        <v>Mr Brendan Tyler</v>
      </c>
      <c r="H972" t="str">
        <f>SUBSTITUTE(Table1[[#This Row],[Street]],"Road"," Road")</f>
        <v>Herbert Mews</v>
      </c>
      <c r="I972" t="str">
        <f>SUBSTITUTE(Table1[[#This Row],[Separate combined words ]],"?","")</f>
        <v>Herbert Mews</v>
      </c>
      <c r="J972" t="str">
        <f>TRIM(Table1[[#This Row],[Remove Question Mark "?"]])</f>
        <v>Herbert Mews</v>
      </c>
      <c r="K972" t="str">
        <f>PROPER(Table1[[#This Row],[Leading, Multiple &amp; Trailing spaces]])</f>
        <v>Herbert Mews</v>
      </c>
      <c r="L972" t="str">
        <f t="shared" si="15"/>
        <v>Herbert Mews</v>
      </c>
      <c r="M972" t="s">
        <v>3229</v>
      </c>
    </row>
    <row r="973" spans="1:13" x14ac:dyDescent="0.3">
      <c r="A973">
        <v>970</v>
      </c>
      <c r="B973" t="s">
        <v>3230</v>
      </c>
      <c r="C973" t="s">
        <v>490</v>
      </c>
      <c r="D973" t="s">
        <v>2353</v>
      </c>
      <c r="E973" t="s">
        <v>3231</v>
      </c>
      <c r="F973" t="s">
        <v>3232</v>
      </c>
      <c r="G973" t="str">
        <f xml:space="preserve"> PROPER(_xlfn.CONCAT(Table1[[#This Row],[Title]]," ",Table1[[#This Row],[First Name]]," ",Table1[[#This Row],[Last Name]]))</f>
        <v>Mr Jamal Norman</v>
      </c>
      <c r="H973" t="str">
        <f>SUBSTITUTE(Table1[[#This Row],[Street]],"Road"," Road")</f>
        <v>Primrose Mews</v>
      </c>
      <c r="I973" t="str">
        <f>SUBSTITUTE(Table1[[#This Row],[Separate combined words ]],"?","")</f>
        <v>Primrose Mews</v>
      </c>
      <c r="J973" t="str">
        <f>TRIM(Table1[[#This Row],[Remove Question Mark "?"]])</f>
        <v>Primrose Mews</v>
      </c>
      <c r="K973" t="str">
        <f>PROPER(Table1[[#This Row],[Leading, Multiple &amp; Trailing spaces]])</f>
        <v>Primrose Mews</v>
      </c>
      <c r="L973" t="str">
        <f t="shared" si="15"/>
        <v>Primrose Mews</v>
      </c>
      <c r="M973" t="s">
        <v>3231</v>
      </c>
    </row>
    <row r="974" spans="1:13" x14ac:dyDescent="0.3">
      <c r="A974">
        <v>971</v>
      </c>
      <c r="B974" t="s">
        <v>2842</v>
      </c>
      <c r="C974" t="s">
        <v>654</v>
      </c>
      <c r="D974" t="s">
        <v>2353</v>
      </c>
      <c r="E974" t="s">
        <v>3233</v>
      </c>
      <c r="F974" t="s">
        <v>973</v>
      </c>
      <c r="G974" t="str">
        <f xml:space="preserve"> PROPER(_xlfn.CONCAT(Table1[[#This Row],[Title]]," ",Table1[[#This Row],[First Name]]," ",Table1[[#This Row],[Last Name]]))</f>
        <v>Mr Garfield Eddy</v>
      </c>
      <c r="H974" t="str">
        <f>SUBSTITUTE(Table1[[#This Row],[Street]],"Road"," Road")</f>
        <v>Vibart Gardens</v>
      </c>
      <c r="I974" t="str">
        <f>SUBSTITUTE(Table1[[#This Row],[Separate combined words ]],"?","")</f>
        <v>Vibart Gardens</v>
      </c>
      <c r="J974" t="str">
        <f>TRIM(Table1[[#This Row],[Remove Question Mark "?"]])</f>
        <v>Vibart Gardens</v>
      </c>
      <c r="K974" t="str">
        <f>PROPER(Table1[[#This Row],[Leading, Multiple &amp; Trailing spaces]])</f>
        <v>Vibart Gardens</v>
      </c>
      <c r="L974" t="str">
        <f t="shared" si="15"/>
        <v>Vibart Gardens</v>
      </c>
      <c r="M974" t="s">
        <v>3233</v>
      </c>
    </row>
    <row r="975" spans="1:13" x14ac:dyDescent="0.3">
      <c r="A975">
        <v>972</v>
      </c>
      <c r="B975" t="s">
        <v>3234</v>
      </c>
      <c r="C975" t="s">
        <v>1894</v>
      </c>
      <c r="D975" t="s">
        <v>2353</v>
      </c>
      <c r="E975" t="s">
        <v>3235</v>
      </c>
      <c r="F975" t="s">
        <v>373</v>
      </c>
      <c r="G975" t="str">
        <f xml:space="preserve"> PROPER(_xlfn.CONCAT(Table1[[#This Row],[Title]]," ",Table1[[#This Row],[First Name]]," ",Table1[[#This Row],[Last Name]]))</f>
        <v>Mr Bernard Cline</v>
      </c>
      <c r="H975" t="str">
        <f>SUBSTITUTE(Table1[[#This Row],[Street]],"Road"," Road")</f>
        <v>Compton Mews</v>
      </c>
      <c r="I975" t="str">
        <f>SUBSTITUTE(Table1[[#This Row],[Separate combined words ]],"?","")</f>
        <v>Compton Mews</v>
      </c>
      <c r="J975" t="str">
        <f>TRIM(Table1[[#This Row],[Remove Question Mark "?"]])</f>
        <v>Compton Mews</v>
      </c>
      <c r="K975" t="str">
        <f>PROPER(Table1[[#This Row],[Leading, Multiple &amp; Trailing spaces]])</f>
        <v>Compton Mews</v>
      </c>
      <c r="L975" t="str">
        <f t="shared" si="15"/>
        <v>Compton Mews</v>
      </c>
      <c r="M975" t="s">
        <v>3235</v>
      </c>
    </row>
    <row r="976" spans="1:13" x14ac:dyDescent="0.3">
      <c r="A976">
        <v>973</v>
      </c>
      <c r="B976" t="s">
        <v>2214</v>
      </c>
      <c r="C976" t="s">
        <v>1771</v>
      </c>
      <c r="D976" t="s">
        <v>2469</v>
      </c>
      <c r="E976" t="s">
        <v>3236</v>
      </c>
      <c r="F976" t="s">
        <v>3237</v>
      </c>
      <c r="G976" t="str">
        <f xml:space="preserve"> PROPER(_xlfn.CONCAT(Table1[[#This Row],[Title]]," ",Table1[[#This Row],[First Name]]," ",Table1[[#This Row],[Last Name]]))</f>
        <v>Rev Curtis Parham</v>
      </c>
      <c r="H976" t="str">
        <f>SUBSTITUTE(Table1[[#This Row],[Street]],"Road"," Road")</f>
        <v>Downsfield  Road</v>
      </c>
      <c r="I976" t="str">
        <f>SUBSTITUTE(Table1[[#This Row],[Separate combined words ]],"?","")</f>
        <v>Downsfield  Road</v>
      </c>
      <c r="J976" t="str">
        <f>TRIM(Table1[[#This Row],[Remove Question Mark "?"]])</f>
        <v>Downsfield Road</v>
      </c>
      <c r="K976" t="str">
        <f>PROPER(Table1[[#This Row],[Leading, Multiple &amp; Trailing spaces]])</f>
        <v>Downsfield Road</v>
      </c>
      <c r="L976" t="str">
        <f t="shared" si="15"/>
        <v>Downsfield Road</v>
      </c>
      <c r="M976" t="s">
        <v>3236</v>
      </c>
    </row>
    <row r="977" spans="1:13" x14ac:dyDescent="0.3">
      <c r="A977">
        <v>974</v>
      </c>
      <c r="B977" t="s">
        <v>3238</v>
      </c>
      <c r="C977" t="s">
        <v>3122</v>
      </c>
      <c r="D977" t="s">
        <v>2353</v>
      </c>
      <c r="E977" t="s">
        <v>3239</v>
      </c>
      <c r="F977" t="s">
        <v>3240</v>
      </c>
      <c r="G977" t="str">
        <f xml:space="preserve"> PROPER(_xlfn.CONCAT(Table1[[#This Row],[Title]]," ",Table1[[#This Row],[First Name]]," ",Table1[[#This Row],[Last Name]]))</f>
        <v>Mr Ronnie Goldman</v>
      </c>
      <c r="H977" t="str">
        <f>SUBSTITUTE(Table1[[#This Row],[Street]],"Road"," Road")</f>
        <v>Diamond Terrace</v>
      </c>
      <c r="I977" t="str">
        <f>SUBSTITUTE(Table1[[#This Row],[Separate combined words ]],"?","")</f>
        <v>Diamond Terrace</v>
      </c>
      <c r="J977" t="str">
        <f>TRIM(Table1[[#This Row],[Remove Question Mark "?"]])</f>
        <v>Diamond Terrace</v>
      </c>
      <c r="K977" t="str">
        <f>PROPER(Table1[[#This Row],[Leading, Multiple &amp; Trailing spaces]])</f>
        <v>Diamond Terrace</v>
      </c>
      <c r="L977" t="str">
        <f t="shared" si="15"/>
        <v>Diamond Terrace</v>
      </c>
      <c r="M977" t="s">
        <v>3239</v>
      </c>
    </row>
    <row r="978" spans="1:13" x14ac:dyDescent="0.3">
      <c r="A978">
        <v>975</v>
      </c>
      <c r="B978" t="s">
        <v>3241</v>
      </c>
      <c r="C978" t="s">
        <v>3242</v>
      </c>
      <c r="D978" t="s">
        <v>2353</v>
      </c>
      <c r="E978" t="s">
        <v>3243</v>
      </c>
      <c r="F978" t="s">
        <v>358</v>
      </c>
      <c r="G978" t="str">
        <f xml:space="preserve"> PROPER(_xlfn.CONCAT(Table1[[#This Row],[Title]]," ",Table1[[#This Row],[First Name]]," ",Table1[[#This Row],[Last Name]]))</f>
        <v>Mr Leandro Driver</v>
      </c>
      <c r="H978" t="str">
        <f>SUBSTITUTE(Table1[[#This Row],[Street]],"Road"," Road")</f>
        <v>Henrietta Cottages</v>
      </c>
      <c r="I978" t="str">
        <f>SUBSTITUTE(Table1[[#This Row],[Separate combined words ]],"?","")</f>
        <v>Henrietta Cottages</v>
      </c>
      <c r="J978" t="str">
        <f>TRIM(Table1[[#This Row],[Remove Question Mark "?"]])</f>
        <v>Henrietta Cottages</v>
      </c>
      <c r="K978" t="str">
        <f>PROPER(Table1[[#This Row],[Leading, Multiple &amp; Trailing spaces]])</f>
        <v>Henrietta Cottages</v>
      </c>
      <c r="L978" t="str">
        <f t="shared" si="15"/>
        <v>Henrietta Cottages</v>
      </c>
      <c r="M978" t="s">
        <v>3243</v>
      </c>
    </row>
    <row r="979" spans="1:13" x14ac:dyDescent="0.3">
      <c r="A979">
        <v>976</v>
      </c>
      <c r="B979" t="s">
        <v>997</v>
      </c>
      <c r="C979" t="s">
        <v>3244</v>
      </c>
      <c r="D979" t="s">
        <v>2353</v>
      </c>
      <c r="E979" t="s">
        <v>3245</v>
      </c>
      <c r="F979" t="s">
        <v>3246</v>
      </c>
      <c r="G979" t="str">
        <f xml:space="preserve"> PROPER(_xlfn.CONCAT(Table1[[#This Row],[Title]]," ",Table1[[#This Row],[First Name]]," ",Table1[[#This Row],[Last Name]]))</f>
        <v>Mr Irwin Spivey</v>
      </c>
      <c r="H979" t="str">
        <f>SUBSTITUTE(Table1[[#This Row],[Street]],"Road"," Road")</f>
        <v>Hammond Gardens</v>
      </c>
      <c r="I979" t="str">
        <f>SUBSTITUTE(Table1[[#This Row],[Separate combined words ]],"?","")</f>
        <v>Hammond Gardens</v>
      </c>
      <c r="J979" t="str">
        <f>TRIM(Table1[[#This Row],[Remove Question Mark "?"]])</f>
        <v>Hammond Gardens</v>
      </c>
      <c r="K979" t="str">
        <f>PROPER(Table1[[#This Row],[Leading, Multiple &amp; Trailing spaces]])</f>
        <v>Hammond Gardens</v>
      </c>
      <c r="L979" t="str">
        <f t="shared" si="15"/>
        <v>Hammond Gardens</v>
      </c>
      <c r="M979" t="s">
        <v>3245</v>
      </c>
    </row>
    <row r="980" spans="1:13" x14ac:dyDescent="0.3">
      <c r="A980">
        <v>977</v>
      </c>
      <c r="B980" t="s">
        <v>3247</v>
      </c>
      <c r="C980" t="s">
        <v>1920</v>
      </c>
      <c r="D980" t="s">
        <v>2353</v>
      </c>
      <c r="E980" t="s">
        <v>3248</v>
      </c>
      <c r="F980" t="s">
        <v>556</v>
      </c>
      <c r="G980" t="str">
        <f xml:space="preserve"> PROPER(_xlfn.CONCAT(Table1[[#This Row],[Title]]," ",Table1[[#This Row],[First Name]]," ",Table1[[#This Row],[Last Name]]))</f>
        <v>Mr Juan Ogden</v>
      </c>
      <c r="H980" t="str">
        <f>SUBSTITUTE(Table1[[#This Row],[Street]],"Road"," Road")</f>
        <v>Electric Lane</v>
      </c>
      <c r="I980" t="str">
        <f>SUBSTITUTE(Table1[[#This Row],[Separate combined words ]],"?","")</f>
        <v>Electric Lane</v>
      </c>
      <c r="J980" t="str">
        <f>TRIM(Table1[[#This Row],[Remove Question Mark "?"]])</f>
        <v>Electric Lane</v>
      </c>
      <c r="K980" t="str">
        <f>PROPER(Table1[[#This Row],[Leading, Multiple &amp; Trailing spaces]])</f>
        <v>Electric Lane</v>
      </c>
      <c r="L980" t="str">
        <f t="shared" si="15"/>
        <v>Electric Lane</v>
      </c>
      <c r="M980" t="s">
        <v>3248</v>
      </c>
    </row>
    <row r="981" spans="1:13" x14ac:dyDescent="0.3">
      <c r="A981">
        <v>978</v>
      </c>
      <c r="B981" t="s">
        <v>3249</v>
      </c>
      <c r="C981" t="s">
        <v>3250</v>
      </c>
      <c r="D981" t="s">
        <v>2353</v>
      </c>
      <c r="E981" t="s">
        <v>3251</v>
      </c>
      <c r="F981" t="s">
        <v>3252</v>
      </c>
      <c r="G981" t="str">
        <f xml:space="preserve"> PROPER(_xlfn.CONCAT(Table1[[#This Row],[Title]]," ",Table1[[#This Row],[First Name]]," ",Table1[[#This Row],[Last Name]]))</f>
        <v>Mr Claud Thorpe</v>
      </c>
      <c r="H981" t="str">
        <f>SUBSTITUTE(Table1[[#This Row],[Street]],"Road"," Road")</f>
        <v>Chesterfield Gdns</v>
      </c>
      <c r="I981" t="str">
        <f>SUBSTITUTE(Table1[[#This Row],[Separate combined words ]],"?","")</f>
        <v>Chesterfield Gdns</v>
      </c>
      <c r="J981" t="str">
        <f>TRIM(Table1[[#This Row],[Remove Question Mark "?"]])</f>
        <v>Chesterfield Gdns</v>
      </c>
      <c r="K981" t="str">
        <f>PROPER(Table1[[#This Row],[Leading, Multiple &amp; Trailing spaces]])</f>
        <v>Chesterfield Gdns</v>
      </c>
      <c r="L981" t="str">
        <f t="shared" si="15"/>
        <v>Chesterfield Gdns</v>
      </c>
      <c r="M981" t="s">
        <v>3441</v>
      </c>
    </row>
    <row r="982" spans="1:13" x14ac:dyDescent="0.3">
      <c r="A982">
        <v>979</v>
      </c>
      <c r="B982" t="s">
        <v>3253</v>
      </c>
      <c r="C982" t="s">
        <v>201</v>
      </c>
      <c r="D982" t="s">
        <v>2353</v>
      </c>
      <c r="E982" t="s">
        <v>3254</v>
      </c>
      <c r="F982" t="s">
        <v>3255</v>
      </c>
      <c r="G982" t="str">
        <f xml:space="preserve"> PROPER(_xlfn.CONCAT(Table1[[#This Row],[Title]]," ",Table1[[#This Row],[First Name]]," ",Table1[[#This Row],[Last Name]]))</f>
        <v>Mr Damion Sadler</v>
      </c>
      <c r="H982" t="str">
        <f>SUBSTITUTE(Table1[[#This Row],[Street]],"Road"," Road")</f>
        <v>Millais  Road</v>
      </c>
      <c r="I982" t="str">
        <f>SUBSTITUTE(Table1[[#This Row],[Separate combined words ]],"?","")</f>
        <v>Millais  Road</v>
      </c>
      <c r="J982" t="str">
        <f>TRIM(Table1[[#This Row],[Remove Question Mark "?"]])</f>
        <v>Millais Road</v>
      </c>
      <c r="K982" t="str">
        <f>PROPER(Table1[[#This Row],[Leading, Multiple &amp; Trailing spaces]])</f>
        <v>Millais Road</v>
      </c>
      <c r="L982" t="str">
        <f t="shared" si="15"/>
        <v>Millais Road</v>
      </c>
      <c r="M982" t="s">
        <v>3254</v>
      </c>
    </row>
    <row r="983" spans="1:13" x14ac:dyDescent="0.3">
      <c r="A983">
        <v>980</v>
      </c>
      <c r="B983" t="s">
        <v>3256</v>
      </c>
      <c r="C983" t="s">
        <v>3257</v>
      </c>
      <c r="D983" t="s">
        <v>2353</v>
      </c>
      <c r="E983" t="s">
        <v>3258</v>
      </c>
      <c r="F983" t="s">
        <v>424</v>
      </c>
      <c r="G983" t="str">
        <f xml:space="preserve"> PROPER(_xlfn.CONCAT(Table1[[#This Row],[Title]]," ",Table1[[#This Row],[First Name]]," ",Table1[[#This Row],[Last Name]]))</f>
        <v>Mr Lucius Dick</v>
      </c>
      <c r="H983" t="str">
        <f>SUBSTITUTE(Table1[[#This Row],[Street]],"Road"," Road")</f>
        <v>Caravel Close</v>
      </c>
      <c r="I983" t="str">
        <f>SUBSTITUTE(Table1[[#This Row],[Separate combined words ]],"?","")</f>
        <v>Caravel Close</v>
      </c>
      <c r="J983" t="str">
        <f>TRIM(Table1[[#This Row],[Remove Question Mark "?"]])</f>
        <v>Caravel Close</v>
      </c>
      <c r="K983" t="str">
        <f>PROPER(Table1[[#This Row],[Leading, Multiple &amp; Trailing spaces]])</f>
        <v>Caravel Close</v>
      </c>
      <c r="L983" t="str">
        <f t="shared" si="15"/>
        <v>Caravel Close</v>
      </c>
      <c r="M983" t="s">
        <v>3258</v>
      </c>
    </row>
    <row r="984" spans="1:13" x14ac:dyDescent="0.3">
      <c r="A984">
        <v>981</v>
      </c>
      <c r="B984" t="s">
        <v>3259</v>
      </c>
      <c r="C984" t="s">
        <v>2671</v>
      </c>
      <c r="D984" t="s">
        <v>2353</v>
      </c>
      <c r="E984" t="s">
        <v>3260</v>
      </c>
      <c r="F984" t="s">
        <v>3261</v>
      </c>
      <c r="G984" t="str">
        <f xml:space="preserve"> PROPER(_xlfn.CONCAT(Table1[[#This Row],[Title]]," ",Table1[[#This Row],[First Name]]," ",Table1[[#This Row],[Last Name]]))</f>
        <v>Mr Korey Melvin</v>
      </c>
      <c r="H984" t="str">
        <f>SUBSTITUTE(Table1[[#This Row],[Street]],"Road"," Road")</f>
        <v>Castlands  Road</v>
      </c>
      <c r="I984" t="str">
        <f>SUBSTITUTE(Table1[[#This Row],[Separate combined words ]],"?","")</f>
        <v>Castlands  Road</v>
      </c>
      <c r="J984" t="str">
        <f>TRIM(Table1[[#This Row],[Remove Question Mark "?"]])</f>
        <v>Castlands Road</v>
      </c>
      <c r="K984" t="str">
        <f>PROPER(Table1[[#This Row],[Leading, Multiple &amp; Trailing spaces]])</f>
        <v>Castlands Road</v>
      </c>
      <c r="L984" t="str">
        <f t="shared" si="15"/>
        <v>Castlands Road</v>
      </c>
      <c r="M984" t="s">
        <v>3260</v>
      </c>
    </row>
    <row r="985" spans="1:13" x14ac:dyDescent="0.3">
      <c r="A985">
        <v>982</v>
      </c>
      <c r="B985" t="s">
        <v>3262</v>
      </c>
      <c r="C985" t="s">
        <v>442</v>
      </c>
      <c r="D985" t="s">
        <v>2353</v>
      </c>
      <c r="E985" t="s">
        <v>3263</v>
      </c>
      <c r="F985" t="s">
        <v>2693</v>
      </c>
      <c r="G985" t="str">
        <f xml:space="preserve"> PROPER(_xlfn.CONCAT(Table1[[#This Row],[Title]]," ",Table1[[#This Row],[First Name]]," ",Table1[[#This Row],[Last Name]]))</f>
        <v>Mr Gayle Corbin</v>
      </c>
      <c r="H985" t="str">
        <f>SUBSTITUTE(Table1[[#This Row],[Street]],"Road"," Road")</f>
        <v>Cyprus Street</v>
      </c>
      <c r="I985" t="str">
        <f>SUBSTITUTE(Table1[[#This Row],[Separate combined words ]],"?","")</f>
        <v>Cyprus Street</v>
      </c>
      <c r="J985" t="str">
        <f>TRIM(Table1[[#This Row],[Remove Question Mark "?"]])</f>
        <v>Cyprus Street</v>
      </c>
      <c r="K985" t="str">
        <f>PROPER(Table1[[#This Row],[Leading, Multiple &amp; Trailing spaces]])</f>
        <v>Cyprus Street</v>
      </c>
      <c r="L985" t="str">
        <f t="shared" si="15"/>
        <v>Cyprus Street</v>
      </c>
      <c r="M985" t="s">
        <v>3263</v>
      </c>
    </row>
    <row r="986" spans="1:13" x14ac:dyDescent="0.3">
      <c r="A986">
        <v>983</v>
      </c>
      <c r="B986" t="s">
        <v>3043</v>
      </c>
      <c r="C986" t="s">
        <v>551</v>
      </c>
      <c r="D986" t="s">
        <v>2353</v>
      </c>
      <c r="E986" t="s">
        <v>3264</v>
      </c>
      <c r="F986" t="s">
        <v>3252</v>
      </c>
      <c r="G986" t="str">
        <f xml:space="preserve"> PROPER(_xlfn.CONCAT(Table1[[#This Row],[Title]]," ",Table1[[#This Row],[First Name]]," ",Table1[[#This Row],[Last Name]]))</f>
        <v>Mr Ignacio Lake</v>
      </c>
      <c r="H986" t="str">
        <f>SUBSTITUTE(Table1[[#This Row],[Street]],"Road"," Road")</f>
        <v>Clays Lane</v>
      </c>
      <c r="I986" t="str">
        <f>SUBSTITUTE(Table1[[#This Row],[Separate combined words ]],"?","")</f>
        <v>Clays Lane</v>
      </c>
      <c r="J986" t="str">
        <f>TRIM(Table1[[#This Row],[Remove Question Mark "?"]])</f>
        <v>Clays Lane</v>
      </c>
      <c r="K986" t="str">
        <f>PROPER(Table1[[#This Row],[Leading, Multiple &amp; Trailing spaces]])</f>
        <v>Clays Lane</v>
      </c>
      <c r="L986" t="str">
        <f t="shared" si="15"/>
        <v>Clays Lane</v>
      </c>
      <c r="M986" t="s">
        <v>3264</v>
      </c>
    </row>
    <row r="987" spans="1:13" x14ac:dyDescent="0.3">
      <c r="A987">
        <v>984</v>
      </c>
      <c r="B987" t="s">
        <v>1371</v>
      </c>
      <c r="C987" t="s">
        <v>307</v>
      </c>
      <c r="D987" t="s">
        <v>2353</v>
      </c>
      <c r="E987" t="s">
        <v>3265</v>
      </c>
      <c r="F987" t="s">
        <v>3266</v>
      </c>
      <c r="G987" t="str">
        <f xml:space="preserve"> PROPER(_xlfn.CONCAT(Table1[[#This Row],[Title]]," ",Table1[[#This Row],[First Name]]," ",Table1[[#This Row],[Last Name]]))</f>
        <v>Mr Toney Rollins</v>
      </c>
      <c r="H987" t="str">
        <f>SUBSTITUTE(Table1[[#This Row],[Street]],"Road"," Road")</f>
        <v>Devon Cottages</v>
      </c>
      <c r="I987" t="str">
        <f>SUBSTITUTE(Table1[[#This Row],[Separate combined words ]],"?","")</f>
        <v>Devon Cottages</v>
      </c>
      <c r="J987" t="str">
        <f>TRIM(Table1[[#This Row],[Remove Question Mark "?"]])</f>
        <v>Devon Cottages</v>
      </c>
      <c r="K987" t="str">
        <f>PROPER(Table1[[#This Row],[Leading, Multiple &amp; Trailing spaces]])</f>
        <v>Devon Cottages</v>
      </c>
      <c r="L987" t="str">
        <f t="shared" si="15"/>
        <v>Devon Cottages</v>
      </c>
      <c r="M987" t="s">
        <v>3265</v>
      </c>
    </row>
    <row r="988" spans="1:13" x14ac:dyDescent="0.3">
      <c r="A988">
        <v>985</v>
      </c>
      <c r="B988" t="s">
        <v>3267</v>
      </c>
      <c r="C988" t="s">
        <v>3244</v>
      </c>
      <c r="D988" t="s">
        <v>2353</v>
      </c>
      <c r="E988" t="s">
        <v>3268</v>
      </c>
      <c r="F988" t="s">
        <v>3269</v>
      </c>
      <c r="G988" t="str">
        <f xml:space="preserve"> PROPER(_xlfn.CONCAT(Table1[[#This Row],[Title]]," ",Table1[[#This Row],[First Name]]," ",Table1[[#This Row],[Last Name]]))</f>
        <v>Mr Wilburn Spivey</v>
      </c>
      <c r="H988" t="str">
        <f>SUBSTITUTE(Table1[[#This Row],[Street]],"Road"," Road")</f>
        <v>Blechynden Street</v>
      </c>
      <c r="I988" t="str">
        <f>SUBSTITUTE(Table1[[#This Row],[Separate combined words ]],"?","")</f>
        <v>Blechynden Street</v>
      </c>
      <c r="J988" t="str">
        <f>TRIM(Table1[[#This Row],[Remove Question Mark "?"]])</f>
        <v>Blechynden Street</v>
      </c>
      <c r="K988" t="str">
        <f>PROPER(Table1[[#This Row],[Leading, Multiple &amp; Trailing spaces]])</f>
        <v>Blechynden Street</v>
      </c>
      <c r="L988" t="str">
        <f t="shared" si="15"/>
        <v>Blechynden Street</v>
      </c>
      <c r="M988" t="s">
        <v>3268</v>
      </c>
    </row>
    <row r="989" spans="1:13" x14ac:dyDescent="0.3">
      <c r="A989">
        <v>986</v>
      </c>
      <c r="B989" t="s">
        <v>3270</v>
      </c>
      <c r="C989" t="s">
        <v>563</v>
      </c>
      <c r="D989" t="s">
        <v>2353</v>
      </c>
      <c r="E989" t="s">
        <v>3271</v>
      </c>
      <c r="F989" t="s">
        <v>241</v>
      </c>
      <c r="G989" t="str">
        <f xml:space="preserve"> PROPER(_xlfn.CONCAT(Table1[[#This Row],[Title]]," ",Table1[[#This Row],[First Name]]," ",Table1[[#This Row],[Last Name]]))</f>
        <v>Mr Reginald Crum</v>
      </c>
      <c r="H989" t="str">
        <f>SUBSTITUTE(Table1[[#This Row],[Street]],"Road"," Road")</f>
        <v>Pembroke Studios</v>
      </c>
      <c r="I989" t="str">
        <f>SUBSTITUTE(Table1[[#This Row],[Separate combined words ]],"?","")</f>
        <v>Pembroke Studios</v>
      </c>
      <c r="J989" t="str">
        <f>TRIM(Table1[[#This Row],[Remove Question Mark "?"]])</f>
        <v>Pembroke Studios</v>
      </c>
      <c r="K989" t="str">
        <f>PROPER(Table1[[#This Row],[Leading, Multiple &amp; Trailing spaces]])</f>
        <v>Pembroke Studios</v>
      </c>
      <c r="L989" t="str">
        <f t="shared" si="15"/>
        <v>Pembroke Studios</v>
      </c>
      <c r="M989" t="s">
        <v>3271</v>
      </c>
    </row>
    <row r="990" spans="1:13" x14ac:dyDescent="0.3">
      <c r="A990">
        <v>987</v>
      </c>
      <c r="B990" t="s">
        <v>3272</v>
      </c>
      <c r="C990" t="s">
        <v>2441</v>
      </c>
      <c r="D990" t="s">
        <v>2353</v>
      </c>
      <c r="E990" t="s">
        <v>3273</v>
      </c>
      <c r="F990" t="s">
        <v>411</v>
      </c>
      <c r="G990" t="str">
        <f xml:space="preserve"> PROPER(_xlfn.CONCAT(Table1[[#This Row],[Title]]," ",Table1[[#This Row],[First Name]]," ",Table1[[#This Row],[Last Name]]))</f>
        <v>Mr Robt Brantley</v>
      </c>
      <c r="H990" t="str">
        <f>SUBSTITUTE(Table1[[#This Row],[Street]],"Road"," Road")</f>
        <v>Dorncliffe  Road</v>
      </c>
      <c r="I990" t="str">
        <f>SUBSTITUTE(Table1[[#This Row],[Separate combined words ]],"?","")</f>
        <v>Dorncliffe  Road</v>
      </c>
      <c r="J990" t="str">
        <f>TRIM(Table1[[#This Row],[Remove Question Mark "?"]])</f>
        <v>Dorncliffe Road</v>
      </c>
      <c r="K990" t="str">
        <f>PROPER(Table1[[#This Row],[Leading, Multiple &amp; Trailing spaces]])</f>
        <v>Dorncliffe Road</v>
      </c>
      <c r="L990" t="str">
        <f t="shared" si="15"/>
        <v>Dorncliffe Road</v>
      </c>
      <c r="M990" t="s">
        <v>3273</v>
      </c>
    </row>
    <row r="991" spans="1:13" x14ac:dyDescent="0.3">
      <c r="A991">
        <v>988</v>
      </c>
      <c r="B991" t="s">
        <v>2396</v>
      </c>
      <c r="C991" t="s">
        <v>827</v>
      </c>
      <c r="D991" t="s">
        <v>2353</v>
      </c>
      <c r="E991" t="s">
        <v>3274</v>
      </c>
      <c r="F991" t="s">
        <v>1287</v>
      </c>
      <c r="G991" t="str">
        <f xml:space="preserve"> PROPER(_xlfn.CONCAT(Table1[[#This Row],[Title]]," ",Table1[[#This Row],[First Name]]," ",Table1[[#This Row],[Last Name]]))</f>
        <v>Mr Jared Boston</v>
      </c>
      <c r="H991" t="str">
        <f>SUBSTITUTE(Table1[[#This Row],[Street]],"Road"," Road")</f>
        <v>Rokeby Houses</v>
      </c>
      <c r="I991" t="str">
        <f>SUBSTITUTE(Table1[[#This Row],[Separate combined words ]],"?","")</f>
        <v>Rokeby Houses</v>
      </c>
      <c r="J991" t="str">
        <f>TRIM(Table1[[#This Row],[Remove Question Mark "?"]])</f>
        <v>Rokeby Houses</v>
      </c>
      <c r="K991" t="str">
        <f>PROPER(Table1[[#This Row],[Leading, Multiple &amp; Trailing spaces]])</f>
        <v>Rokeby Houses</v>
      </c>
      <c r="L991" t="str">
        <f t="shared" si="15"/>
        <v>Rokeby Houses</v>
      </c>
      <c r="M991" t="s">
        <v>3274</v>
      </c>
    </row>
    <row r="992" spans="1:13" x14ac:dyDescent="0.3">
      <c r="A992">
        <v>989</v>
      </c>
      <c r="B992" t="s">
        <v>665</v>
      </c>
      <c r="C992" t="s">
        <v>2402</v>
      </c>
      <c r="D992" t="s">
        <v>2353</v>
      </c>
      <c r="E992" t="s">
        <v>3275</v>
      </c>
      <c r="F992" t="s">
        <v>683</v>
      </c>
      <c r="G992" t="str">
        <f xml:space="preserve"> PROPER(_xlfn.CONCAT(Table1[[#This Row],[Title]]," ",Table1[[#This Row],[First Name]]," ",Table1[[#This Row],[Last Name]]))</f>
        <v>Mr Reyes Rushing</v>
      </c>
      <c r="H992" t="str">
        <f>SUBSTITUTE(Table1[[#This Row],[Street]],"Road"," Road")</f>
        <v>Green Avenue</v>
      </c>
      <c r="I992" t="str">
        <f>SUBSTITUTE(Table1[[#This Row],[Separate combined words ]],"?","")</f>
        <v>Green Avenue</v>
      </c>
      <c r="J992" t="str">
        <f>TRIM(Table1[[#This Row],[Remove Question Mark "?"]])</f>
        <v>Green Avenue</v>
      </c>
      <c r="K992" t="str">
        <f>PROPER(Table1[[#This Row],[Leading, Multiple &amp; Trailing spaces]])</f>
        <v>Green Avenue</v>
      </c>
      <c r="L992" t="str">
        <f t="shared" si="15"/>
        <v>Green Avenue</v>
      </c>
      <c r="M992" t="s">
        <v>3275</v>
      </c>
    </row>
    <row r="993" spans="1:13" x14ac:dyDescent="0.3">
      <c r="A993">
        <v>990</v>
      </c>
      <c r="B993" t="s">
        <v>3082</v>
      </c>
      <c r="C993" t="s">
        <v>3276</v>
      </c>
      <c r="D993" t="s">
        <v>2353</v>
      </c>
      <c r="E993" t="s">
        <v>3277</v>
      </c>
      <c r="F993" t="s">
        <v>3278</v>
      </c>
      <c r="G993" t="str">
        <f xml:space="preserve"> PROPER(_xlfn.CONCAT(Table1[[#This Row],[Title]]," ",Table1[[#This Row],[First Name]]," ",Table1[[#This Row],[Last Name]]))</f>
        <v>Mr Clyde Faulkner</v>
      </c>
      <c r="H993" t="str">
        <f>SUBSTITUTE(Table1[[#This Row],[Street]],"Road"," Road")</f>
        <v>Playfair Street</v>
      </c>
      <c r="I993" t="str">
        <f>SUBSTITUTE(Table1[[#This Row],[Separate combined words ]],"?","")</f>
        <v>Playfair Street</v>
      </c>
      <c r="J993" t="str">
        <f>TRIM(Table1[[#This Row],[Remove Question Mark "?"]])</f>
        <v>Playfair Street</v>
      </c>
      <c r="K993" t="str">
        <f>PROPER(Table1[[#This Row],[Leading, Multiple &amp; Trailing spaces]])</f>
        <v>Playfair Street</v>
      </c>
      <c r="L993" t="str">
        <f t="shared" si="15"/>
        <v>Playfair Street</v>
      </c>
      <c r="M993" t="s">
        <v>3277</v>
      </c>
    </row>
    <row r="994" spans="1:13" x14ac:dyDescent="0.3">
      <c r="A994">
        <v>991</v>
      </c>
      <c r="B994" t="s">
        <v>3279</v>
      </c>
      <c r="C994" t="s">
        <v>3280</v>
      </c>
      <c r="D994" t="s">
        <v>2353</v>
      </c>
      <c r="E994" t="s">
        <v>3281</v>
      </c>
      <c r="F994" t="s">
        <v>269</v>
      </c>
      <c r="G994" t="str">
        <f xml:space="preserve"> PROPER(_xlfn.CONCAT(Table1[[#This Row],[Title]]," ",Table1[[#This Row],[First Name]]," ",Table1[[#This Row],[Last Name]]))</f>
        <v>Mr Randal Leal</v>
      </c>
      <c r="H994" t="str">
        <f>SUBSTITUTE(Table1[[#This Row],[Street]],"Road"," Road")</f>
        <v>Regents Place</v>
      </c>
      <c r="I994" t="str">
        <f>SUBSTITUTE(Table1[[#This Row],[Separate combined words ]],"?","")</f>
        <v>Regents Place</v>
      </c>
      <c r="J994" t="str">
        <f>TRIM(Table1[[#This Row],[Remove Question Mark "?"]])</f>
        <v>Regents Place</v>
      </c>
      <c r="K994" t="str">
        <f>PROPER(Table1[[#This Row],[Leading, Multiple &amp; Trailing spaces]])</f>
        <v>Regents Place</v>
      </c>
      <c r="L994" t="str">
        <f t="shared" si="15"/>
        <v>Regents Place</v>
      </c>
      <c r="M994" t="s">
        <v>3281</v>
      </c>
    </row>
    <row r="995" spans="1:13" x14ac:dyDescent="0.3">
      <c r="A995">
        <v>992</v>
      </c>
      <c r="B995" t="s">
        <v>2483</v>
      </c>
      <c r="C995" t="s">
        <v>3282</v>
      </c>
      <c r="D995" t="s">
        <v>2353</v>
      </c>
      <c r="E995" t="s">
        <v>3283</v>
      </c>
      <c r="F995" t="s">
        <v>3284</v>
      </c>
      <c r="G995" t="str">
        <f xml:space="preserve"> PROPER(_xlfn.CONCAT(Table1[[#This Row],[Title]]," ",Table1[[#This Row],[First Name]]," ",Table1[[#This Row],[Last Name]]))</f>
        <v>Mr Graham Felton</v>
      </c>
      <c r="H995" t="str">
        <f>SUBSTITUTE(Table1[[#This Row],[Street]],"Road"," Road")</f>
        <v>Gibbs Avenue</v>
      </c>
      <c r="I995" t="str">
        <f>SUBSTITUTE(Table1[[#This Row],[Separate combined words ]],"?","")</f>
        <v>Gibbs Avenue</v>
      </c>
      <c r="J995" t="str">
        <f>TRIM(Table1[[#This Row],[Remove Question Mark "?"]])</f>
        <v>Gibbs Avenue</v>
      </c>
      <c r="K995" t="str">
        <f>PROPER(Table1[[#This Row],[Leading, Multiple &amp; Trailing spaces]])</f>
        <v>Gibbs Avenue</v>
      </c>
      <c r="L995" t="str">
        <f t="shared" si="15"/>
        <v>Gibbs Avenue</v>
      </c>
      <c r="M995" t="s">
        <v>3283</v>
      </c>
    </row>
    <row r="996" spans="1:13" x14ac:dyDescent="0.3">
      <c r="A996">
        <v>993</v>
      </c>
      <c r="B996" t="s">
        <v>977</v>
      </c>
      <c r="C996" t="s">
        <v>3285</v>
      </c>
      <c r="D996" t="s">
        <v>2353</v>
      </c>
      <c r="E996" t="s">
        <v>3286</v>
      </c>
      <c r="F996" t="s">
        <v>3287</v>
      </c>
      <c r="G996" t="str">
        <f xml:space="preserve"> PROPER(_xlfn.CONCAT(Table1[[#This Row],[Title]]," ",Table1[[#This Row],[First Name]]," ",Table1[[#This Row],[Last Name]]))</f>
        <v>Mr Randall Good</v>
      </c>
      <c r="H996" t="str">
        <f>SUBSTITUTE(Table1[[#This Row],[Street]],"Road"," Road")</f>
        <v>Wendover  Road</v>
      </c>
      <c r="I996" t="str">
        <f>SUBSTITUTE(Table1[[#This Row],[Separate combined words ]],"?","")</f>
        <v>Wendover  Road</v>
      </c>
      <c r="J996" t="str">
        <f>TRIM(Table1[[#This Row],[Remove Question Mark "?"]])</f>
        <v>Wendover Road</v>
      </c>
      <c r="K996" t="str">
        <f>PROPER(Table1[[#This Row],[Leading, Multiple &amp; Trailing spaces]])</f>
        <v>Wendover Road</v>
      </c>
      <c r="L996" t="str">
        <f t="shared" si="15"/>
        <v>Wendover Road</v>
      </c>
      <c r="M996" t="s">
        <v>3286</v>
      </c>
    </row>
    <row r="997" spans="1:13" x14ac:dyDescent="0.3">
      <c r="A997">
        <v>994</v>
      </c>
      <c r="B997" t="s">
        <v>3288</v>
      </c>
      <c r="C997" t="s">
        <v>3134</v>
      </c>
      <c r="D997" t="s">
        <v>2353</v>
      </c>
      <c r="E997" t="s">
        <v>3289</v>
      </c>
      <c r="F997" t="s">
        <v>3290</v>
      </c>
      <c r="G997" t="str">
        <f xml:space="preserve"> PROPER(_xlfn.CONCAT(Table1[[#This Row],[Title]]," ",Table1[[#This Row],[First Name]]," ",Table1[[#This Row],[Last Name]]))</f>
        <v>Mr Carol Gagnon</v>
      </c>
      <c r="H997" t="str">
        <f>SUBSTITUTE(Table1[[#This Row],[Street]],"Road"," Road")</f>
        <v>Villa  Road</v>
      </c>
      <c r="I997" t="str">
        <f>SUBSTITUTE(Table1[[#This Row],[Separate combined words ]],"?","")</f>
        <v>Villa  Road</v>
      </c>
      <c r="J997" t="str">
        <f>TRIM(Table1[[#This Row],[Remove Question Mark "?"]])</f>
        <v>Villa Road</v>
      </c>
      <c r="K997" t="str">
        <f>PROPER(Table1[[#This Row],[Leading, Multiple &amp; Trailing spaces]])</f>
        <v>Villa Road</v>
      </c>
      <c r="L997" t="str">
        <f t="shared" si="15"/>
        <v>Villa Road</v>
      </c>
      <c r="M997" t="s">
        <v>3289</v>
      </c>
    </row>
    <row r="998" spans="1:13" x14ac:dyDescent="0.3">
      <c r="A998">
        <v>995</v>
      </c>
      <c r="B998" t="s">
        <v>3291</v>
      </c>
      <c r="C998" t="s">
        <v>3292</v>
      </c>
      <c r="D998" t="s">
        <v>2353</v>
      </c>
      <c r="E998" t="s">
        <v>3293</v>
      </c>
      <c r="F998" t="s">
        <v>3294</v>
      </c>
      <c r="G998" t="str">
        <f xml:space="preserve"> PROPER(_xlfn.CONCAT(Table1[[#This Row],[Title]]," ",Table1[[#This Row],[First Name]]," ",Table1[[#This Row],[Last Name]]))</f>
        <v>Mr Rodney Harvey</v>
      </c>
      <c r="H998" t="str">
        <f>SUBSTITUTE(Table1[[#This Row],[Street]],"Road"," Road")</f>
        <v>Sunnydale  Road</v>
      </c>
      <c r="I998" t="str">
        <f>SUBSTITUTE(Table1[[#This Row],[Separate combined words ]],"?","")</f>
        <v>Sunnydale  Road</v>
      </c>
      <c r="J998" t="str">
        <f>TRIM(Table1[[#This Row],[Remove Question Mark "?"]])</f>
        <v>Sunnydale Road</v>
      </c>
      <c r="K998" t="str">
        <f>PROPER(Table1[[#This Row],[Leading, Multiple &amp; Trailing spaces]])</f>
        <v>Sunnydale Road</v>
      </c>
      <c r="L998" t="str">
        <f t="shared" si="15"/>
        <v>Sunnydale Road</v>
      </c>
      <c r="M998" t="s">
        <v>3293</v>
      </c>
    </row>
    <row r="999" spans="1:13" x14ac:dyDescent="0.3">
      <c r="A999">
        <v>996</v>
      </c>
      <c r="B999" t="s">
        <v>3295</v>
      </c>
      <c r="C999" t="s">
        <v>2311</v>
      </c>
      <c r="D999" t="s">
        <v>2353</v>
      </c>
      <c r="E999" t="s">
        <v>3296</v>
      </c>
      <c r="F999" t="s">
        <v>3297</v>
      </c>
      <c r="G999" t="str">
        <f xml:space="preserve"> PROPER(_xlfn.CONCAT(Table1[[#This Row],[Title]]," ",Table1[[#This Row],[First Name]]," ",Table1[[#This Row],[Last Name]]))</f>
        <v>Mr Colin Watson</v>
      </c>
      <c r="H999" t="str">
        <f>SUBSTITUTE(Table1[[#This Row],[Street]],"Road"," Road")</f>
        <v>Aldridge Walk</v>
      </c>
      <c r="I999" t="str">
        <f>SUBSTITUTE(Table1[[#This Row],[Separate combined words ]],"?","")</f>
        <v>Aldridge Walk</v>
      </c>
      <c r="J999" t="str">
        <f>TRIM(Table1[[#This Row],[Remove Question Mark "?"]])</f>
        <v>Aldridge Walk</v>
      </c>
      <c r="K999" t="str">
        <f>PROPER(Table1[[#This Row],[Leading, Multiple &amp; Trailing spaces]])</f>
        <v>Aldridge Walk</v>
      </c>
      <c r="L999" t="str">
        <f t="shared" si="15"/>
        <v>Aldridge Walk</v>
      </c>
      <c r="M999" t="s">
        <v>3296</v>
      </c>
    </row>
    <row r="1000" spans="1:13" x14ac:dyDescent="0.3">
      <c r="A1000">
        <v>997</v>
      </c>
      <c r="B1000" t="s">
        <v>2994</v>
      </c>
      <c r="C1000" t="s">
        <v>2789</v>
      </c>
      <c r="D1000" t="s">
        <v>2353</v>
      </c>
      <c r="E1000" t="s">
        <v>3298</v>
      </c>
      <c r="F1000" t="s">
        <v>81</v>
      </c>
      <c r="G1000" t="str">
        <f xml:space="preserve"> PROPER(_xlfn.CONCAT(Table1[[#This Row],[Title]]," ",Table1[[#This Row],[First Name]]," ",Table1[[#This Row],[Last Name]]))</f>
        <v>Mr Winford Chu</v>
      </c>
      <c r="H1000" t="str">
        <f>SUBSTITUTE(Table1[[#This Row],[Street]],"Road"," Road")</f>
        <v>Pump Lane</v>
      </c>
      <c r="I1000" t="str">
        <f>SUBSTITUTE(Table1[[#This Row],[Separate combined words ]],"?","")</f>
        <v>Pump Lane</v>
      </c>
      <c r="J1000" t="str">
        <f>TRIM(Table1[[#This Row],[Remove Question Mark "?"]])</f>
        <v>Pump Lane</v>
      </c>
      <c r="K1000" t="str">
        <f>PROPER(Table1[[#This Row],[Leading, Multiple &amp; Trailing spaces]])</f>
        <v>Pump Lane</v>
      </c>
      <c r="L1000" t="str">
        <f t="shared" si="15"/>
        <v>Pump Lane</v>
      </c>
      <c r="M1000" t="s">
        <v>3298</v>
      </c>
    </row>
    <row r="1001" spans="1:13" x14ac:dyDescent="0.3">
      <c r="A1001">
        <v>998</v>
      </c>
      <c r="B1001" t="s">
        <v>1836</v>
      </c>
      <c r="C1001" t="s">
        <v>984</v>
      </c>
      <c r="D1001" t="s">
        <v>2353</v>
      </c>
      <c r="E1001" t="s">
        <v>3299</v>
      </c>
      <c r="F1001" t="s">
        <v>320</v>
      </c>
      <c r="G1001" t="str">
        <f xml:space="preserve"> PROPER(_xlfn.CONCAT(Table1[[#This Row],[Title]]," ",Table1[[#This Row],[First Name]]," ",Table1[[#This Row],[Last Name]]))</f>
        <v>Mr Kirk Field</v>
      </c>
      <c r="H1001" t="str">
        <f>SUBSTITUTE(Table1[[#This Row],[Street]],"Road"," Road")</f>
        <v>Waterloo  Road</v>
      </c>
      <c r="I1001" t="str">
        <f>SUBSTITUTE(Table1[[#This Row],[Separate combined words ]],"?","")</f>
        <v>Waterloo  Road</v>
      </c>
      <c r="J1001" t="str">
        <f>TRIM(Table1[[#This Row],[Remove Question Mark "?"]])</f>
        <v>Waterloo Road</v>
      </c>
      <c r="K1001" t="str">
        <f>PROPER(Table1[[#This Row],[Leading, Multiple &amp; Trailing spaces]])</f>
        <v>Waterloo Road</v>
      </c>
      <c r="L1001" t="str">
        <f t="shared" si="15"/>
        <v>Waterloo Road</v>
      </c>
      <c r="M1001" t="s">
        <v>3299</v>
      </c>
    </row>
    <row r="1002" spans="1:13" x14ac:dyDescent="0.3">
      <c r="A1002">
        <v>999</v>
      </c>
      <c r="B1002" t="s">
        <v>3300</v>
      </c>
      <c r="C1002" t="s">
        <v>1111</v>
      </c>
      <c r="D1002" t="s">
        <v>2353</v>
      </c>
      <c r="E1002" t="s">
        <v>3301</v>
      </c>
      <c r="F1002" t="s">
        <v>611</v>
      </c>
      <c r="G1002" t="str">
        <f xml:space="preserve"> PROPER(_xlfn.CONCAT(Table1[[#This Row],[Title]]," ",Table1[[#This Row],[First Name]]," ",Table1[[#This Row],[Last Name]]))</f>
        <v>Mr Lupe Ziegler</v>
      </c>
      <c r="H1002" t="str">
        <f>SUBSTITUTE(Table1[[#This Row],[Street]],"Road"," Road")</f>
        <v>Oakshaw  Road</v>
      </c>
      <c r="I1002" t="str">
        <f>SUBSTITUTE(Table1[[#This Row],[Separate combined words ]],"?","")</f>
        <v>Oakshaw  Road</v>
      </c>
      <c r="J1002" t="str">
        <f>TRIM(Table1[[#This Row],[Remove Question Mark "?"]])</f>
        <v>Oakshaw Road</v>
      </c>
      <c r="K1002" t="str">
        <f>PROPER(Table1[[#This Row],[Leading, Multiple &amp; Trailing spaces]])</f>
        <v>Oakshaw Road</v>
      </c>
      <c r="L1002" t="str">
        <f t="shared" si="15"/>
        <v>Oakshaw Road</v>
      </c>
      <c r="M1002" t="s">
        <v>3301</v>
      </c>
    </row>
    <row r="1003" spans="1:13" x14ac:dyDescent="0.3">
      <c r="A1003">
        <v>1000</v>
      </c>
      <c r="B1003" t="s">
        <v>3302</v>
      </c>
      <c r="C1003" t="s">
        <v>3303</v>
      </c>
      <c r="D1003" t="s">
        <v>2353</v>
      </c>
      <c r="E1003" t="s">
        <v>3304</v>
      </c>
      <c r="F1003" t="s">
        <v>3305</v>
      </c>
      <c r="G1003" t="str">
        <f xml:space="preserve"> PROPER(_xlfn.CONCAT(Table1[[#This Row],[Title]]," ",Table1[[#This Row],[First Name]]," ",Table1[[#This Row],[Last Name]]))</f>
        <v>Mr Giuseppe Ricks</v>
      </c>
      <c r="H1003" t="str">
        <f>SUBSTITUTE(Table1[[#This Row],[Street]],"Road"," Road")</f>
        <v>Eyot Green</v>
      </c>
      <c r="I1003" t="str">
        <f>SUBSTITUTE(Table1[[#This Row],[Separate combined words ]],"?","")</f>
        <v>Eyot Green</v>
      </c>
      <c r="J1003" t="str">
        <f>TRIM(Table1[[#This Row],[Remove Question Mark "?"]])</f>
        <v>Eyot Green</v>
      </c>
      <c r="K1003" t="str">
        <f>PROPER(Table1[[#This Row],[Leading, Multiple &amp; Trailing spaces]])</f>
        <v>Eyot Green</v>
      </c>
      <c r="L1003" t="str">
        <f t="shared" si="15"/>
        <v>Eyot Green</v>
      </c>
      <c r="M1003" t="s">
        <v>3304</v>
      </c>
    </row>
    <row r="1004" spans="1:13" x14ac:dyDescent="0.3">
      <c r="A1004">
        <v>1001</v>
      </c>
      <c r="B1004" t="s">
        <v>3140</v>
      </c>
      <c r="C1004" t="s">
        <v>560</v>
      </c>
      <c r="D1004" t="s">
        <v>2353</v>
      </c>
      <c r="E1004" t="s">
        <v>3306</v>
      </c>
      <c r="F1004" t="s">
        <v>3307</v>
      </c>
      <c r="G1004" t="str">
        <f xml:space="preserve"> PROPER(_xlfn.CONCAT(Table1[[#This Row],[Title]]," ",Table1[[#This Row],[First Name]]," ",Table1[[#This Row],[Last Name]]))</f>
        <v>Mr Milford Denny</v>
      </c>
      <c r="H1004" t="str">
        <f>SUBSTITUTE(Table1[[#This Row],[Street]],"Road"," Road")</f>
        <v>Deptford Market</v>
      </c>
      <c r="I1004" t="str">
        <f>SUBSTITUTE(Table1[[#This Row],[Separate combined words ]],"?","")</f>
        <v>Deptford Market</v>
      </c>
      <c r="J1004" t="str">
        <f>TRIM(Table1[[#This Row],[Remove Question Mark "?"]])</f>
        <v>Deptford Market</v>
      </c>
      <c r="K1004" t="str">
        <f>PROPER(Table1[[#This Row],[Leading, Multiple &amp; Trailing spaces]])</f>
        <v>Deptford Market</v>
      </c>
      <c r="L1004" t="str">
        <f t="shared" si="15"/>
        <v>Deptford Market</v>
      </c>
      <c r="M1004" t="s">
        <v>3306</v>
      </c>
    </row>
    <row r="1005" spans="1:13" x14ac:dyDescent="0.3">
      <c r="A1005">
        <v>1002</v>
      </c>
      <c r="B1005" t="s">
        <v>3308</v>
      </c>
      <c r="C1005" t="s">
        <v>3309</v>
      </c>
      <c r="D1005" t="s">
        <v>2353</v>
      </c>
      <c r="E1005" t="s">
        <v>3310</v>
      </c>
      <c r="F1005" t="s">
        <v>373</v>
      </c>
      <c r="G1005" t="str">
        <f xml:space="preserve"> PROPER(_xlfn.CONCAT(Table1[[#This Row],[Title]]," ",Table1[[#This Row],[First Name]]," ",Table1[[#This Row],[Last Name]]))</f>
        <v>Mr Jean Lutz</v>
      </c>
      <c r="H1005" t="str">
        <f>SUBSTITUTE(Table1[[#This Row],[Street]],"Road"," Road")</f>
        <v>Shannon Terrace</v>
      </c>
      <c r="I1005" t="str">
        <f>SUBSTITUTE(Table1[[#This Row],[Separate combined words ]],"?","")</f>
        <v>Shannon Terrace</v>
      </c>
      <c r="J1005" t="str">
        <f>TRIM(Table1[[#This Row],[Remove Question Mark "?"]])</f>
        <v>Shannon Terrace</v>
      </c>
      <c r="K1005" t="str">
        <f>PROPER(Table1[[#This Row],[Leading, Multiple &amp; Trailing spaces]])</f>
        <v>Shannon Terrace</v>
      </c>
      <c r="L1005" t="str">
        <f t="shared" si="15"/>
        <v>Shannon Terrace</v>
      </c>
      <c r="M1005" t="s">
        <v>3310</v>
      </c>
    </row>
    <row r="1006" spans="1:13" x14ac:dyDescent="0.3">
      <c r="A1006">
        <v>1003</v>
      </c>
      <c r="B1006" t="s">
        <v>498</v>
      </c>
      <c r="C1006" t="s">
        <v>2593</v>
      </c>
      <c r="D1006" t="s">
        <v>2353</v>
      </c>
      <c r="E1006" t="s">
        <v>3311</v>
      </c>
      <c r="F1006" t="s">
        <v>2765</v>
      </c>
      <c r="G1006" t="str">
        <f xml:space="preserve"> PROPER(_xlfn.CONCAT(Table1[[#This Row],[Title]]," ",Table1[[#This Row],[First Name]]," ",Table1[[#This Row],[Last Name]]))</f>
        <v>Mr Long David</v>
      </c>
      <c r="H1006" t="str">
        <f>SUBSTITUTE(Table1[[#This Row],[Street]],"Road"," Road")</f>
        <v>Loraine Cottages</v>
      </c>
      <c r="I1006" t="str">
        <f>SUBSTITUTE(Table1[[#This Row],[Separate combined words ]],"?","")</f>
        <v>Loraine Cottages</v>
      </c>
      <c r="J1006" t="str">
        <f>TRIM(Table1[[#This Row],[Remove Question Mark "?"]])</f>
        <v>Loraine Cottages</v>
      </c>
      <c r="K1006" t="str">
        <f>PROPER(Table1[[#This Row],[Leading, Multiple &amp; Trailing spaces]])</f>
        <v>Loraine Cottages</v>
      </c>
      <c r="L1006" t="str">
        <f t="shared" si="15"/>
        <v>Loraine Cottages</v>
      </c>
      <c r="M1006" t="s">
        <v>3311</v>
      </c>
    </row>
    <row r="1007" spans="1:13" x14ac:dyDescent="0.3">
      <c r="A1007">
        <v>1004</v>
      </c>
      <c r="B1007" t="s">
        <v>3312</v>
      </c>
      <c r="C1007" t="s">
        <v>3313</v>
      </c>
      <c r="D1007" t="s">
        <v>2353</v>
      </c>
      <c r="E1007" t="s">
        <v>3314</v>
      </c>
      <c r="F1007" t="s">
        <v>514</v>
      </c>
      <c r="G1007" t="str">
        <f xml:space="preserve"> PROPER(_xlfn.CONCAT(Table1[[#This Row],[Title]]," ",Table1[[#This Row],[First Name]]," ",Table1[[#This Row],[Last Name]]))</f>
        <v>Mr Lenny Engel</v>
      </c>
      <c r="H1007" t="str">
        <f>SUBSTITUTE(Table1[[#This Row],[Street]],"Road"," Road")</f>
        <v>Budd Close</v>
      </c>
      <c r="I1007" t="str">
        <f>SUBSTITUTE(Table1[[#This Row],[Separate combined words ]],"?","")</f>
        <v>Budd Close</v>
      </c>
      <c r="J1007" t="str">
        <f>TRIM(Table1[[#This Row],[Remove Question Mark "?"]])</f>
        <v>Budd Close</v>
      </c>
      <c r="K1007" t="str">
        <f>PROPER(Table1[[#This Row],[Leading, Multiple &amp; Trailing spaces]])</f>
        <v>Budd Close</v>
      </c>
      <c r="L1007" t="str">
        <f t="shared" si="15"/>
        <v>Budd Close</v>
      </c>
      <c r="M1007" t="s">
        <v>3314</v>
      </c>
    </row>
    <row r="1008" spans="1:13" x14ac:dyDescent="0.3">
      <c r="A1008">
        <v>1005</v>
      </c>
      <c r="B1008" t="s">
        <v>2453</v>
      </c>
      <c r="C1008" t="s">
        <v>3315</v>
      </c>
      <c r="D1008" t="s">
        <v>2353</v>
      </c>
      <c r="E1008" t="s">
        <v>3316</v>
      </c>
      <c r="F1008" t="s">
        <v>335</v>
      </c>
      <c r="G1008" t="str">
        <f xml:space="preserve"> PROPER(_xlfn.CONCAT(Table1[[#This Row],[Title]]," ",Table1[[#This Row],[First Name]]," ",Table1[[#This Row],[Last Name]]))</f>
        <v>Mr Guillermo Tate</v>
      </c>
      <c r="H1008" t="str">
        <f>SUBSTITUTE(Table1[[#This Row],[Street]],"Road"," Road")</f>
        <v>Chase</v>
      </c>
      <c r="I1008" t="str">
        <f>SUBSTITUTE(Table1[[#This Row],[Separate combined words ]],"?","")</f>
        <v>Chase</v>
      </c>
      <c r="J1008" t="str">
        <f>TRIM(Table1[[#This Row],[Remove Question Mark "?"]])</f>
        <v>Chase</v>
      </c>
      <c r="K1008" t="str">
        <f>PROPER(Table1[[#This Row],[Leading, Multiple &amp; Trailing spaces]])</f>
        <v>Chase</v>
      </c>
      <c r="L1008" t="str">
        <f t="shared" si="15"/>
        <v>Chase</v>
      </c>
      <c r="M1008" t="s">
        <v>3316</v>
      </c>
    </row>
    <row r="1009" spans="1:13" x14ac:dyDescent="0.3">
      <c r="A1009">
        <v>1006</v>
      </c>
      <c r="B1009" t="s">
        <v>981</v>
      </c>
      <c r="C1009" t="s">
        <v>3153</v>
      </c>
      <c r="D1009" t="s">
        <v>2353</v>
      </c>
      <c r="E1009" t="s">
        <v>3317</v>
      </c>
      <c r="F1009" t="s">
        <v>999</v>
      </c>
      <c r="G1009" t="str">
        <f xml:space="preserve"> PROPER(_xlfn.CONCAT(Table1[[#This Row],[Title]]," ",Table1[[#This Row],[First Name]]," ",Table1[[#This Row],[Last Name]]))</f>
        <v>Mr Boyce Jordan</v>
      </c>
      <c r="H1009" t="str">
        <f>SUBSTITUTE(Table1[[#This Row],[Street]],"Road"," Road")</f>
        <v>Karl Place</v>
      </c>
      <c r="I1009" t="str">
        <f>SUBSTITUTE(Table1[[#This Row],[Separate combined words ]],"?","")</f>
        <v>Karl Place</v>
      </c>
      <c r="J1009" t="str">
        <f>TRIM(Table1[[#This Row],[Remove Question Mark "?"]])</f>
        <v>Karl Place</v>
      </c>
      <c r="K1009" t="str">
        <f>PROPER(Table1[[#This Row],[Leading, Multiple &amp; Trailing spaces]])</f>
        <v>Karl Place</v>
      </c>
      <c r="L1009" t="str">
        <f t="shared" si="15"/>
        <v>Karl Place</v>
      </c>
      <c r="M1009" t="s">
        <v>3317</v>
      </c>
    </row>
    <row r="1010" spans="1:13" x14ac:dyDescent="0.3">
      <c r="A1010">
        <v>1007</v>
      </c>
      <c r="B1010" t="s">
        <v>823</v>
      </c>
      <c r="C1010" t="s">
        <v>3318</v>
      </c>
      <c r="D1010" t="s">
        <v>2353</v>
      </c>
      <c r="E1010" t="s">
        <v>3319</v>
      </c>
      <c r="F1010" t="s">
        <v>371</v>
      </c>
      <c r="G1010" t="str">
        <f xml:space="preserve"> PROPER(_xlfn.CONCAT(Table1[[#This Row],[Title]]," ",Table1[[#This Row],[First Name]]," ",Table1[[#This Row],[Last Name]]))</f>
        <v>Mr Lindsay Andersen</v>
      </c>
      <c r="H1010" t="str">
        <f>SUBSTITUTE(Table1[[#This Row],[Street]],"Road"," Road")</f>
        <v>Roslyn  Road</v>
      </c>
      <c r="I1010" t="str">
        <f>SUBSTITUTE(Table1[[#This Row],[Separate combined words ]],"?","")</f>
        <v>Roslyn  Road</v>
      </c>
      <c r="J1010" t="str">
        <f>TRIM(Table1[[#This Row],[Remove Question Mark "?"]])</f>
        <v>Roslyn Road</v>
      </c>
      <c r="K1010" t="str">
        <f>PROPER(Table1[[#This Row],[Leading, Multiple &amp; Trailing spaces]])</f>
        <v>Roslyn Road</v>
      </c>
      <c r="L1010" t="str">
        <f t="shared" si="15"/>
        <v>Roslyn Road</v>
      </c>
      <c r="M1010" t="s">
        <v>3319</v>
      </c>
    </row>
    <row r="1011" spans="1:13" x14ac:dyDescent="0.3">
      <c r="A1011">
        <v>1008</v>
      </c>
      <c r="B1011" t="s">
        <v>3320</v>
      </c>
      <c r="C1011" t="s">
        <v>1720</v>
      </c>
      <c r="D1011" t="s">
        <v>2353</v>
      </c>
      <c r="E1011" t="s">
        <v>3321</v>
      </c>
      <c r="F1011" t="s">
        <v>3322</v>
      </c>
      <c r="G1011" t="str">
        <f xml:space="preserve"> PROPER(_xlfn.CONCAT(Table1[[#This Row],[Title]]," ",Table1[[#This Row],[First Name]]," ",Table1[[#This Row],[Last Name]]))</f>
        <v>Mr Jeramy Kearney</v>
      </c>
      <c r="H1011" t="str">
        <f>SUBSTITUTE(Table1[[#This Row],[Street]],"Road"," Road")</f>
        <v>Woodside Grove</v>
      </c>
      <c r="I1011" t="str">
        <f>SUBSTITUTE(Table1[[#This Row],[Separate combined words ]],"?","")</f>
        <v>Woodside Grove</v>
      </c>
      <c r="J1011" t="str">
        <f>TRIM(Table1[[#This Row],[Remove Question Mark "?"]])</f>
        <v>Woodside Grove</v>
      </c>
      <c r="K1011" t="str">
        <f>PROPER(Table1[[#This Row],[Leading, Multiple &amp; Trailing spaces]])</f>
        <v>Woodside Grove</v>
      </c>
      <c r="L1011" t="str">
        <f t="shared" si="15"/>
        <v>Woodside Grove</v>
      </c>
      <c r="M1011" t="s">
        <v>3321</v>
      </c>
    </row>
    <row r="1012" spans="1:13" x14ac:dyDescent="0.3">
      <c r="A1012">
        <v>1009</v>
      </c>
      <c r="B1012" t="s">
        <v>3323</v>
      </c>
      <c r="C1012" t="s">
        <v>3324</v>
      </c>
      <c r="D1012" t="s">
        <v>55</v>
      </c>
      <c r="E1012" t="s">
        <v>3325</v>
      </c>
      <c r="F1012" t="s">
        <v>3326</v>
      </c>
      <c r="G1012" t="str">
        <f xml:space="preserve"> PROPER(_xlfn.CONCAT(Table1[[#This Row],[Title]]," ",Table1[[#This Row],[First Name]]," ",Table1[[#This Row],[Last Name]]))</f>
        <v>Prof Fidel Tracy</v>
      </c>
      <c r="H1012" t="str">
        <f>SUBSTITUTE(Table1[[#This Row],[Street]],"Road"," Road")</f>
        <v>Oliphant Street</v>
      </c>
      <c r="I1012" t="str">
        <f>SUBSTITUTE(Table1[[#This Row],[Separate combined words ]],"?","")</f>
        <v>Oliphant Street</v>
      </c>
      <c r="J1012" t="str">
        <f>TRIM(Table1[[#This Row],[Remove Question Mark "?"]])</f>
        <v>Oliphant Street</v>
      </c>
      <c r="K1012" t="str">
        <f>PROPER(Table1[[#This Row],[Leading, Multiple &amp; Trailing spaces]])</f>
        <v>Oliphant Street</v>
      </c>
      <c r="L1012" t="str">
        <f t="shared" si="15"/>
        <v>Oliphant Street</v>
      </c>
      <c r="M1012" t="s">
        <v>3325</v>
      </c>
    </row>
    <row r="1013" spans="1:13" x14ac:dyDescent="0.3">
      <c r="A1013">
        <v>1010</v>
      </c>
      <c r="B1013" t="s">
        <v>3327</v>
      </c>
      <c r="C1013" t="s">
        <v>552</v>
      </c>
      <c r="D1013" t="s">
        <v>318</v>
      </c>
      <c r="E1013" t="s">
        <v>3328</v>
      </c>
      <c r="F1013" t="s">
        <v>3294</v>
      </c>
      <c r="G1013" t="str">
        <f xml:space="preserve"> PROPER(_xlfn.CONCAT(Table1[[#This Row],[Title]]," ",Table1[[#This Row],[First Name]]," ",Table1[[#This Row],[Last Name]]))</f>
        <v>Dr Arlen Lowery</v>
      </c>
      <c r="H1013" t="str">
        <f>SUBSTITUTE(Table1[[#This Row],[Street]],"Road"," Road")</f>
        <v>Hylton Street</v>
      </c>
      <c r="I1013" t="str">
        <f>SUBSTITUTE(Table1[[#This Row],[Separate combined words ]],"?","")</f>
        <v>Hylton Street</v>
      </c>
      <c r="J1013" t="str">
        <f>TRIM(Table1[[#This Row],[Remove Question Mark "?"]])</f>
        <v>Hylton Street</v>
      </c>
      <c r="K1013" t="str">
        <f>PROPER(Table1[[#This Row],[Leading, Multiple &amp; Trailing spaces]])</f>
        <v>Hylton Street</v>
      </c>
      <c r="L1013" t="str">
        <f t="shared" si="15"/>
        <v>Hylton Street</v>
      </c>
      <c r="M1013" t="s">
        <v>3328</v>
      </c>
    </row>
    <row r="1014" spans="1:13" x14ac:dyDescent="0.3">
      <c r="A1014">
        <v>1011</v>
      </c>
      <c r="B1014" t="s">
        <v>3329</v>
      </c>
      <c r="C1014" t="s">
        <v>936</v>
      </c>
      <c r="D1014" t="s">
        <v>318</v>
      </c>
      <c r="E1014" t="s">
        <v>3330</v>
      </c>
      <c r="F1014" t="s">
        <v>478</v>
      </c>
      <c r="G1014" t="str">
        <f xml:space="preserve"> PROPER(_xlfn.CONCAT(Table1[[#This Row],[Title]]," ",Table1[[#This Row],[First Name]]," ",Table1[[#This Row],[Last Name]]))</f>
        <v>Dr Shaun Weber</v>
      </c>
      <c r="H1014" t="str">
        <f>SUBSTITUTE(Table1[[#This Row],[Street]],"Road"," Road")</f>
        <v>St Saviours</v>
      </c>
      <c r="I1014" t="str">
        <f>SUBSTITUTE(Table1[[#This Row],[Separate combined words ]],"?","")</f>
        <v>St Saviours</v>
      </c>
      <c r="J1014" t="str">
        <f>TRIM(Table1[[#This Row],[Remove Question Mark "?"]])</f>
        <v>St Saviours</v>
      </c>
      <c r="K1014" t="str">
        <f>PROPER(Table1[[#This Row],[Leading, Multiple &amp; Trailing spaces]])</f>
        <v>St Saviours</v>
      </c>
      <c r="L1014" t="str">
        <f t="shared" si="15"/>
        <v>St Saviours</v>
      </c>
      <c r="M1014" t="s">
        <v>3330</v>
      </c>
    </row>
    <row r="1015" spans="1:13" x14ac:dyDescent="0.3">
      <c r="A1015">
        <v>1012</v>
      </c>
      <c r="B1015" t="s">
        <v>3331</v>
      </c>
      <c r="C1015" t="s">
        <v>3332</v>
      </c>
      <c r="D1015" t="s">
        <v>2353</v>
      </c>
      <c r="E1015" t="s">
        <v>3333</v>
      </c>
      <c r="F1015" t="s">
        <v>459</v>
      </c>
      <c r="G1015" t="str">
        <f xml:space="preserve"> PROPER(_xlfn.CONCAT(Table1[[#This Row],[Title]]," ",Table1[[#This Row],[First Name]]," ",Table1[[#This Row],[Last Name]]))</f>
        <v>Mr Greg Fountain</v>
      </c>
      <c r="H1015" t="str">
        <f>SUBSTITUTE(Table1[[#This Row],[Street]],"Road"," Road")</f>
        <v>Millbank Way</v>
      </c>
      <c r="I1015" t="str">
        <f>SUBSTITUTE(Table1[[#This Row],[Separate combined words ]],"?","")</f>
        <v>Millbank Way</v>
      </c>
      <c r="J1015" t="str">
        <f>TRIM(Table1[[#This Row],[Remove Question Mark "?"]])</f>
        <v>Millbank Way</v>
      </c>
      <c r="K1015" t="str">
        <f>PROPER(Table1[[#This Row],[Leading, Multiple &amp; Trailing spaces]])</f>
        <v>Millbank Way</v>
      </c>
      <c r="L1015" t="str">
        <f t="shared" si="15"/>
        <v>Millbank Way</v>
      </c>
      <c r="M1015" t="s">
        <v>3333</v>
      </c>
    </row>
    <row r="1016" spans="1:13" x14ac:dyDescent="0.3">
      <c r="A1016">
        <v>1013</v>
      </c>
      <c r="B1016" t="s">
        <v>2578</v>
      </c>
      <c r="C1016" t="s">
        <v>232</v>
      </c>
      <c r="D1016" t="s">
        <v>2353</v>
      </c>
      <c r="E1016" t="s">
        <v>3334</v>
      </c>
      <c r="F1016" t="s">
        <v>374</v>
      </c>
      <c r="G1016" t="str">
        <f xml:space="preserve"> PROPER(_xlfn.CONCAT(Table1[[#This Row],[Title]]," ",Table1[[#This Row],[First Name]]," ",Table1[[#This Row],[Last Name]]))</f>
        <v>Mr Walker Byrd</v>
      </c>
      <c r="H1016" t="str">
        <f>SUBSTITUTE(Table1[[#This Row],[Street]],"Road"," Road")</f>
        <v>Albion Cottages</v>
      </c>
      <c r="I1016" t="str">
        <f>SUBSTITUTE(Table1[[#This Row],[Separate combined words ]],"?","")</f>
        <v>Albion Cottages</v>
      </c>
      <c r="J1016" t="str">
        <f>TRIM(Table1[[#This Row],[Remove Question Mark "?"]])</f>
        <v>Albion Cottages</v>
      </c>
      <c r="K1016" t="str">
        <f>PROPER(Table1[[#This Row],[Leading, Multiple &amp; Trailing spaces]])</f>
        <v>Albion Cottages</v>
      </c>
      <c r="L1016" t="str">
        <f t="shared" si="15"/>
        <v>Albion Cottages</v>
      </c>
      <c r="M1016" t="s">
        <v>3334</v>
      </c>
    </row>
    <row r="1017" spans="1:13" x14ac:dyDescent="0.3">
      <c r="A1017">
        <v>1014</v>
      </c>
      <c r="B1017" t="s">
        <v>3335</v>
      </c>
      <c r="C1017" t="s">
        <v>1665</v>
      </c>
      <c r="D1017" t="s">
        <v>2353</v>
      </c>
      <c r="E1017" t="s">
        <v>3336</v>
      </c>
      <c r="F1017" t="s">
        <v>468</v>
      </c>
      <c r="G1017" t="str">
        <f xml:space="preserve"> PROPER(_xlfn.CONCAT(Table1[[#This Row],[Title]]," ",Table1[[#This Row],[First Name]]," ",Table1[[#This Row],[Last Name]]))</f>
        <v>Mr Alphonse Belcher</v>
      </c>
      <c r="H1017" t="str">
        <f>SUBSTITUTE(Table1[[#This Row],[Street]],"Road"," Road")</f>
        <v>Cambrian Close</v>
      </c>
      <c r="I1017" t="str">
        <f>SUBSTITUTE(Table1[[#This Row],[Separate combined words ]],"?","")</f>
        <v>Cambrian Close</v>
      </c>
      <c r="J1017" t="str">
        <f>TRIM(Table1[[#This Row],[Remove Question Mark "?"]])</f>
        <v>Cambrian Close</v>
      </c>
      <c r="K1017" t="str">
        <f>PROPER(Table1[[#This Row],[Leading, Multiple &amp; Trailing spaces]])</f>
        <v>Cambrian Close</v>
      </c>
      <c r="L1017" t="str">
        <f t="shared" si="15"/>
        <v>Cambrian Close</v>
      </c>
      <c r="M1017" t="s">
        <v>3336</v>
      </c>
    </row>
    <row r="1018" spans="1:13" x14ac:dyDescent="0.3">
      <c r="A1018">
        <v>1015</v>
      </c>
      <c r="B1018" t="s">
        <v>3337</v>
      </c>
      <c r="C1018" t="s">
        <v>535</v>
      </c>
      <c r="D1018" t="s">
        <v>2353</v>
      </c>
      <c r="E1018" t="s">
        <v>3338</v>
      </c>
      <c r="F1018" t="s">
        <v>3088</v>
      </c>
      <c r="G1018" t="str">
        <f xml:space="preserve"> PROPER(_xlfn.CONCAT(Table1[[#This Row],[Title]]," ",Table1[[#This Row],[First Name]]," ",Table1[[#This Row],[Last Name]]))</f>
        <v>Mr Emanuel Gibbons</v>
      </c>
      <c r="H1018" t="str">
        <f>SUBSTITUTE(Table1[[#This Row],[Street]],"Road"," Road")</f>
        <v>Burdett Close</v>
      </c>
      <c r="I1018" t="str">
        <f>SUBSTITUTE(Table1[[#This Row],[Separate combined words ]],"?","")</f>
        <v>Burdett Close</v>
      </c>
      <c r="J1018" t="str">
        <f>TRIM(Table1[[#This Row],[Remove Question Mark "?"]])</f>
        <v>Burdett Close</v>
      </c>
      <c r="K1018" t="str">
        <f>PROPER(Table1[[#This Row],[Leading, Multiple &amp; Trailing spaces]])</f>
        <v>Burdett Close</v>
      </c>
      <c r="L1018" t="str">
        <f t="shared" si="15"/>
        <v>Burdett Close</v>
      </c>
      <c r="M1018" t="s">
        <v>3338</v>
      </c>
    </row>
    <row r="1019" spans="1:13" x14ac:dyDescent="0.3">
      <c r="A1019">
        <v>1016</v>
      </c>
      <c r="B1019" t="s">
        <v>1340</v>
      </c>
      <c r="C1019" t="s">
        <v>3339</v>
      </c>
      <c r="D1019" t="s">
        <v>2353</v>
      </c>
      <c r="E1019" t="s">
        <v>3340</v>
      </c>
      <c r="F1019" t="s">
        <v>3341</v>
      </c>
      <c r="G1019" t="str">
        <f xml:space="preserve"> PROPER(_xlfn.CONCAT(Table1[[#This Row],[Title]]," ",Table1[[#This Row],[First Name]]," ",Table1[[#This Row],[Last Name]]))</f>
        <v>Mr Sheldon Hardin</v>
      </c>
      <c r="H1019" t="str">
        <f>SUBSTITUTE(Table1[[#This Row],[Street]],"Road"," Road")</f>
        <v>Hope Street</v>
      </c>
      <c r="I1019" t="str">
        <f>SUBSTITUTE(Table1[[#This Row],[Separate combined words ]],"?","")</f>
        <v>Hope Street</v>
      </c>
      <c r="J1019" t="str">
        <f>TRIM(Table1[[#This Row],[Remove Question Mark "?"]])</f>
        <v>Hope Street</v>
      </c>
      <c r="K1019" t="str">
        <f>PROPER(Table1[[#This Row],[Leading, Multiple &amp; Trailing spaces]])</f>
        <v>Hope Street</v>
      </c>
      <c r="L1019" t="str">
        <f t="shared" si="15"/>
        <v>Hope Street</v>
      </c>
      <c r="M1019" t="s">
        <v>3340</v>
      </c>
    </row>
    <row r="1020" spans="1:13" x14ac:dyDescent="0.3">
      <c r="A1020">
        <v>1017</v>
      </c>
      <c r="B1020" t="s">
        <v>3342</v>
      </c>
      <c r="C1020" t="s">
        <v>3343</v>
      </c>
      <c r="D1020" t="s">
        <v>2353</v>
      </c>
      <c r="E1020" t="s">
        <v>3344</v>
      </c>
      <c r="F1020" t="s">
        <v>411</v>
      </c>
      <c r="G1020" t="str">
        <f xml:space="preserve"> PROPER(_xlfn.CONCAT(Table1[[#This Row],[Title]]," ",Table1[[#This Row],[First Name]]," ",Table1[[#This Row],[Last Name]]))</f>
        <v>Mr Rick Land</v>
      </c>
      <c r="H1020" t="str">
        <f>SUBSTITUTE(Table1[[#This Row],[Street]],"Road"," Road")</f>
        <v>Balnacraig Avenue</v>
      </c>
      <c r="I1020" t="str">
        <f>SUBSTITUTE(Table1[[#This Row],[Separate combined words ]],"?","")</f>
        <v>Balnacraig Avenue</v>
      </c>
      <c r="J1020" t="str">
        <f>TRIM(Table1[[#This Row],[Remove Question Mark "?"]])</f>
        <v>Balnacraig Avenue</v>
      </c>
      <c r="K1020" t="str">
        <f>PROPER(Table1[[#This Row],[Leading, Multiple &amp; Trailing spaces]])</f>
        <v>Balnacraig Avenue</v>
      </c>
      <c r="L1020" t="str">
        <f t="shared" si="15"/>
        <v>Balnacraig Avenue</v>
      </c>
      <c r="M1020" t="s">
        <v>3344</v>
      </c>
    </row>
    <row r="1021" spans="1:13" x14ac:dyDescent="0.3">
      <c r="A1021">
        <v>1018</v>
      </c>
      <c r="B1021" t="s">
        <v>2375</v>
      </c>
      <c r="C1021" t="s">
        <v>3345</v>
      </c>
      <c r="D1021" t="s">
        <v>2353</v>
      </c>
      <c r="E1021" t="s">
        <v>3346</v>
      </c>
      <c r="F1021" t="s">
        <v>2653</v>
      </c>
      <c r="G1021" t="str">
        <f xml:space="preserve"> PROPER(_xlfn.CONCAT(Table1[[#This Row],[Title]]," ",Table1[[#This Row],[First Name]]," ",Table1[[#This Row],[Last Name]]))</f>
        <v>Mr Jerrell Franco</v>
      </c>
      <c r="H1021" t="str">
        <f>SUBSTITUTE(Table1[[#This Row],[Street]],"Road"," Road")</f>
        <v>Glendish  Road</v>
      </c>
      <c r="I1021" t="str">
        <f>SUBSTITUTE(Table1[[#This Row],[Separate combined words ]],"?","")</f>
        <v>Glendish  Road</v>
      </c>
      <c r="J1021" t="str">
        <f>TRIM(Table1[[#This Row],[Remove Question Mark "?"]])</f>
        <v>Glendish Road</v>
      </c>
      <c r="K1021" t="str">
        <f>PROPER(Table1[[#This Row],[Leading, Multiple &amp; Trailing spaces]])</f>
        <v>Glendish Road</v>
      </c>
      <c r="L1021" t="str">
        <f t="shared" si="15"/>
        <v>Glendish Road</v>
      </c>
      <c r="M1021" t="s">
        <v>3346</v>
      </c>
    </row>
    <row r="1022" spans="1:13" x14ac:dyDescent="0.3">
      <c r="A1022">
        <v>1019</v>
      </c>
      <c r="B1022" t="s">
        <v>3347</v>
      </c>
      <c r="C1022" t="s">
        <v>3348</v>
      </c>
      <c r="D1022" t="s">
        <v>2353</v>
      </c>
      <c r="E1022" t="s">
        <v>3349</v>
      </c>
      <c r="F1022" t="s">
        <v>1560</v>
      </c>
      <c r="G1022" t="str">
        <f xml:space="preserve"> PROPER(_xlfn.CONCAT(Table1[[#This Row],[Title]]," ",Table1[[#This Row],[First Name]]," ",Table1[[#This Row],[Last Name]]))</f>
        <v>Mr Abdul Friedman</v>
      </c>
      <c r="H1022" t="str">
        <f>SUBSTITUTE(Table1[[#This Row],[Street]],"Road"," Road")</f>
        <v>Golden Plover</v>
      </c>
      <c r="I1022" t="str">
        <f>SUBSTITUTE(Table1[[#This Row],[Separate combined words ]],"?","")</f>
        <v>Golden Plover</v>
      </c>
      <c r="J1022" t="str">
        <f>TRIM(Table1[[#This Row],[Remove Question Mark "?"]])</f>
        <v>Golden Plover</v>
      </c>
      <c r="K1022" t="str">
        <f>PROPER(Table1[[#This Row],[Leading, Multiple &amp; Trailing spaces]])</f>
        <v>Golden Plover</v>
      </c>
      <c r="L1022" t="str">
        <f t="shared" si="15"/>
        <v>Golden Plover</v>
      </c>
      <c r="M1022" t="s">
        <v>3349</v>
      </c>
    </row>
    <row r="1023" spans="1:13" x14ac:dyDescent="0.3">
      <c r="A1023">
        <v>1020</v>
      </c>
      <c r="B1023" t="s">
        <v>3300</v>
      </c>
      <c r="C1023" t="s">
        <v>3350</v>
      </c>
      <c r="D1023" t="s">
        <v>2353</v>
      </c>
      <c r="E1023" t="s">
        <v>3351</v>
      </c>
      <c r="F1023" t="s">
        <v>628</v>
      </c>
      <c r="G1023" t="str">
        <f xml:space="preserve"> PROPER(_xlfn.CONCAT(Table1[[#This Row],[Title]]," ",Table1[[#This Row],[First Name]]," ",Table1[[#This Row],[Last Name]]))</f>
        <v>Mr Lupe Hampton</v>
      </c>
      <c r="H1023" t="str">
        <f>SUBSTITUTE(Table1[[#This Row],[Street]],"Road"," Road")</f>
        <v>Chaseley Drive</v>
      </c>
      <c r="I1023" t="str">
        <f>SUBSTITUTE(Table1[[#This Row],[Separate combined words ]],"?","")</f>
        <v>Chaseley Drive</v>
      </c>
      <c r="J1023" t="str">
        <f>TRIM(Table1[[#This Row],[Remove Question Mark "?"]])</f>
        <v>Chaseley Drive</v>
      </c>
      <c r="K1023" t="str">
        <f>PROPER(Table1[[#This Row],[Leading, Multiple &amp; Trailing spaces]])</f>
        <v>Chaseley Drive</v>
      </c>
      <c r="L1023" t="str">
        <f t="shared" si="15"/>
        <v>Chaseley Drive</v>
      </c>
      <c r="M1023" t="s">
        <v>3351</v>
      </c>
    </row>
    <row r="1024" spans="1:13" x14ac:dyDescent="0.3">
      <c r="A1024">
        <v>1021</v>
      </c>
      <c r="B1024" t="s">
        <v>3352</v>
      </c>
      <c r="C1024" t="s">
        <v>3079</v>
      </c>
      <c r="D1024" t="s">
        <v>2353</v>
      </c>
      <c r="E1024" t="s">
        <v>3353</v>
      </c>
      <c r="F1024" t="s">
        <v>3114</v>
      </c>
      <c r="G1024" t="str">
        <f xml:space="preserve"> PROPER(_xlfn.CONCAT(Table1[[#This Row],[Title]]," ",Table1[[#This Row],[First Name]]," ",Table1[[#This Row],[Last Name]]))</f>
        <v>Mr Mel Lloyd</v>
      </c>
      <c r="H1024" t="str">
        <f>SUBSTITUTE(Table1[[#This Row],[Street]],"Road"," Road")</f>
        <v>Prowse Place</v>
      </c>
      <c r="I1024" t="str">
        <f>SUBSTITUTE(Table1[[#This Row],[Separate combined words ]],"?","")</f>
        <v>Prowse Place</v>
      </c>
      <c r="J1024" t="str">
        <f>TRIM(Table1[[#This Row],[Remove Question Mark "?"]])</f>
        <v>Prowse Place</v>
      </c>
      <c r="K1024" t="str">
        <f>PROPER(Table1[[#This Row],[Leading, Multiple &amp; Trailing spaces]])</f>
        <v>Prowse Place</v>
      </c>
      <c r="L1024" t="str">
        <f t="shared" si="15"/>
        <v>Prowse Place</v>
      </c>
      <c r="M1024" t="s">
        <v>3353</v>
      </c>
    </row>
    <row r="1025" spans="1:13" x14ac:dyDescent="0.3">
      <c r="A1025">
        <v>1022</v>
      </c>
      <c r="B1025" t="s">
        <v>2818</v>
      </c>
      <c r="C1025" t="s">
        <v>3354</v>
      </c>
      <c r="D1025" t="s">
        <v>2353</v>
      </c>
      <c r="E1025" t="s">
        <v>3355</v>
      </c>
      <c r="F1025" t="s">
        <v>3356</v>
      </c>
      <c r="G1025" t="str">
        <f xml:space="preserve"> PROPER(_xlfn.CONCAT(Table1[[#This Row],[Title]]," ",Table1[[#This Row],[First Name]]," ",Table1[[#This Row],[Last Name]]))</f>
        <v>Mr Rodrigo Beck</v>
      </c>
      <c r="H1025" t="str">
        <f>SUBSTITUTE(Table1[[#This Row],[Street]],"Road"," Road")</f>
        <v>Westmacott Street</v>
      </c>
      <c r="I1025" t="str">
        <f>SUBSTITUTE(Table1[[#This Row],[Separate combined words ]],"?","")</f>
        <v>Westmacott Street</v>
      </c>
      <c r="J1025" t="str">
        <f>TRIM(Table1[[#This Row],[Remove Question Mark "?"]])</f>
        <v>Westmacott Street</v>
      </c>
      <c r="K1025" t="str">
        <f>PROPER(Table1[[#This Row],[Leading, Multiple &amp; Trailing spaces]])</f>
        <v>Westmacott Street</v>
      </c>
      <c r="L1025" t="str">
        <f t="shared" si="15"/>
        <v>Westmacott Street</v>
      </c>
      <c r="M1025" t="s">
        <v>3355</v>
      </c>
    </row>
    <row r="1026" spans="1:13" x14ac:dyDescent="0.3">
      <c r="A1026">
        <v>1023</v>
      </c>
      <c r="B1026" t="s">
        <v>3357</v>
      </c>
      <c r="C1026" t="s">
        <v>549</v>
      </c>
      <c r="D1026" t="s">
        <v>2353</v>
      </c>
      <c r="E1026" t="s">
        <v>3358</v>
      </c>
      <c r="F1026" t="s">
        <v>3359</v>
      </c>
      <c r="G1026" t="str">
        <f xml:space="preserve"> PROPER(_xlfn.CONCAT(Table1[[#This Row],[Title]]," ",Table1[[#This Row],[First Name]]," ",Table1[[#This Row],[Last Name]]))</f>
        <v>Mr Shawn Howell</v>
      </c>
      <c r="H1026" t="str">
        <f>SUBSTITUTE(Table1[[#This Row],[Street]],"Road"," Road")</f>
        <v>Blomfield Circus</v>
      </c>
      <c r="I1026" t="str">
        <f>SUBSTITUTE(Table1[[#This Row],[Separate combined words ]],"?","")</f>
        <v>Blomfield Circus</v>
      </c>
      <c r="J1026" t="str">
        <f>TRIM(Table1[[#This Row],[Remove Question Mark "?"]])</f>
        <v>Blomfield Circus</v>
      </c>
      <c r="K1026" t="str">
        <f>PROPER(Table1[[#This Row],[Leading, Multiple &amp; Trailing spaces]])</f>
        <v>Blomfield Circus</v>
      </c>
      <c r="L1026" t="str">
        <f t="shared" si="15"/>
        <v>Blomfield Circus</v>
      </c>
      <c r="M1026" t="s">
        <v>3358</v>
      </c>
    </row>
    <row r="1027" spans="1:13" x14ac:dyDescent="0.3">
      <c r="A1027">
        <v>1024</v>
      </c>
      <c r="B1027" t="s">
        <v>2401</v>
      </c>
      <c r="C1027" t="s">
        <v>3360</v>
      </c>
      <c r="D1027" t="s">
        <v>2353</v>
      </c>
      <c r="E1027" t="s">
        <v>3361</v>
      </c>
      <c r="F1027" t="s">
        <v>577</v>
      </c>
      <c r="G1027" t="str">
        <f xml:space="preserve"> PROPER(_xlfn.CONCAT(Table1[[#This Row],[Title]]," ",Table1[[#This Row],[First Name]]," ",Table1[[#This Row],[Last Name]]))</f>
        <v>Mr Philip Lockwood</v>
      </c>
      <c r="H1027" t="str">
        <f>SUBSTITUTE(Table1[[#This Row],[Street]],"Road"," Road")</f>
        <v>Brancaster Drive</v>
      </c>
      <c r="I1027" t="str">
        <f>SUBSTITUTE(Table1[[#This Row],[Separate combined words ]],"?","")</f>
        <v>Brancaster Drive</v>
      </c>
      <c r="J1027" t="str">
        <f>TRIM(Table1[[#This Row],[Remove Question Mark "?"]])</f>
        <v>Brancaster Drive</v>
      </c>
      <c r="K1027" t="str">
        <f>PROPER(Table1[[#This Row],[Leading, Multiple &amp; Trailing spaces]])</f>
        <v>Brancaster Drive</v>
      </c>
      <c r="L1027" t="str">
        <f t="shared" si="15"/>
        <v>Brancaster Drive</v>
      </c>
      <c r="M1027" t="s">
        <v>3361</v>
      </c>
    </row>
    <row r="1028" spans="1:13" x14ac:dyDescent="0.3">
      <c r="A1028">
        <v>1025</v>
      </c>
      <c r="B1028" t="s">
        <v>3362</v>
      </c>
      <c r="C1028" t="s">
        <v>3363</v>
      </c>
      <c r="D1028" t="s">
        <v>2353</v>
      </c>
      <c r="E1028" t="s">
        <v>3364</v>
      </c>
      <c r="F1028" t="s">
        <v>1534</v>
      </c>
      <c r="G1028" t="str">
        <f xml:space="preserve"> PROPER(_xlfn.CONCAT(Table1[[#This Row],[Title]]," ",Table1[[#This Row],[First Name]]," ",Table1[[#This Row],[Last Name]]))</f>
        <v>Mr Virgil Lane</v>
      </c>
      <c r="H1028" t="str">
        <f>SUBSTITUTE(Table1[[#This Row],[Street]],"Road"," Road")</f>
        <v>Litchfield St</v>
      </c>
      <c r="I1028" t="str">
        <f>SUBSTITUTE(Table1[[#This Row],[Separate combined words ]],"?","")</f>
        <v>Litchfield St</v>
      </c>
      <c r="J1028" t="str">
        <f>TRIM(Table1[[#This Row],[Remove Question Mark "?"]])</f>
        <v>Litchfield St</v>
      </c>
      <c r="K1028" t="str">
        <f>PROPER(Table1[[#This Row],[Leading, Multiple &amp; Trailing spaces]])</f>
        <v>Litchfield St</v>
      </c>
      <c r="L1028" t="str">
        <f t="shared" si="15"/>
        <v>Litchfield St</v>
      </c>
      <c r="M1028" t="s">
        <v>3442</v>
      </c>
    </row>
  </sheetData>
  <sheetProtection algorithmName="SHA-512" hashValue="VWaL8C2R4LtikIjZ3lUcEDy0C5pwIqC98pzgI84HM8mP+NpqX7bpG45FnWbP74xdyI72ENbX5Hgm6A/h+z7XoA==" saltValue="T1sew1vggWhuCtGY4L6h7Q==" spinCount="100000" sheet="1" objects="1" scenarios="1"/>
  <mergeCells count="21">
    <mergeCell ref="R31:Y31"/>
    <mergeCell ref="R22:Y22"/>
    <mergeCell ref="R24:Y24"/>
    <mergeCell ref="R25:Y25"/>
    <mergeCell ref="R27:Y28"/>
    <mergeCell ref="R29:Y29"/>
    <mergeCell ref="H2:M2"/>
    <mergeCell ref="R5:Y6"/>
    <mergeCell ref="R4:Y4"/>
    <mergeCell ref="R20:Y20"/>
    <mergeCell ref="R21:Y21"/>
    <mergeCell ref="R7:Y7"/>
    <mergeCell ref="R10:Y11"/>
    <mergeCell ref="R12:S13"/>
    <mergeCell ref="T12:Y12"/>
    <mergeCell ref="T13:Y13"/>
    <mergeCell ref="R9:Y9"/>
    <mergeCell ref="R15:Y16"/>
    <mergeCell ref="R17:Y17"/>
    <mergeCell ref="R18:Y18"/>
    <mergeCell ref="R3:Y3"/>
  </mergeCells>
  <phoneticPr fontId="5" type="noConversion"/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B3736-62DE-49E0-B85E-0F7CBEE3C6FB}">
  <sheetPr codeName="Sheet3"/>
  <dimension ref="A2:R1028"/>
  <sheetViews>
    <sheetView topLeftCell="B1" workbookViewId="0">
      <selection activeCell="O16" sqref="O16"/>
    </sheetView>
  </sheetViews>
  <sheetFormatPr defaultRowHeight="14.4" x14ac:dyDescent="0.3"/>
  <cols>
    <col min="1" max="1" width="10.44140625" customWidth="1"/>
    <col min="2" max="2" width="14.5546875" customWidth="1"/>
    <col min="3" max="3" width="15.5546875" customWidth="1"/>
    <col min="4" max="4" width="11.88671875" customWidth="1"/>
    <col min="5" max="5" width="21.44140625" bestFit="1" customWidth="1"/>
    <col min="6" max="6" width="17.44140625" customWidth="1"/>
    <col min="7" max="7" width="22.44140625" bestFit="1" customWidth="1"/>
    <col min="8" max="8" width="17.5546875" bestFit="1" customWidth="1"/>
    <col min="9" max="9" width="8.5546875" bestFit="1" customWidth="1"/>
  </cols>
  <sheetData>
    <row r="2" spans="1:18" x14ac:dyDescent="0.3">
      <c r="A2" s="12"/>
      <c r="B2" s="12"/>
      <c r="C2" s="12"/>
      <c r="D2" s="12"/>
      <c r="E2" s="12"/>
      <c r="F2" s="12"/>
      <c r="G2" s="12"/>
      <c r="H2" s="13" t="s">
        <v>3446</v>
      </c>
      <c r="I2" s="13"/>
    </row>
    <row r="3" spans="1:18" ht="15" thickBot="1" x14ac:dyDescent="0.35">
      <c r="A3" s="1" t="s">
        <v>3443</v>
      </c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3391</v>
      </c>
      <c r="H3" s="2" t="s">
        <v>3444</v>
      </c>
      <c r="I3" s="2" t="s">
        <v>3445</v>
      </c>
      <c r="K3" s="8" t="s">
        <v>3467</v>
      </c>
      <c r="L3" s="8"/>
      <c r="M3" s="8"/>
      <c r="N3" s="8"/>
      <c r="O3" s="8"/>
      <c r="P3" s="8"/>
      <c r="Q3" s="8"/>
      <c r="R3" s="8"/>
    </row>
    <row r="4" spans="1:18" ht="15" thickTop="1" x14ac:dyDescent="0.3">
      <c r="A4">
        <v>1</v>
      </c>
      <c r="B4" t="s">
        <v>5</v>
      </c>
      <c r="C4" t="s">
        <v>6</v>
      </c>
      <c r="D4" t="s">
        <v>7</v>
      </c>
      <c r="E4" t="str">
        <f>Table1[[#This Row],[Abbreviations]]</f>
        <v>Rosmore Road</v>
      </c>
      <c r="F4" t="s">
        <v>8</v>
      </c>
      <c r="G4" t="str">
        <f xml:space="preserve"> PROPER(_xlfn.CONCAT(Table13[[#This Row],[Title]]," ",Table13[[#This Row],[First Name]]," ",Table13[[#This Row],[Last Name]]))</f>
        <v>Mrs Nanci Camp</v>
      </c>
      <c r="H4" t="str">
        <f t="shared" ref="H4:H67" si="0">_xlfn.CONCAT(D4)&amp;" "&amp; LEFT(B4,1)&amp;"."&amp;C4</f>
        <v>Mrs N.Camp</v>
      </c>
      <c r="I4" t="str">
        <f t="shared" ref="I4:I67" si="1">IF(LEFT(D4,3)="Mr","M","F")</f>
        <v>F</v>
      </c>
      <c r="K4" s="4" t="s">
        <v>3466</v>
      </c>
      <c r="L4" s="4"/>
      <c r="M4" s="4"/>
      <c r="N4" s="4"/>
      <c r="O4" s="4"/>
      <c r="P4" s="4"/>
      <c r="Q4" s="4"/>
      <c r="R4" s="4"/>
    </row>
    <row r="5" spans="1:18" ht="14.4" customHeight="1" x14ac:dyDescent="0.3">
      <c r="A5">
        <v>2</v>
      </c>
      <c r="B5" t="s">
        <v>9</v>
      </c>
      <c r="C5" t="s">
        <v>10</v>
      </c>
      <c r="D5" t="s">
        <v>7</v>
      </c>
      <c r="E5" t="str">
        <f>Table1[[#This Row],[Abbreviations]]</f>
        <v>Roxwell Road</v>
      </c>
      <c r="F5" t="s">
        <v>11</v>
      </c>
      <c r="G5" t="str">
        <f xml:space="preserve"> PROPER(_xlfn.CONCAT(Table13[[#This Row],[Title]]," ",Table13[[#This Row],[First Name]]," ",Table13[[#This Row],[Last Name]]))</f>
        <v>Mrs Erlinda Dorsey</v>
      </c>
      <c r="H5" t="str">
        <f t="shared" si="0"/>
        <v>Mrs E.Dorsey</v>
      </c>
      <c r="I5" t="str">
        <f t="shared" si="1"/>
        <v>F</v>
      </c>
      <c r="K5" s="4" t="s">
        <v>3469</v>
      </c>
      <c r="L5" s="4"/>
      <c r="M5" s="4"/>
      <c r="N5" s="4"/>
      <c r="O5" s="4"/>
      <c r="P5" s="4"/>
      <c r="Q5" s="4"/>
      <c r="R5" s="4"/>
    </row>
    <row r="6" spans="1:18" x14ac:dyDescent="0.3">
      <c r="A6">
        <v>3</v>
      </c>
      <c r="B6" t="s">
        <v>12</v>
      </c>
      <c r="C6" t="s">
        <v>13</v>
      </c>
      <c r="D6" t="s">
        <v>7</v>
      </c>
      <c r="E6" t="str">
        <f>Table1[[#This Row],[Abbreviations]]</f>
        <v>Ashbury Place</v>
      </c>
      <c r="F6" t="s">
        <v>15</v>
      </c>
      <c r="G6" t="str">
        <f xml:space="preserve"> PROPER(_xlfn.CONCAT(Table13[[#This Row],[Title]]," ",Table13[[#This Row],[First Name]]," ",Table13[[#This Row],[Last Name]]))</f>
        <v>Mrs Albertha Devine</v>
      </c>
      <c r="H6" t="str">
        <f t="shared" si="0"/>
        <v>Mrs A.Devine</v>
      </c>
      <c r="I6" t="str">
        <f t="shared" si="1"/>
        <v>F</v>
      </c>
      <c r="K6" s="4"/>
      <c r="L6" s="4"/>
      <c r="M6" s="4"/>
      <c r="N6" s="4"/>
      <c r="O6" s="4"/>
      <c r="P6" s="4"/>
      <c r="Q6" s="4"/>
      <c r="R6" s="4"/>
    </row>
    <row r="7" spans="1:18" x14ac:dyDescent="0.3">
      <c r="A7">
        <v>4</v>
      </c>
      <c r="B7" t="s">
        <v>16</v>
      </c>
      <c r="C7" t="s">
        <v>17</v>
      </c>
      <c r="D7" t="s">
        <v>18</v>
      </c>
      <c r="E7" t="str">
        <f>Table1[[#This Row],[Abbreviations]]</f>
        <v>Grafton Road</v>
      </c>
      <c r="F7" t="s">
        <v>19</v>
      </c>
      <c r="G7" t="str">
        <f xml:space="preserve"> PROPER(_xlfn.CONCAT(Table13[[#This Row],[Title]]," ",Table13[[#This Row],[First Name]]," ",Table13[[#This Row],[Last Name]]))</f>
        <v>Miss Nathalie Washington</v>
      </c>
      <c r="H7" t="str">
        <f t="shared" si="0"/>
        <v>Miss N.Washington</v>
      </c>
      <c r="I7" t="str">
        <f t="shared" si="1"/>
        <v>F</v>
      </c>
      <c r="K7" s="4" t="s">
        <v>3470</v>
      </c>
      <c r="L7" s="4"/>
      <c r="M7" s="4"/>
      <c r="N7" s="4"/>
      <c r="O7" s="4"/>
      <c r="P7" s="4"/>
      <c r="Q7" s="4"/>
      <c r="R7" s="4"/>
    </row>
    <row r="8" spans="1:18" x14ac:dyDescent="0.3">
      <c r="A8">
        <v>5</v>
      </c>
      <c r="B8" t="s">
        <v>20</v>
      </c>
      <c r="C8" t="s">
        <v>21</v>
      </c>
      <c r="D8" t="s">
        <v>18</v>
      </c>
      <c r="E8" t="str">
        <f>Table1[[#This Row],[Abbreviations]]</f>
        <v>Beechdale Road</v>
      </c>
      <c r="F8" t="s">
        <v>23</v>
      </c>
      <c r="G8" t="str">
        <f xml:space="preserve"> PROPER(_xlfn.CONCAT(Table13[[#This Row],[Title]]," ",Table13[[#This Row],[First Name]]," ",Table13[[#This Row],[Last Name]]))</f>
        <v>Miss Shonta Hedrick</v>
      </c>
      <c r="H8" t="str">
        <f t="shared" si="0"/>
        <v>Miss S.Hedrick</v>
      </c>
      <c r="I8" t="str">
        <f t="shared" si="1"/>
        <v>F</v>
      </c>
    </row>
    <row r="9" spans="1:18" x14ac:dyDescent="0.3">
      <c r="A9">
        <v>6</v>
      </c>
      <c r="B9" t="s">
        <v>24</v>
      </c>
      <c r="C9" t="s">
        <v>25</v>
      </c>
      <c r="D9" t="s">
        <v>18</v>
      </c>
      <c r="E9" t="str">
        <f>Table1[[#This Row],[Abbreviations]]</f>
        <v>Katherine Gardens</v>
      </c>
      <c r="F9" t="s">
        <v>27</v>
      </c>
      <c r="G9" t="str">
        <f xml:space="preserve"> PROPER(_xlfn.CONCAT(Table13[[#This Row],[Title]]," ",Table13[[#This Row],[First Name]]," ",Table13[[#This Row],[Last Name]]))</f>
        <v>Miss Veronika Lundy</v>
      </c>
      <c r="H9" t="str">
        <f t="shared" si="0"/>
        <v>Miss V.Lundy</v>
      </c>
      <c r="I9" t="str">
        <f t="shared" si="1"/>
        <v>F</v>
      </c>
      <c r="K9" s="4" t="s">
        <v>3468</v>
      </c>
      <c r="L9" s="4"/>
      <c r="M9" s="4"/>
      <c r="N9" s="4"/>
      <c r="O9" s="4"/>
      <c r="P9" s="4"/>
      <c r="Q9" s="4"/>
      <c r="R9" s="4"/>
    </row>
    <row r="10" spans="1:18" x14ac:dyDescent="0.3">
      <c r="A10">
        <v>7</v>
      </c>
      <c r="B10" t="s">
        <v>28</v>
      </c>
      <c r="C10" t="s">
        <v>29</v>
      </c>
      <c r="D10" t="s">
        <v>7</v>
      </c>
      <c r="E10" t="str">
        <f>Table1[[#This Row],[Abbreviations]]</f>
        <v>Ross Way</v>
      </c>
      <c r="F10" t="s">
        <v>30</v>
      </c>
      <c r="G10" t="str">
        <f xml:space="preserve"> PROPER(_xlfn.CONCAT(Table13[[#This Row],[Title]]," ",Table13[[#This Row],[First Name]]," ",Table13[[#This Row],[Last Name]]))</f>
        <v>Mrs Valeria Frost</v>
      </c>
      <c r="H10" t="str">
        <f t="shared" si="0"/>
        <v>Mrs V.Frost</v>
      </c>
      <c r="I10" t="str">
        <f t="shared" si="1"/>
        <v>F</v>
      </c>
      <c r="K10" s="4" t="s">
        <v>3471</v>
      </c>
      <c r="L10" s="4"/>
      <c r="M10" s="4"/>
      <c r="N10" s="4"/>
      <c r="O10" s="4"/>
      <c r="P10" s="4"/>
      <c r="Q10" s="4"/>
      <c r="R10" s="4"/>
    </row>
    <row r="11" spans="1:18" x14ac:dyDescent="0.3">
      <c r="A11">
        <v>8</v>
      </c>
      <c r="B11" t="s">
        <v>31</v>
      </c>
      <c r="C11" t="s">
        <v>32</v>
      </c>
      <c r="D11" t="s">
        <v>7</v>
      </c>
      <c r="E11" t="str">
        <f>Table1[[#This Row],[Abbreviations]]</f>
        <v>Artisans Dwellings</v>
      </c>
      <c r="F11" t="s">
        <v>33</v>
      </c>
      <c r="G11" t="str">
        <f xml:space="preserve"> PROPER(_xlfn.CONCAT(Table13[[#This Row],[Title]]," ",Table13[[#This Row],[First Name]]," ",Table13[[#This Row],[Last Name]]))</f>
        <v>Mrs Randa Woods</v>
      </c>
      <c r="H11" t="str">
        <f t="shared" si="0"/>
        <v>Mrs R.Woods</v>
      </c>
      <c r="I11" t="str">
        <f t="shared" si="1"/>
        <v>F</v>
      </c>
      <c r="K11" s="4"/>
      <c r="L11" s="4"/>
      <c r="M11" s="4"/>
      <c r="N11" s="4"/>
      <c r="O11" s="4"/>
      <c r="P11" s="4"/>
      <c r="Q11" s="4"/>
      <c r="R11" s="4"/>
    </row>
    <row r="12" spans="1:18" x14ac:dyDescent="0.3">
      <c r="A12">
        <v>9</v>
      </c>
      <c r="B12" t="s">
        <v>34</v>
      </c>
      <c r="C12" t="s">
        <v>35</v>
      </c>
      <c r="D12" t="s">
        <v>7</v>
      </c>
      <c r="E12" t="str">
        <f>Table1[[#This Row],[Abbreviations]]</f>
        <v>Rhoda Street</v>
      </c>
      <c r="F12" t="s">
        <v>37</v>
      </c>
      <c r="G12" t="str">
        <f xml:space="preserve"> PROPER(_xlfn.CONCAT(Table13[[#This Row],[Title]]," ",Table13[[#This Row],[First Name]]," ",Table13[[#This Row],[Last Name]]))</f>
        <v>Mrs Karole Navarro</v>
      </c>
      <c r="H12" t="str">
        <f t="shared" si="0"/>
        <v>Mrs K.Navarro</v>
      </c>
      <c r="I12" t="str">
        <f t="shared" si="1"/>
        <v>F</v>
      </c>
      <c r="K12" s="4" t="s">
        <v>3472</v>
      </c>
      <c r="L12" s="4"/>
      <c r="M12" s="4"/>
      <c r="N12" s="4"/>
      <c r="O12" s="4"/>
      <c r="P12" s="4"/>
      <c r="Q12" s="4"/>
      <c r="R12" s="4"/>
    </row>
    <row r="13" spans="1:18" x14ac:dyDescent="0.3">
      <c r="A13">
        <v>10</v>
      </c>
      <c r="B13" t="s">
        <v>38</v>
      </c>
      <c r="C13" t="s">
        <v>39</v>
      </c>
      <c r="D13" t="s">
        <v>18</v>
      </c>
      <c r="E13" t="str">
        <f>Table1[[#This Row],[Abbreviations]]</f>
        <v>Iceland Road</v>
      </c>
      <c r="F13" t="s">
        <v>41</v>
      </c>
      <c r="G13" t="str">
        <f xml:space="preserve"> PROPER(_xlfn.CONCAT(Table13[[#This Row],[Title]]," ",Table13[[#This Row],[First Name]]," ",Table13[[#This Row],[Last Name]]))</f>
        <v>Miss Martin Anthony</v>
      </c>
      <c r="H13" t="str">
        <f t="shared" si="0"/>
        <v>Miss M.Anthony</v>
      </c>
      <c r="I13" t="str">
        <f t="shared" si="1"/>
        <v>F</v>
      </c>
    </row>
    <row r="14" spans="1:18" x14ac:dyDescent="0.3">
      <c r="A14">
        <v>11</v>
      </c>
      <c r="B14" t="s">
        <v>42</v>
      </c>
      <c r="C14" t="s">
        <v>43</v>
      </c>
      <c r="D14" t="s">
        <v>7</v>
      </c>
      <c r="E14" t="str">
        <f>Table1[[#This Row],[Abbreviations]]</f>
        <v>Samels Court</v>
      </c>
      <c r="F14" t="s">
        <v>45</v>
      </c>
      <c r="G14" t="str">
        <f xml:space="preserve"> PROPER(_xlfn.CONCAT(Table13[[#This Row],[Title]]," ",Table13[[#This Row],[First Name]]," ",Table13[[#This Row],[Last Name]]))</f>
        <v>Mrs Shanae Roland</v>
      </c>
      <c r="H14" t="str">
        <f t="shared" si="0"/>
        <v>Mrs S.Roland</v>
      </c>
      <c r="I14" t="str">
        <f t="shared" si="1"/>
        <v>F</v>
      </c>
      <c r="K14" s="9" t="s">
        <v>3473</v>
      </c>
      <c r="L14" s="10"/>
      <c r="M14" s="10"/>
      <c r="N14" s="10"/>
      <c r="O14" s="10"/>
      <c r="P14" s="10"/>
      <c r="Q14" s="10"/>
      <c r="R14" s="11"/>
    </row>
    <row r="15" spans="1:18" x14ac:dyDescent="0.3">
      <c r="A15">
        <v>12</v>
      </c>
      <c r="B15" t="s">
        <v>46</v>
      </c>
      <c r="C15" t="s">
        <v>47</v>
      </c>
      <c r="D15" t="s">
        <v>18</v>
      </c>
      <c r="E15" t="str">
        <f>Table1[[#This Row],[Abbreviations]]</f>
        <v>Garratt Green</v>
      </c>
      <c r="F15" t="s">
        <v>49</v>
      </c>
      <c r="G15" t="str">
        <f xml:space="preserve"> PROPER(_xlfn.CONCAT(Table13[[#This Row],[Title]]," ",Table13[[#This Row],[First Name]]," ",Table13[[#This Row],[Last Name]]))</f>
        <v>Miss Yen Culver</v>
      </c>
      <c r="H15" t="str">
        <f t="shared" si="0"/>
        <v>Miss Y.Culver</v>
      </c>
      <c r="I15" t="str">
        <f t="shared" si="1"/>
        <v>F</v>
      </c>
    </row>
    <row r="16" spans="1:18" x14ac:dyDescent="0.3">
      <c r="A16">
        <v>13</v>
      </c>
      <c r="B16" t="s">
        <v>50</v>
      </c>
      <c r="C16" t="s">
        <v>51</v>
      </c>
      <c r="D16" t="s">
        <v>18</v>
      </c>
      <c r="E16" t="str">
        <f>Table1[[#This Row],[Abbreviations]]</f>
        <v>High Street</v>
      </c>
      <c r="F16" t="s">
        <v>52</v>
      </c>
      <c r="G16" t="str">
        <f xml:space="preserve"> PROPER(_xlfn.CONCAT(Table13[[#This Row],[Title]]," ",Table13[[#This Row],[First Name]]," ",Table13[[#This Row],[Last Name]]))</f>
        <v>Miss Monica Doran</v>
      </c>
      <c r="H16" t="str">
        <f t="shared" si="0"/>
        <v>Miss M.Doran</v>
      </c>
      <c r="I16" t="str">
        <f t="shared" si="1"/>
        <v>F</v>
      </c>
    </row>
    <row r="17" spans="1:9" x14ac:dyDescent="0.3">
      <c r="A17">
        <v>14</v>
      </c>
      <c r="B17" t="s">
        <v>53</v>
      </c>
      <c r="C17" t="s">
        <v>54</v>
      </c>
      <c r="D17" t="s">
        <v>55</v>
      </c>
      <c r="E17" t="str">
        <f>Table1[[#This Row],[Abbreviations]]</f>
        <v>Brackenfield Close</v>
      </c>
      <c r="F17" t="s">
        <v>57</v>
      </c>
      <c r="G17" t="str">
        <f xml:space="preserve"> PROPER(_xlfn.CONCAT(Table13[[#This Row],[Title]]," ",Table13[[#This Row],[First Name]]," ",Table13[[#This Row],[Last Name]]))</f>
        <v>Prof Laureen Richards</v>
      </c>
      <c r="H17" t="str">
        <f t="shared" si="0"/>
        <v>Prof L.Richards</v>
      </c>
      <c r="I17" t="str">
        <f t="shared" si="1"/>
        <v>F</v>
      </c>
    </row>
    <row r="18" spans="1:9" x14ac:dyDescent="0.3">
      <c r="A18">
        <v>15</v>
      </c>
      <c r="B18" t="s">
        <v>58</v>
      </c>
      <c r="C18" t="s">
        <v>59</v>
      </c>
      <c r="D18" t="s">
        <v>7</v>
      </c>
      <c r="E18" t="str">
        <f>Table1[[#This Row],[Abbreviations]]</f>
        <v>Bearstead Rise</v>
      </c>
      <c r="F18" t="s">
        <v>61</v>
      </c>
      <c r="G18" t="str">
        <f xml:space="preserve"> PROPER(_xlfn.CONCAT(Table13[[#This Row],[Title]]," ",Table13[[#This Row],[First Name]]," ",Table13[[#This Row],[Last Name]]))</f>
        <v>Mrs Meta Wright</v>
      </c>
      <c r="H18" t="str">
        <f t="shared" si="0"/>
        <v>Mrs M.Wright</v>
      </c>
      <c r="I18" t="str">
        <f t="shared" si="1"/>
        <v>F</v>
      </c>
    </row>
    <row r="19" spans="1:9" x14ac:dyDescent="0.3">
      <c r="A19">
        <v>16</v>
      </c>
      <c r="B19" t="s">
        <v>62</v>
      </c>
      <c r="C19" t="s">
        <v>63</v>
      </c>
      <c r="D19" t="s">
        <v>7</v>
      </c>
      <c r="E19" t="str">
        <f>Table1[[#This Row],[Abbreviations]]</f>
        <v>Baker Road</v>
      </c>
      <c r="F19" t="s">
        <v>64</v>
      </c>
      <c r="G19" t="str">
        <f xml:space="preserve"> PROPER(_xlfn.CONCAT(Table13[[#This Row],[Title]]," ",Table13[[#This Row],[First Name]]," ",Table13[[#This Row],[Last Name]]))</f>
        <v>Mrs Bobbye Vasquez</v>
      </c>
      <c r="H19" t="str">
        <f t="shared" si="0"/>
        <v>Mrs B.Vasquez</v>
      </c>
      <c r="I19" t="str">
        <f t="shared" si="1"/>
        <v>F</v>
      </c>
    </row>
    <row r="20" spans="1:9" x14ac:dyDescent="0.3">
      <c r="A20">
        <v>17</v>
      </c>
      <c r="B20" t="s">
        <v>65</v>
      </c>
      <c r="C20" t="s">
        <v>66</v>
      </c>
      <c r="D20" t="s">
        <v>18</v>
      </c>
      <c r="E20" t="str">
        <f>Table1[[#This Row],[Abbreviations]]</f>
        <v>Telford Close</v>
      </c>
      <c r="F20" t="s">
        <v>68</v>
      </c>
      <c r="G20" t="str">
        <f xml:space="preserve"> PROPER(_xlfn.CONCAT(Table13[[#This Row],[Title]]," ",Table13[[#This Row],[First Name]]," ",Table13[[#This Row],[Last Name]]))</f>
        <v>Miss Emily Butler</v>
      </c>
      <c r="H20" t="str">
        <f t="shared" si="0"/>
        <v>Miss E.Butler</v>
      </c>
      <c r="I20" t="str">
        <f t="shared" si="1"/>
        <v>F</v>
      </c>
    </row>
    <row r="21" spans="1:9" x14ac:dyDescent="0.3">
      <c r="A21">
        <v>18</v>
      </c>
      <c r="B21" t="s">
        <v>69</v>
      </c>
      <c r="C21" t="s">
        <v>70</v>
      </c>
      <c r="D21" t="s">
        <v>71</v>
      </c>
      <c r="E21" t="str">
        <f>Table1[[#This Row],[Abbreviations]]</f>
        <v>Queens Buildings</v>
      </c>
      <c r="F21" t="s">
        <v>73</v>
      </c>
      <c r="G21" t="str">
        <f xml:space="preserve"> PROPER(_xlfn.CONCAT(Table13[[#This Row],[Title]]," ",Table13[[#This Row],[First Name]]," ",Table13[[#This Row],[Last Name]]))</f>
        <v>Ms Iona Hutchinson</v>
      </c>
      <c r="H21" t="str">
        <f t="shared" si="0"/>
        <v>Ms I.Hutchinson</v>
      </c>
      <c r="I21" t="str">
        <f t="shared" si="1"/>
        <v>F</v>
      </c>
    </row>
    <row r="22" spans="1:9" x14ac:dyDescent="0.3">
      <c r="A22">
        <v>19</v>
      </c>
      <c r="B22" t="s">
        <v>74</v>
      </c>
      <c r="C22" t="s">
        <v>75</v>
      </c>
      <c r="D22" t="s">
        <v>18</v>
      </c>
      <c r="E22" t="str">
        <f>Table1[[#This Row],[Abbreviations]]</f>
        <v>Havelock Cottages</v>
      </c>
      <c r="F22" t="s">
        <v>77</v>
      </c>
      <c r="G22" t="str">
        <f xml:space="preserve"> PROPER(_xlfn.CONCAT(Table13[[#This Row],[Title]]," ",Table13[[#This Row],[First Name]]," ",Table13[[#This Row],[Last Name]]))</f>
        <v>Miss Windy Cabrera</v>
      </c>
      <c r="H22" t="str">
        <f t="shared" si="0"/>
        <v>Miss W.Cabrera</v>
      </c>
      <c r="I22" t="str">
        <f t="shared" si="1"/>
        <v>F</v>
      </c>
    </row>
    <row r="23" spans="1:9" x14ac:dyDescent="0.3">
      <c r="A23">
        <v>20</v>
      </c>
      <c r="B23" t="s">
        <v>78</v>
      </c>
      <c r="C23" t="s">
        <v>79</v>
      </c>
      <c r="D23" t="s">
        <v>7</v>
      </c>
      <c r="E23" t="str">
        <f>Table1[[#This Row],[Abbreviations]]</f>
        <v>Huntingdon Gardens</v>
      </c>
      <c r="F23" t="s">
        <v>81</v>
      </c>
      <c r="G23" t="str">
        <f xml:space="preserve"> PROPER(_xlfn.CONCAT(Table13[[#This Row],[Title]]," ",Table13[[#This Row],[First Name]]," ",Table13[[#This Row],[Last Name]]))</f>
        <v>Mrs Cherry Walsh</v>
      </c>
      <c r="H23" t="str">
        <f t="shared" si="0"/>
        <v>Mrs C.Walsh</v>
      </c>
      <c r="I23" t="str">
        <f t="shared" si="1"/>
        <v>F</v>
      </c>
    </row>
    <row r="24" spans="1:9" x14ac:dyDescent="0.3">
      <c r="A24">
        <v>21</v>
      </c>
      <c r="B24" t="s">
        <v>82</v>
      </c>
      <c r="C24" t="s">
        <v>83</v>
      </c>
      <c r="D24" t="s">
        <v>7</v>
      </c>
      <c r="E24" t="str">
        <f>Table1[[#This Row],[Abbreviations]]</f>
        <v>Embankment Gardens</v>
      </c>
      <c r="F24" t="s">
        <v>85</v>
      </c>
      <c r="G24" t="str">
        <f xml:space="preserve"> PROPER(_xlfn.CONCAT(Table13[[#This Row],[Title]]," ",Table13[[#This Row],[First Name]]," ",Table13[[#This Row],[Last Name]]))</f>
        <v>Mrs Jaye Farley</v>
      </c>
      <c r="H24" t="str">
        <f t="shared" si="0"/>
        <v>Mrs J.FARLEY</v>
      </c>
      <c r="I24" t="str">
        <f t="shared" si="1"/>
        <v>F</v>
      </c>
    </row>
    <row r="25" spans="1:9" x14ac:dyDescent="0.3">
      <c r="A25">
        <v>22</v>
      </c>
      <c r="B25" t="s">
        <v>86</v>
      </c>
      <c r="C25" t="s">
        <v>87</v>
      </c>
      <c r="D25" t="s">
        <v>18</v>
      </c>
      <c r="E25" t="str">
        <f>Table1[[#This Row],[Abbreviations]]</f>
        <v>Burton Grove</v>
      </c>
      <c r="F25" t="s">
        <v>88</v>
      </c>
      <c r="G25" t="str">
        <f xml:space="preserve"> PROPER(_xlfn.CONCAT(Table13[[#This Row],[Title]]," ",Table13[[#This Row],[First Name]]," ",Table13[[#This Row],[Last Name]]))</f>
        <v>Miss Garnet Tipton</v>
      </c>
      <c r="H25" t="str">
        <f t="shared" si="0"/>
        <v>Miss G.Tipton</v>
      </c>
      <c r="I25" t="str">
        <f t="shared" si="1"/>
        <v>F</v>
      </c>
    </row>
    <row r="26" spans="1:9" x14ac:dyDescent="0.3">
      <c r="A26">
        <v>23</v>
      </c>
      <c r="B26" t="s">
        <v>89</v>
      </c>
      <c r="C26" t="s">
        <v>90</v>
      </c>
      <c r="D26" t="s">
        <v>18</v>
      </c>
      <c r="E26" t="str">
        <f>Table1[[#This Row],[Abbreviations]]</f>
        <v>Alliance Road</v>
      </c>
      <c r="F26" t="s">
        <v>92</v>
      </c>
      <c r="G26" t="str">
        <f xml:space="preserve"> PROPER(_xlfn.CONCAT(Table13[[#This Row],[Title]]," ",Table13[[#This Row],[First Name]]," ",Table13[[#This Row],[Last Name]]))</f>
        <v>Miss Coral Grace</v>
      </c>
      <c r="H26" t="str">
        <f t="shared" si="0"/>
        <v>Miss C.Grace</v>
      </c>
      <c r="I26" t="str">
        <f t="shared" si="1"/>
        <v>F</v>
      </c>
    </row>
    <row r="27" spans="1:9" x14ac:dyDescent="0.3">
      <c r="A27">
        <v>24</v>
      </c>
      <c r="B27" t="s">
        <v>93</v>
      </c>
      <c r="C27" t="s">
        <v>94</v>
      </c>
      <c r="D27" t="s">
        <v>18</v>
      </c>
      <c r="E27" t="str">
        <f>Table1[[#This Row],[Abbreviations]]</f>
        <v>Coningsby Cottages</v>
      </c>
      <c r="F27" t="s">
        <v>95</v>
      </c>
      <c r="G27" t="str">
        <f xml:space="preserve"> PROPER(_xlfn.CONCAT(Table13[[#This Row],[Title]]," ",Table13[[#This Row],[First Name]]," ",Table13[[#This Row],[Last Name]]))</f>
        <v>Miss Kacy Ragland</v>
      </c>
      <c r="H27" t="str">
        <f t="shared" si="0"/>
        <v>Miss K.Ragland</v>
      </c>
      <c r="I27" t="str">
        <f t="shared" si="1"/>
        <v>F</v>
      </c>
    </row>
    <row r="28" spans="1:9" x14ac:dyDescent="0.3">
      <c r="A28">
        <v>25</v>
      </c>
      <c r="B28" t="s">
        <v>96</v>
      </c>
      <c r="C28" t="s">
        <v>97</v>
      </c>
      <c r="D28" t="s">
        <v>18</v>
      </c>
      <c r="E28" t="str">
        <f>Table1[[#This Row],[Abbreviations]]</f>
        <v>Burdett Place</v>
      </c>
      <c r="F28" t="s">
        <v>99</v>
      </c>
      <c r="G28" t="str">
        <f xml:space="preserve"> PROPER(_xlfn.CONCAT(Table13[[#This Row],[Title]]," ",Table13[[#This Row],[First Name]]," ",Table13[[#This Row],[Last Name]]))</f>
        <v>Miss Riva Crosby</v>
      </c>
      <c r="H28" t="str">
        <f t="shared" si="0"/>
        <v>Miss R.Crosby</v>
      </c>
      <c r="I28" t="str">
        <f t="shared" si="1"/>
        <v>F</v>
      </c>
    </row>
    <row r="29" spans="1:9" x14ac:dyDescent="0.3">
      <c r="A29">
        <v>26</v>
      </c>
      <c r="B29" t="s">
        <v>100</v>
      </c>
      <c r="C29" t="s">
        <v>101</v>
      </c>
      <c r="D29" t="s">
        <v>7</v>
      </c>
      <c r="E29" t="str">
        <f>Table1[[#This Row],[Abbreviations]]</f>
        <v>Biddenden Way</v>
      </c>
      <c r="F29" t="s">
        <v>102</v>
      </c>
      <c r="G29" t="str">
        <f xml:space="preserve"> PROPER(_xlfn.CONCAT(Table13[[#This Row],[Title]]," ",Table13[[#This Row],[First Name]]," ",Table13[[#This Row],[Last Name]]))</f>
        <v>Mrs Thi Stroud</v>
      </c>
      <c r="H29" t="str">
        <f t="shared" si="0"/>
        <v>Mrs T.Stroud</v>
      </c>
      <c r="I29" t="str">
        <f t="shared" si="1"/>
        <v>F</v>
      </c>
    </row>
    <row r="30" spans="1:9" x14ac:dyDescent="0.3">
      <c r="A30">
        <v>27</v>
      </c>
      <c r="B30" t="s">
        <v>103</v>
      </c>
      <c r="C30" t="s">
        <v>104</v>
      </c>
      <c r="D30" t="s">
        <v>7</v>
      </c>
      <c r="E30" t="str">
        <f>Table1[[#This Row],[Abbreviations]]</f>
        <v>Selhurst Road</v>
      </c>
      <c r="F30" t="s">
        <v>106</v>
      </c>
      <c r="G30" t="str">
        <f xml:space="preserve"> PROPER(_xlfn.CONCAT(Table13[[#This Row],[Title]]," ",Table13[[#This Row],[First Name]]," ",Table13[[#This Row],[Last Name]]))</f>
        <v>Mrs Ji Austin</v>
      </c>
      <c r="H30" t="str">
        <f t="shared" si="0"/>
        <v>Mrs J.Austin</v>
      </c>
      <c r="I30" t="str">
        <f t="shared" si="1"/>
        <v>F</v>
      </c>
    </row>
    <row r="31" spans="1:9" x14ac:dyDescent="0.3">
      <c r="A31">
        <v>28</v>
      </c>
      <c r="B31" t="s">
        <v>107</v>
      </c>
      <c r="C31" t="s">
        <v>108</v>
      </c>
      <c r="D31" t="s">
        <v>7</v>
      </c>
      <c r="E31" t="str">
        <f>Table1[[#This Row],[Abbreviations]]</f>
        <v>Lyons Yard</v>
      </c>
      <c r="F31" t="s">
        <v>110</v>
      </c>
      <c r="G31" t="str">
        <f xml:space="preserve"> PROPER(_xlfn.CONCAT(Table13[[#This Row],[Title]]," ",Table13[[#This Row],[First Name]]," ",Table13[[#This Row],[Last Name]]))</f>
        <v>Mrs Molly Marcus</v>
      </c>
      <c r="H31" t="str">
        <f t="shared" si="0"/>
        <v>Mrs M.MARCUS</v>
      </c>
      <c r="I31" t="str">
        <f t="shared" si="1"/>
        <v>F</v>
      </c>
    </row>
    <row r="32" spans="1:9" x14ac:dyDescent="0.3">
      <c r="A32">
        <v>29</v>
      </c>
      <c r="B32" t="s">
        <v>111</v>
      </c>
      <c r="C32" t="s">
        <v>112</v>
      </c>
      <c r="D32" t="s">
        <v>71</v>
      </c>
      <c r="E32" t="str">
        <f>Table1[[#This Row],[Abbreviations]]</f>
        <v>Edgar Road</v>
      </c>
      <c r="F32" t="s">
        <v>113</v>
      </c>
      <c r="G32" t="str">
        <f xml:space="preserve"> PROPER(_xlfn.CONCAT(Table13[[#This Row],[Title]]," ",Table13[[#This Row],[First Name]]," ",Table13[[#This Row],[Last Name]]))</f>
        <v>Ms Alina Pryor</v>
      </c>
      <c r="H32" t="str">
        <f t="shared" si="0"/>
        <v>Ms A.Pryor</v>
      </c>
      <c r="I32" t="str">
        <f t="shared" si="1"/>
        <v>F</v>
      </c>
    </row>
    <row r="33" spans="1:9" x14ac:dyDescent="0.3">
      <c r="A33">
        <v>30</v>
      </c>
      <c r="B33" t="s">
        <v>114</v>
      </c>
      <c r="C33" t="s">
        <v>115</v>
      </c>
      <c r="D33" t="s">
        <v>7</v>
      </c>
      <c r="E33" t="str">
        <f>Table1[[#This Row],[Abbreviations]]</f>
        <v>Roe Lane</v>
      </c>
      <c r="F33" t="s">
        <v>117</v>
      </c>
      <c r="G33" t="str">
        <f xml:space="preserve"> PROPER(_xlfn.CONCAT(Table13[[#This Row],[Title]]," ",Table13[[#This Row],[First Name]]," ",Table13[[#This Row],[Last Name]]))</f>
        <v>Mrs Jo Simons</v>
      </c>
      <c r="H33" t="str">
        <f t="shared" si="0"/>
        <v>Mrs J.Simons</v>
      </c>
      <c r="I33" t="str">
        <f t="shared" si="1"/>
        <v>F</v>
      </c>
    </row>
    <row r="34" spans="1:9" x14ac:dyDescent="0.3">
      <c r="A34">
        <v>31</v>
      </c>
      <c r="B34" t="s">
        <v>118</v>
      </c>
      <c r="C34" t="s">
        <v>119</v>
      </c>
      <c r="D34" t="s">
        <v>18</v>
      </c>
      <c r="E34" t="str">
        <f>Table1[[#This Row],[Abbreviations]]</f>
        <v>Beaufort Wharf</v>
      </c>
      <c r="F34" t="s">
        <v>121</v>
      </c>
      <c r="G34" t="str">
        <f xml:space="preserve"> PROPER(_xlfn.CONCAT(Table13[[#This Row],[Title]]," ",Table13[[#This Row],[First Name]]," ",Table13[[#This Row],[Last Name]]))</f>
        <v>Miss Lacy Emerson</v>
      </c>
      <c r="H34" t="str">
        <f t="shared" si="0"/>
        <v>Miss L.Emerson</v>
      </c>
      <c r="I34" t="str">
        <f t="shared" si="1"/>
        <v>F</v>
      </c>
    </row>
    <row r="35" spans="1:9" x14ac:dyDescent="0.3">
      <c r="A35">
        <v>32</v>
      </c>
      <c r="B35" t="s">
        <v>122</v>
      </c>
      <c r="C35" t="s">
        <v>123</v>
      </c>
      <c r="D35" t="s">
        <v>18</v>
      </c>
      <c r="E35" t="str">
        <f>Table1[[#This Row],[Abbreviations]]</f>
        <v>Anns Close</v>
      </c>
      <c r="F35" t="s">
        <v>125</v>
      </c>
      <c r="G35" t="str">
        <f xml:space="preserve"> PROPER(_xlfn.CONCAT(Table13[[#This Row],[Title]]," ",Table13[[#This Row],[First Name]]," ",Table13[[#This Row],[Last Name]]))</f>
        <v>Miss Janice Oneal</v>
      </c>
      <c r="H35" t="str">
        <f t="shared" si="0"/>
        <v>Miss J.Oneal</v>
      </c>
      <c r="I35" t="str">
        <f t="shared" si="1"/>
        <v>F</v>
      </c>
    </row>
    <row r="36" spans="1:9" x14ac:dyDescent="0.3">
      <c r="A36">
        <v>33</v>
      </c>
      <c r="B36" t="s">
        <v>126</v>
      </c>
      <c r="C36" t="s">
        <v>127</v>
      </c>
      <c r="D36" t="s">
        <v>18</v>
      </c>
      <c r="E36" t="str">
        <f>Table1[[#This Row],[Abbreviations]]</f>
        <v>Sladedale Road</v>
      </c>
      <c r="F36" t="s">
        <v>128</v>
      </c>
      <c r="G36" t="str">
        <f xml:space="preserve"> PROPER(_xlfn.CONCAT(Table13[[#This Row],[Title]]," ",Table13[[#This Row],[First Name]]," ",Table13[[#This Row],[Last Name]]))</f>
        <v>Miss Donella Fenton</v>
      </c>
      <c r="H36" t="str">
        <f t="shared" si="0"/>
        <v>Miss D.Fenton</v>
      </c>
      <c r="I36" t="str">
        <f t="shared" si="1"/>
        <v>F</v>
      </c>
    </row>
    <row r="37" spans="1:9" x14ac:dyDescent="0.3">
      <c r="A37">
        <v>34</v>
      </c>
      <c r="B37" t="s">
        <v>129</v>
      </c>
      <c r="C37" t="s">
        <v>130</v>
      </c>
      <c r="D37" t="s">
        <v>7</v>
      </c>
      <c r="E37" t="str">
        <f>Table1[[#This Row],[Abbreviations]]</f>
        <v>Falkland Place</v>
      </c>
      <c r="F37" t="s">
        <v>132</v>
      </c>
      <c r="G37" t="str">
        <f xml:space="preserve"> PROPER(_xlfn.CONCAT(Table13[[#This Row],[Title]]," ",Table13[[#This Row],[First Name]]," ",Table13[[#This Row],[Last Name]]))</f>
        <v>Mrs Jacinta Blackburn</v>
      </c>
      <c r="H37" t="str">
        <f t="shared" si="0"/>
        <v>Mrs J.Blackburn</v>
      </c>
      <c r="I37" t="str">
        <f t="shared" si="1"/>
        <v>F</v>
      </c>
    </row>
    <row r="38" spans="1:9" x14ac:dyDescent="0.3">
      <c r="A38">
        <v>35</v>
      </c>
      <c r="B38" t="s">
        <v>133</v>
      </c>
      <c r="C38" t="s">
        <v>134</v>
      </c>
      <c r="D38" t="s">
        <v>18</v>
      </c>
      <c r="E38" t="str">
        <f>Table1[[#This Row],[Abbreviations]]</f>
        <v>Westdean Close</v>
      </c>
      <c r="F38" t="s">
        <v>27</v>
      </c>
      <c r="G38" t="str">
        <f xml:space="preserve"> PROPER(_xlfn.CONCAT(Table13[[#This Row],[Title]]," ",Table13[[#This Row],[First Name]]," ",Table13[[#This Row],[Last Name]]))</f>
        <v>Miss Chasity Mcfadden</v>
      </c>
      <c r="H38" t="str">
        <f t="shared" si="0"/>
        <v>Miss C.Mcfadden</v>
      </c>
      <c r="I38" t="str">
        <f t="shared" si="1"/>
        <v>F</v>
      </c>
    </row>
    <row r="39" spans="1:9" x14ac:dyDescent="0.3">
      <c r="A39">
        <v>36</v>
      </c>
      <c r="B39" t="s">
        <v>135</v>
      </c>
      <c r="C39" t="s">
        <v>136</v>
      </c>
      <c r="D39" t="s">
        <v>18</v>
      </c>
      <c r="E39" t="str">
        <f>Table1[[#This Row],[Abbreviations]]</f>
        <v>Roslyn Avenue</v>
      </c>
      <c r="F39" t="s">
        <v>138</v>
      </c>
      <c r="G39" t="str">
        <f xml:space="preserve"> PROPER(_xlfn.CONCAT(Table13[[#This Row],[Title]]," ",Table13[[#This Row],[First Name]]," ",Table13[[#This Row],[Last Name]]))</f>
        <v>Miss Margot Akers</v>
      </c>
      <c r="H39" t="str">
        <f t="shared" si="0"/>
        <v>Miss M.Akers</v>
      </c>
      <c r="I39" t="str">
        <f t="shared" si="1"/>
        <v>F</v>
      </c>
    </row>
    <row r="40" spans="1:9" x14ac:dyDescent="0.3">
      <c r="A40">
        <v>37</v>
      </c>
      <c r="B40" t="s">
        <v>139</v>
      </c>
      <c r="C40" t="s">
        <v>140</v>
      </c>
      <c r="D40" t="s">
        <v>7</v>
      </c>
      <c r="E40" t="str">
        <f>Table1[[#This Row],[Abbreviations]]</f>
        <v>East Mount</v>
      </c>
      <c r="F40" t="s">
        <v>142</v>
      </c>
      <c r="G40" t="str">
        <f xml:space="preserve"> PROPER(_xlfn.CONCAT(Table13[[#This Row],[Title]]," ",Table13[[#This Row],[First Name]]," ",Table13[[#This Row],[Last Name]]))</f>
        <v>Mrs Tresa Meza</v>
      </c>
      <c r="H40" t="str">
        <f t="shared" si="0"/>
        <v>Mrs T.Meza</v>
      </c>
      <c r="I40" t="str">
        <f t="shared" si="1"/>
        <v>F</v>
      </c>
    </row>
    <row r="41" spans="1:9" x14ac:dyDescent="0.3">
      <c r="A41">
        <v>38</v>
      </c>
      <c r="B41" t="s">
        <v>143</v>
      </c>
      <c r="C41" t="s">
        <v>144</v>
      </c>
      <c r="D41" t="s">
        <v>7</v>
      </c>
      <c r="E41" t="str">
        <f>Table1[[#This Row],[Abbreviations]]</f>
        <v>Grainger Street</v>
      </c>
      <c r="F41" t="s">
        <v>145</v>
      </c>
      <c r="G41" t="str">
        <f xml:space="preserve"> PROPER(_xlfn.CONCAT(Table13[[#This Row],[Title]]," ",Table13[[#This Row],[First Name]]," ",Table13[[#This Row],[Last Name]]))</f>
        <v>Mrs Jack Johnston</v>
      </c>
      <c r="H41" t="str">
        <f t="shared" si="0"/>
        <v>Mrs J.Johnston</v>
      </c>
      <c r="I41" t="str">
        <f t="shared" si="1"/>
        <v>F</v>
      </c>
    </row>
    <row r="42" spans="1:9" x14ac:dyDescent="0.3">
      <c r="A42">
        <v>39</v>
      </c>
      <c r="B42" t="s">
        <v>146</v>
      </c>
      <c r="C42" t="s">
        <v>147</v>
      </c>
      <c r="D42" t="s">
        <v>7</v>
      </c>
      <c r="E42" t="str">
        <f>Table1[[#This Row],[Abbreviations]]</f>
        <v>Upper Paget</v>
      </c>
      <c r="F42" t="s">
        <v>148</v>
      </c>
      <c r="G42" t="str">
        <f xml:space="preserve"> PROPER(_xlfn.CONCAT(Table13[[#This Row],[Title]]," ",Table13[[#This Row],[First Name]]," ",Table13[[#This Row],[Last Name]]))</f>
        <v>Mrs Kaley Kay</v>
      </c>
      <c r="H42" t="str">
        <f t="shared" si="0"/>
        <v>Mrs K.Kay</v>
      </c>
      <c r="I42" t="str">
        <f t="shared" si="1"/>
        <v>F</v>
      </c>
    </row>
    <row r="43" spans="1:9" x14ac:dyDescent="0.3">
      <c r="A43">
        <v>40</v>
      </c>
      <c r="B43" t="s">
        <v>149</v>
      </c>
      <c r="C43" t="s">
        <v>150</v>
      </c>
      <c r="D43" t="s">
        <v>18</v>
      </c>
      <c r="E43" t="str">
        <f>Table1[[#This Row],[Abbreviations]]</f>
        <v>Claypole Road</v>
      </c>
      <c r="F43" t="s">
        <v>152</v>
      </c>
      <c r="G43" t="str">
        <f xml:space="preserve"> PROPER(_xlfn.CONCAT(Table13[[#This Row],[Title]]," ",Table13[[#This Row],[First Name]]," ",Table13[[#This Row],[Last Name]]))</f>
        <v>Miss Shaniqua Baker</v>
      </c>
      <c r="H43" t="str">
        <f t="shared" si="0"/>
        <v>Miss S.Baker</v>
      </c>
      <c r="I43" t="str">
        <f t="shared" si="1"/>
        <v>F</v>
      </c>
    </row>
    <row r="44" spans="1:9" x14ac:dyDescent="0.3">
      <c r="A44">
        <v>41</v>
      </c>
      <c r="B44" t="s">
        <v>153</v>
      </c>
      <c r="C44" t="s">
        <v>154</v>
      </c>
      <c r="D44" t="s">
        <v>18</v>
      </c>
      <c r="E44" t="str">
        <f>Table1[[#This Row],[Abbreviations]]</f>
        <v>Halsbrook Road</v>
      </c>
      <c r="F44" t="s">
        <v>156</v>
      </c>
      <c r="G44" t="str">
        <f xml:space="preserve"> PROPER(_xlfn.CONCAT(Table13[[#This Row],[Title]]," ",Table13[[#This Row],[First Name]]," ",Table13[[#This Row],[Last Name]]))</f>
        <v>Miss Aurora Montgomery</v>
      </c>
      <c r="H44" t="str">
        <f t="shared" si="0"/>
        <v>Miss A.Montgomery</v>
      </c>
      <c r="I44" t="str">
        <f t="shared" si="1"/>
        <v>F</v>
      </c>
    </row>
    <row r="45" spans="1:9" x14ac:dyDescent="0.3">
      <c r="A45">
        <v>42</v>
      </c>
      <c r="B45" t="s">
        <v>157</v>
      </c>
      <c r="C45" t="s">
        <v>158</v>
      </c>
      <c r="D45" t="s">
        <v>7</v>
      </c>
      <c r="E45" t="str">
        <f>Table1[[#This Row],[Abbreviations]]</f>
        <v>Kevelioc Road</v>
      </c>
      <c r="F45" t="s">
        <v>160</v>
      </c>
      <c r="G45" t="str">
        <f xml:space="preserve"> PROPER(_xlfn.CONCAT(Table13[[#This Row],[Title]]," ",Table13[[#This Row],[First Name]]," ",Table13[[#This Row],[Last Name]]))</f>
        <v>Mrs Carmelita Surname</v>
      </c>
      <c r="H45" t="str">
        <f t="shared" si="0"/>
        <v>Mrs C.Surname</v>
      </c>
      <c r="I45" t="str">
        <f t="shared" si="1"/>
        <v>F</v>
      </c>
    </row>
    <row r="46" spans="1:9" x14ac:dyDescent="0.3">
      <c r="A46">
        <v>43</v>
      </c>
      <c r="B46" t="s">
        <v>161</v>
      </c>
      <c r="C46" t="s">
        <v>162</v>
      </c>
      <c r="D46" t="s">
        <v>7</v>
      </c>
      <c r="E46" t="str">
        <f>Table1[[#This Row],[Abbreviations]]</f>
        <v>Crede Cottages</v>
      </c>
      <c r="F46" t="s">
        <v>164</v>
      </c>
      <c r="G46" t="str">
        <f xml:space="preserve"> PROPER(_xlfn.CONCAT(Table13[[#This Row],[Title]]," ",Table13[[#This Row],[First Name]]," ",Table13[[#This Row],[Last Name]]))</f>
        <v>Mrs Maude Orozco</v>
      </c>
      <c r="H46" t="str">
        <f t="shared" si="0"/>
        <v>Mrs M.Orozco</v>
      </c>
      <c r="I46" t="str">
        <f t="shared" si="1"/>
        <v>F</v>
      </c>
    </row>
    <row r="47" spans="1:9" x14ac:dyDescent="0.3">
      <c r="A47">
        <v>44</v>
      </c>
      <c r="B47" t="s">
        <v>165</v>
      </c>
      <c r="C47" t="s">
        <v>166</v>
      </c>
      <c r="D47" t="s">
        <v>7</v>
      </c>
      <c r="E47" t="str">
        <f>Table1[[#This Row],[Abbreviations]]</f>
        <v>Hanford Close</v>
      </c>
      <c r="F47" t="s">
        <v>167</v>
      </c>
      <c r="G47" t="str">
        <f xml:space="preserve"> PROPER(_xlfn.CONCAT(Table13[[#This Row],[Title]]," ",Table13[[#This Row],[First Name]]," ",Table13[[#This Row],[Last Name]]))</f>
        <v>Mrs Beatrice Joseph</v>
      </c>
      <c r="H47" t="str">
        <f t="shared" si="0"/>
        <v>Mrs B.Joseph</v>
      </c>
      <c r="I47" t="str">
        <f t="shared" si="1"/>
        <v>F</v>
      </c>
    </row>
    <row r="48" spans="1:9" x14ac:dyDescent="0.3">
      <c r="A48">
        <v>45</v>
      </c>
      <c r="B48" t="s">
        <v>168</v>
      </c>
      <c r="C48" t="s">
        <v>169</v>
      </c>
      <c r="D48" t="s">
        <v>18</v>
      </c>
      <c r="E48" t="str">
        <f>Table1[[#This Row],[Abbreviations]]</f>
        <v>Haydon Way</v>
      </c>
      <c r="F48" t="s">
        <v>171</v>
      </c>
      <c r="G48" t="str">
        <f xml:space="preserve"> PROPER(_xlfn.CONCAT(Table13[[#This Row],[Title]]," ",Table13[[#This Row],[First Name]]," ",Table13[[#This Row],[Last Name]]))</f>
        <v>Miss Julio Barron</v>
      </c>
      <c r="H48" t="str">
        <f t="shared" si="0"/>
        <v>Miss J.Barron</v>
      </c>
      <c r="I48" t="str">
        <f t="shared" si="1"/>
        <v>F</v>
      </c>
    </row>
    <row r="49" spans="1:9" x14ac:dyDescent="0.3">
      <c r="A49">
        <v>46</v>
      </c>
      <c r="B49" t="s">
        <v>172</v>
      </c>
      <c r="C49" t="s">
        <v>173</v>
      </c>
      <c r="D49" t="s">
        <v>7</v>
      </c>
      <c r="E49" t="str">
        <f>Table1[[#This Row],[Abbreviations]]</f>
        <v>Paragon Place</v>
      </c>
      <c r="F49" t="s">
        <v>175</v>
      </c>
      <c r="G49" t="str">
        <f xml:space="preserve"> PROPER(_xlfn.CONCAT(Table13[[#This Row],[Title]]," ",Table13[[#This Row],[First Name]]," ",Table13[[#This Row],[Last Name]]))</f>
        <v>Mrs Nam Cullen</v>
      </c>
      <c r="H49" t="str">
        <f t="shared" si="0"/>
        <v>Mrs N.Cullen</v>
      </c>
      <c r="I49" t="str">
        <f t="shared" si="1"/>
        <v>F</v>
      </c>
    </row>
    <row r="50" spans="1:9" x14ac:dyDescent="0.3">
      <c r="A50">
        <v>47</v>
      </c>
      <c r="B50" t="s">
        <v>176</v>
      </c>
      <c r="C50" t="s">
        <v>177</v>
      </c>
      <c r="D50" t="s">
        <v>18</v>
      </c>
      <c r="E50" t="str">
        <f>Table1[[#This Row],[Abbreviations]]</f>
        <v>Langdon Place</v>
      </c>
      <c r="F50" t="s">
        <v>178</v>
      </c>
      <c r="G50" t="str">
        <f xml:space="preserve"> PROPER(_xlfn.CONCAT(Table13[[#This Row],[Title]]," ",Table13[[#This Row],[First Name]]," ",Table13[[#This Row],[Last Name]]))</f>
        <v>Miss Berta Grove</v>
      </c>
      <c r="H50" t="str">
        <f t="shared" si="0"/>
        <v>Miss B.Grove</v>
      </c>
      <c r="I50" t="str">
        <f t="shared" si="1"/>
        <v>F</v>
      </c>
    </row>
    <row r="51" spans="1:9" x14ac:dyDescent="0.3">
      <c r="A51">
        <v>48</v>
      </c>
      <c r="B51" t="s">
        <v>179</v>
      </c>
      <c r="C51" t="s">
        <v>180</v>
      </c>
      <c r="D51" t="s">
        <v>18</v>
      </c>
      <c r="E51" t="str">
        <f>Table1[[#This Row],[Abbreviations]]</f>
        <v>Power Road</v>
      </c>
      <c r="F51" t="s">
        <v>182</v>
      </c>
      <c r="G51" t="str">
        <f xml:space="preserve"> PROPER(_xlfn.CONCAT(Table13[[#This Row],[Title]]," ",Table13[[#This Row],[First Name]]," ",Table13[[#This Row],[Last Name]]))</f>
        <v>Miss Kandice Guthrie</v>
      </c>
      <c r="H51" t="str">
        <f t="shared" si="0"/>
        <v>Miss K.Guthrie</v>
      </c>
      <c r="I51" t="str">
        <f t="shared" si="1"/>
        <v>F</v>
      </c>
    </row>
    <row r="52" spans="1:9" x14ac:dyDescent="0.3">
      <c r="A52">
        <v>49</v>
      </c>
      <c r="B52" t="s">
        <v>183</v>
      </c>
      <c r="C52" t="s">
        <v>184</v>
      </c>
      <c r="D52" t="s">
        <v>7</v>
      </c>
      <c r="E52" t="str">
        <f>Table1[[#This Row],[Abbreviations]]</f>
        <v>Paultons Square</v>
      </c>
      <c r="F52" t="s">
        <v>186</v>
      </c>
      <c r="G52" t="str">
        <f xml:space="preserve"> PROPER(_xlfn.CONCAT(Table13[[#This Row],[Title]]," ",Table13[[#This Row],[First Name]]," ",Table13[[#This Row],[Last Name]]))</f>
        <v>Mrs Genesis Greene</v>
      </c>
      <c r="H52" t="str">
        <f t="shared" si="0"/>
        <v>Mrs G.Greene</v>
      </c>
      <c r="I52" t="str">
        <f t="shared" si="1"/>
        <v>F</v>
      </c>
    </row>
    <row r="53" spans="1:9" x14ac:dyDescent="0.3">
      <c r="A53">
        <v>50</v>
      </c>
      <c r="B53" t="s">
        <v>187</v>
      </c>
      <c r="C53" t="s">
        <v>188</v>
      </c>
      <c r="D53" t="s">
        <v>18</v>
      </c>
      <c r="E53" t="str">
        <f>Table1[[#This Row],[Abbreviations]]</f>
        <v>Trenchard Street</v>
      </c>
      <c r="F53" t="s">
        <v>85</v>
      </c>
      <c r="G53" t="str">
        <f xml:space="preserve"> PROPER(_xlfn.CONCAT(Table13[[#This Row],[Title]]," ",Table13[[#This Row],[First Name]]," ",Table13[[#This Row],[Last Name]]))</f>
        <v>Miss Chung Parson</v>
      </c>
      <c r="H53" t="str">
        <f t="shared" si="0"/>
        <v>Miss C.Parson</v>
      </c>
      <c r="I53" t="str">
        <f t="shared" si="1"/>
        <v>F</v>
      </c>
    </row>
    <row r="54" spans="1:9" x14ac:dyDescent="0.3">
      <c r="A54">
        <v>51</v>
      </c>
      <c r="B54" t="s">
        <v>190</v>
      </c>
      <c r="C54" t="s">
        <v>191</v>
      </c>
      <c r="D54" t="s">
        <v>7</v>
      </c>
      <c r="E54" t="str">
        <f>Table1[[#This Row],[Abbreviations]]</f>
        <v>College Road</v>
      </c>
      <c r="F54" t="s">
        <v>192</v>
      </c>
      <c r="G54" t="str">
        <f xml:space="preserve"> PROPER(_xlfn.CONCAT(Table13[[#This Row],[Title]]," ",Table13[[#This Row],[First Name]]," ",Table13[[#This Row],[Last Name]]))</f>
        <v>Mrs Josefina Hancock</v>
      </c>
      <c r="H54" t="str">
        <f t="shared" si="0"/>
        <v>Mrs J.Hancock</v>
      </c>
      <c r="I54" t="str">
        <f t="shared" si="1"/>
        <v>F</v>
      </c>
    </row>
    <row r="55" spans="1:9" x14ac:dyDescent="0.3">
      <c r="A55">
        <v>52</v>
      </c>
      <c r="B55" t="s">
        <v>193</v>
      </c>
      <c r="C55" t="s">
        <v>191</v>
      </c>
      <c r="D55" t="s">
        <v>7</v>
      </c>
      <c r="E55" t="str">
        <f>Table1[[#This Row],[Abbreviations]]</f>
        <v>Bridson Street</v>
      </c>
      <c r="F55" t="s">
        <v>195</v>
      </c>
      <c r="G55" t="str">
        <f xml:space="preserve"> PROPER(_xlfn.CONCAT(Table13[[#This Row],[Title]]," ",Table13[[#This Row],[First Name]]," ",Table13[[#This Row],[Last Name]]))</f>
        <v>Mrs Pearly Hancock</v>
      </c>
      <c r="H55" t="str">
        <f t="shared" si="0"/>
        <v>Mrs P.Hancock</v>
      </c>
      <c r="I55" t="str">
        <f t="shared" si="1"/>
        <v>F</v>
      </c>
    </row>
    <row r="56" spans="1:9" x14ac:dyDescent="0.3">
      <c r="A56">
        <v>53</v>
      </c>
      <c r="B56" t="s">
        <v>196</v>
      </c>
      <c r="C56" t="s">
        <v>197</v>
      </c>
      <c r="D56" t="s">
        <v>18</v>
      </c>
      <c r="E56" t="str">
        <f>Table1[[#This Row],[Abbreviations]]</f>
        <v>Bowl Court</v>
      </c>
      <c r="F56" t="s">
        <v>199</v>
      </c>
      <c r="G56" t="str">
        <f xml:space="preserve"> PROPER(_xlfn.CONCAT(Table13[[#This Row],[Title]]," ",Table13[[#This Row],[First Name]]," ",Table13[[#This Row],[Last Name]]))</f>
        <v>Miss Earline Hart</v>
      </c>
      <c r="H56" t="str">
        <f t="shared" si="0"/>
        <v>Miss E.Hart</v>
      </c>
      <c r="I56" t="str">
        <f t="shared" si="1"/>
        <v>F</v>
      </c>
    </row>
    <row r="57" spans="1:9" x14ac:dyDescent="0.3">
      <c r="A57">
        <v>54</v>
      </c>
      <c r="B57" t="s">
        <v>200</v>
      </c>
      <c r="C57" t="s">
        <v>201</v>
      </c>
      <c r="D57" t="s">
        <v>18</v>
      </c>
      <c r="E57" t="str">
        <f>Table1[[#This Row],[Abbreviations]]</f>
        <v>Lyons Inn</v>
      </c>
      <c r="F57" t="s">
        <v>203</v>
      </c>
      <c r="G57" t="str">
        <f xml:space="preserve"> PROPER(_xlfn.CONCAT(Table13[[#This Row],[Title]]," ",Table13[[#This Row],[First Name]]," ",Table13[[#This Row],[Last Name]]))</f>
        <v>Miss Fredricka Sadler</v>
      </c>
      <c r="H57" t="str">
        <f t="shared" si="0"/>
        <v>Miss F.Sadler</v>
      </c>
      <c r="I57" t="str">
        <f t="shared" si="1"/>
        <v>F</v>
      </c>
    </row>
    <row r="58" spans="1:9" x14ac:dyDescent="0.3">
      <c r="A58">
        <v>55</v>
      </c>
      <c r="B58" t="s">
        <v>204</v>
      </c>
      <c r="C58" t="s">
        <v>205</v>
      </c>
      <c r="D58" t="s">
        <v>18</v>
      </c>
      <c r="E58" t="str">
        <f>Table1[[#This Row],[Abbreviations]]</f>
        <v>Bells Bldgs</v>
      </c>
      <c r="F58" t="s">
        <v>85</v>
      </c>
      <c r="G58" t="str">
        <f xml:space="preserve"> PROPER(_xlfn.CONCAT(Table13[[#This Row],[Title]]," ",Table13[[#This Row],[First Name]]," ",Table13[[#This Row],[Last Name]]))</f>
        <v>Miss Dia Finch</v>
      </c>
      <c r="H58" t="str">
        <f t="shared" si="0"/>
        <v>Miss D.Finch</v>
      </c>
      <c r="I58" t="str">
        <f t="shared" si="1"/>
        <v>F</v>
      </c>
    </row>
    <row r="59" spans="1:9" x14ac:dyDescent="0.3">
      <c r="A59">
        <v>56</v>
      </c>
      <c r="B59" t="s">
        <v>206</v>
      </c>
      <c r="C59" t="s">
        <v>207</v>
      </c>
      <c r="D59" t="s">
        <v>7</v>
      </c>
      <c r="E59" t="str">
        <f>Table1[[#This Row],[Abbreviations]]</f>
        <v>Sotheron Road</v>
      </c>
      <c r="F59" t="s">
        <v>209</v>
      </c>
      <c r="G59" t="str">
        <f xml:space="preserve"> PROPER(_xlfn.CONCAT(Table13[[#This Row],[Title]]," ",Table13[[#This Row],[First Name]]," ",Table13[[#This Row],[Last Name]]))</f>
        <v>Mrs Gilda Flores</v>
      </c>
      <c r="H59" t="str">
        <f t="shared" si="0"/>
        <v>Mrs G.Flores</v>
      </c>
      <c r="I59" t="str">
        <f t="shared" si="1"/>
        <v>F</v>
      </c>
    </row>
    <row r="60" spans="1:9" x14ac:dyDescent="0.3">
      <c r="A60">
        <v>57</v>
      </c>
      <c r="B60" t="s">
        <v>210</v>
      </c>
      <c r="C60" t="s">
        <v>211</v>
      </c>
      <c r="D60" t="s">
        <v>7</v>
      </c>
      <c r="E60" t="str">
        <f>Table1[[#This Row],[Abbreviations]]</f>
        <v>Old Dover</v>
      </c>
      <c r="F60" t="s">
        <v>213</v>
      </c>
      <c r="G60" t="str">
        <f xml:space="preserve"> PROPER(_xlfn.CONCAT(Table13[[#This Row],[Title]]," ",Table13[[#This Row],[First Name]]," ",Table13[[#This Row],[Last Name]]))</f>
        <v>Mrs Dannie Darby</v>
      </c>
      <c r="H60" t="str">
        <f t="shared" si="0"/>
        <v>Mrs D.Darby</v>
      </c>
      <c r="I60" t="str">
        <f t="shared" si="1"/>
        <v>F</v>
      </c>
    </row>
    <row r="61" spans="1:9" x14ac:dyDescent="0.3">
      <c r="A61">
        <v>58</v>
      </c>
      <c r="B61" t="s">
        <v>214</v>
      </c>
      <c r="C61" t="s">
        <v>188</v>
      </c>
      <c r="D61" t="s">
        <v>18</v>
      </c>
      <c r="E61" t="str">
        <f>Table1[[#This Row],[Abbreviations]]</f>
        <v>Beech Street</v>
      </c>
      <c r="F61" t="s">
        <v>216</v>
      </c>
      <c r="G61" t="str">
        <f xml:space="preserve"> PROPER(_xlfn.CONCAT(Table13[[#This Row],[Title]]," ",Table13[[#This Row],[First Name]]," ",Table13[[#This Row],[Last Name]]))</f>
        <v>Miss Philomena Parson</v>
      </c>
      <c r="H61" t="str">
        <f t="shared" si="0"/>
        <v>Miss P.Parson</v>
      </c>
      <c r="I61" t="str">
        <f t="shared" si="1"/>
        <v>F</v>
      </c>
    </row>
    <row r="62" spans="1:9" x14ac:dyDescent="0.3">
      <c r="A62">
        <v>59</v>
      </c>
      <c r="B62" t="s">
        <v>217</v>
      </c>
      <c r="C62" t="s">
        <v>218</v>
      </c>
      <c r="D62" t="s">
        <v>7</v>
      </c>
      <c r="E62" t="str">
        <f>Table1[[#This Row],[Abbreviations]]</f>
        <v>Petherton Road</v>
      </c>
      <c r="F62" t="s">
        <v>219</v>
      </c>
      <c r="G62" t="str">
        <f xml:space="preserve"> PROPER(_xlfn.CONCAT(Table13[[#This Row],[Title]]," ",Table13[[#This Row],[First Name]]," ",Table13[[#This Row],[Last Name]]))</f>
        <v>Mrs Lea Perkins</v>
      </c>
      <c r="H62" t="str">
        <f t="shared" si="0"/>
        <v>Mrs L.Perkins</v>
      </c>
      <c r="I62" t="str">
        <f t="shared" si="1"/>
        <v>F</v>
      </c>
    </row>
    <row r="63" spans="1:9" x14ac:dyDescent="0.3">
      <c r="A63">
        <v>60</v>
      </c>
      <c r="B63" t="s">
        <v>82</v>
      </c>
      <c r="C63" t="s">
        <v>220</v>
      </c>
      <c r="D63" t="s">
        <v>18</v>
      </c>
      <c r="E63" t="str">
        <f>Table1[[#This Row],[Abbreviations]]</f>
        <v>Quill Cottages</v>
      </c>
      <c r="F63" t="s">
        <v>222</v>
      </c>
      <c r="G63" t="str">
        <f xml:space="preserve"> PROPER(_xlfn.CONCAT(Table13[[#This Row],[Title]]," ",Table13[[#This Row],[First Name]]," ",Table13[[#This Row],[Last Name]]))</f>
        <v>Miss Jaye Shipman</v>
      </c>
      <c r="H63" t="str">
        <f t="shared" si="0"/>
        <v>Miss J.Shipman</v>
      </c>
      <c r="I63" t="str">
        <f t="shared" si="1"/>
        <v>F</v>
      </c>
    </row>
    <row r="64" spans="1:9" x14ac:dyDescent="0.3">
      <c r="A64">
        <v>61</v>
      </c>
      <c r="B64" t="s">
        <v>223</v>
      </c>
      <c r="C64" t="s">
        <v>224</v>
      </c>
      <c r="D64" t="s">
        <v>18</v>
      </c>
      <c r="E64" t="str">
        <f>Table1[[#This Row],[Abbreviations]]</f>
        <v>Webb Place</v>
      </c>
      <c r="F64" t="s">
        <v>226</v>
      </c>
      <c r="G64" t="str">
        <f xml:space="preserve"> PROPER(_xlfn.CONCAT(Table13[[#This Row],[Title]]," ",Table13[[#This Row],[First Name]]," ",Table13[[#This Row],[Last Name]]))</f>
        <v>Miss Tifany Crockett</v>
      </c>
      <c r="H64" t="str">
        <f t="shared" si="0"/>
        <v>Miss T.Crockett</v>
      </c>
      <c r="I64" t="str">
        <f t="shared" si="1"/>
        <v>F</v>
      </c>
    </row>
    <row r="65" spans="1:9" x14ac:dyDescent="0.3">
      <c r="A65">
        <v>62</v>
      </c>
      <c r="B65" t="s">
        <v>227</v>
      </c>
      <c r="C65" t="s">
        <v>228</v>
      </c>
      <c r="D65" t="s">
        <v>18</v>
      </c>
      <c r="E65" t="str">
        <f>Table1[[#This Row],[Abbreviations]]</f>
        <v>Consort Road</v>
      </c>
      <c r="F65" t="s">
        <v>230</v>
      </c>
      <c r="G65" t="str">
        <f xml:space="preserve"> PROPER(_xlfn.CONCAT(Table13[[#This Row],[Title]]," ",Table13[[#This Row],[First Name]]," ",Table13[[#This Row],[Last Name]]))</f>
        <v>Miss Chantel England</v>
      </c>
      <c r="H65" t="str">
        <f t="shared" si="0"/>
        <v>Miss C.England</v>
      </c>
      <c r="I65" t="str">
        <f t="shared" si="1"/>
        <v>F</v>
      </c>
    </row>
    <row r="66" spans="1:9" x14ac:dyDescent="0.3">
      <c r="A66">
        <v>63</v>
      </c>
      <c r="B66" t="s">
        <v>231</v>
      </c>
      <c r="C66" t="s">
        <v>232</v>
      </c>
      <c r="D66" t="s">
        <v>18</v>
      </c>
      <c r="E66" t="str">
        <f>Table1[[#This Row],[Abbreviations]]</f>
        <v>Annie Besant</v>
      </c>
      <c r="F66" t="s">
        <v>234</v>
      </c>
      <c r="G66" t="str">
        <f xml:space="preserve"> PROPER(_xlfn.CONCAT(Table13[[#This Row],[Title]]," ",Table13[[#This Row],[First Name]]," ",Table13[[#This Row],[Last Name]]))</f>
        <v>Miss Yvonne Byrd</v>
      </c>
      <c r="H66" t="str">
        <f t="shared" si="0"/>
        <v>Miss Y.Byrd</v>
      </c>
      <c r="I66" t="str">
        <f t="shared" si="1"/>
        <v>F</v>
      </c>
    </row>
    <row r="67" spans="1:9" x14ac:dyDescent="0.3">
      <c r="A67">
        <v>64</v>
      </c>
      <c r="B67" t="s">
        <v>235</v>
      </c>
      <c r="C67" t="s">
        <v>236</v>
      </c>
      <c r="D67" t="s">
        <v>71</v>
      </c>
      <c r="E67" t="str">
        <f>Table1[[#This Row],[Abbreviations]]</f>
        <v>Winns Cottage</v>
      </c>
      <c r="F67" t="s">
        <v>238</v>
      </c>
      <c r="G67" t="str">
        <f xml:space="preserve"> PROPER(_xlfn.CONCAT(Table13[[#This Row],[Title]]," ",Table13[[#This Row],[First Name]]," ",Table13[[#This Row],[Last Name]]))</f>
        <v>Ms Glennie Newsome</v>
      </c>
      <c r="H67" t="str">
        <f t="shared" si="0"/>
        <v>Ms G.Newsome</v>
      </c>
      <c r="I67" t="str">
        <f t="shared" si="1"/>
        <v>F</v>
      </c>
    </row>
    <row r="68" spans="1:9" x14ac:dyDescent="0.3">
      <c r="A68">
        <v>65</v>
      </c>
      <c r="B68" t="s">
        <v>239</v>
      </c>
      <c r="C68" t="s">
        <v>240</v>
      </c>
      <c r="D68" t="s">
        <v>7</v>
      </c>
      <c r="E68" t="str">
        <f>Table1[[#This Row],[Abbreviations]]</f>
        <v>Maxfield Close</v>
      </c>
      <c r="F68" t="s">
        <v>241</v>
      </c>
      <c r="G68" t="str">
        <f xml:space="preserve"> PROPER(_xlfn.CONCAT(Table13[[#This Row],[Title]]," ",Table13[[#This Row],[First Name]]," ",Table13[[#This Row],[Last Name]]))</f>
        <v>Mrs Laverna Case</v>
      </c>
      <c r="H68" t="str">
        <f t="shared" ref="H68:H131" si="2">_xlfn.CONCAT(D68)&amp;" "&amp; LEFT(B68,1)&amp;"."&amp;C68</f>
        <v>Mrs L.Case</v>
      </c>
      <c r="I68" t="str">
        <f t="shared" ref="I68:I131" si="3">IF(LEFT(D68,3)="Mr","M","F")</f>
        <v>F</v>
      </c>
    </row>
    <row r="69" spans="1:9" x14ac:dyDescent="0.3">
      <c r="A69">
        <v>66</v>
      </c>
      <c r="B69" t="s">
        <v>242</v>
      </c>
      <c r="C69" t="s">
        <v>243</v>
      </c>
      <c r="D69" t="s">
        <v>7</v>
      </c>
      <c r="E69" t="str">
        <f>Table1[[#This Row],[Abbreviations]]</f>
        <v>Shap Street</v>
      </c>
      <c r="F69" t="s">
        <v>244</v>
      </c>
      <c r="G69" t="str">
        <f xml:space="preserve"> PROPER(_xlfn.CONCAT(Table13[[#This Row],[Title]]," ",Table13[[#This Row],[First Name]]," ",Table13[[#This Row],[Last Name]]))</f>
        <v>Mrs Serita Quintero</v>
      </c>
      <c r="H69" t="str">
        <f t="shared" si="2"/>
        <v>Mrs S.Quintero</v>
      </c>
      <c r="I69" t="str">
        <f t="shared" si="3"/>
        <v>F</v>
      </c>
    </row>
    <row r="70" spans="1:9" x14ac:dyDescent="0.3">
      <c r="A70">
        <v>67</v>
      </c>
      <c r="B70" t="s">
        <v>245</v>
      </c>
      <c r="C70" t="s">
        <v>246</v>
      </c>
      <c r="D70" t="s">
        <v>7</v>
      </c>
      <c r="E70" t="str">
        <f>Table1[[#This Row],[Abbreviations]]</f>
        <v>Saunders Way</v>
      </c>
      <c r="F70" t="s">
        <v>248</v>
      </c>
      <c r="G70" t="str">
        <f xml:space="preserve"> PROPER(_xlfn.CONCAT(Table13[[#This Row],[Title]]," ",Table13[[#This Row],[First Name]]," ",Table13[[#This Row],[Last Name]]))</f>
        <v>Mrs Zina Sexton</v>
      </c>
      <c r="H70" t="str">
        <f t="shared" si="2"/>
        <v>Mrs Z.Sexton</v>
      </c>
      <c r="I70" t="str">
        <f t="shared" si="3"/>
        <v>F</v>
      </c>
    </row>
    <row r="71" spans="1:9" x14ac:dyDescent="0.3">
      <c r="A71">
        <v>68</v>
      </c>
      <c r="B71" t="s">
        <v>249</v>
      </c>
      <c r="C71" t="s">
        <v>250</v>
      </c>
      <c r="D71" t="s">
        <v>18</v>
      </c>
      <c r="E71" t="str">
        <f>Table1[[#This Row],[Abbreviations]]</f>
        <v>Georges Place</v>
      </c>
      <c r="F71" t="s">
        <v>252</v>
      </c>
      <c r="G71" t="str">
        <f xml:space="preserve"> PROPER(_xlfn.CONCAT(Table13[[#This Row],[Title]]," ",Table13[[#This Row],[First Name]]," ",Table13[[#This Row],[Last Name]]))</f>
        <v>Miss Jeanetta Coates</v>
      </c>
      <c r="H71" t="str">
        <f t="shared" si="2"/>
        <v>Miss J.Coates</v>
      </c>
      <c r="I71" t="str">
        <f t="shared" si="3"/>
        <v>F</v>
      </c>
    </row>
    <row r="72" spans="1:9" x14ac:dyDescent="0.3">
      <c r="A72">
        <v>69</v>
      </c>
      <c r="B72" t="s">
        <v>253</v>
      </c>
      <c r="C72" t="s">
        <v>112</v>
      </c>
      <c r="D72" t="s">
        <v>7</v>
      </c>
      <c r="E72" t="str">
        <f>Table1[[#This Row],[Abbreviations]]</f>
        <v>Stonard Road</v>
      </c>
      <c r="F72" t="s">
        <v>255</v>
      </c>
      <c r="G72" t="str">
        <f xml:space="preserve"> PROPER(_xlfn.CONCAT(Table13[[#This Row],[Title]]," ",Table13[[#This Row],[First Name]]," ",Table13[[#This Row],[Last Name]]))</f>
        <v>Mrs Jerica Pryor</v>
      </c>
      <c r="H72" t="str">
        <f t="shared" si="2"/>
        <v>Mrs J.Pryor</v>
      </c>
      <c r="I72" t="str">
        <f t="shared" si="3"/>
        <v>F</v>
      </c>
    </row>
    <row r="73" spans="1:9" x14ac:dyDescent="0.3">
      <c r="A73">
        <v>70</v>
      </c>
      <c r="B73" t="s">
        <v>256</v>
      </c>
      <c r="C73" t="s">
        <v>257</v>
      </c>
      <c r="D73" t="s">
        <v>7</v>
      </c>
      <c r="E73" t="str">
        <f>Table1[[#This Row],[Abbreviations]]</f>
        <v>Austin Friars</v>
      </c>
      <c r="F73" t="s">
        <v>259</v>
      </c>
      <c r="G73" t="str">
        <f xml:space="preserve"> PROPER(_xlfn.CONCAT(Table13[[#This Row],[Title]]," ",Table13[[#This Row],[First Name]]," ",Table13[[#This Row],[Last Name]]))</f>
        <v>Mrs Lavonna Bonner</v>
      </c>
      <c r="H73" t="str">
        <f t="shared" si="2"/>
        <v>Mrs L.Bonner</v>
      </c>
      <c r="I73" t="str">
        <f t="shared" si="3"/>
        <v>F</v>
      </c>
    </row>
    <row r="74" spans="1:9" x14ac:dyDescent="0.3">
      <c r="A74">
        <v>71</v>
      </c>
      <c r="B74" t="s">
        <v>260</v>
      </c>
      <c r="C74" t="s">
        <v>261</v>
      </c>
      <c r="D74" t="s">
        <v>7</v>
      </c>
      <c r="E74" t="str">
        <f>Table1[[#This Row],[Abbreviations]]</f>
        <v>Bellot Gardens</v>
      </c>
      <c r="F74" t="s">
        <v>263</v>
      </c>
      <c r="G74" t="str">
        <f xml:space="preserve"> PROPER(_xlfn.CONCAT(Table13[[#This Row],[Title]]," ",Table13[[#This Row],[First Name]]," ",Table13[[#This Row],[Last Name]]))</f>
        <v>Mrs Demetra Payton</v>
      </c>
      <c r="H74" t="str">
        <f t="shared" si="2"/>
        <v>Mrs D.Payton</v>
      </c>
      <c r="I74" t="str">
        <f t="shared" si="3"/>
        <v>F</v>
      </c>
    </row>
    <row r="75" spans="1:9" x14ac:dyDescent="0.3">
      <c r="A75">
        <v>72</v>
      </c>
      <c r="B75" t="s">
        <v>264</v>
      </c>
      <c r="C75" t="s">
        <v>265</v>
      </c>
      <c r="D75" t="s">
        <v>18</v>
      </c>
      <c r="E75" t="str">
        <f>Table1[[#This Row],[Abbreviations]]</f>
        <v>Vant Road</v>
      </c>
      <c r="F75" t="s">
        <v>266</v>
      </c>
      <c r="G75" t="str">
        <f xml:space="preserve"> PROPER(_xlfn.CONCAT(Table13[[#This Row],[Title]]," ",Table13[[#This Row],[First Name]]," ",Table13[[#This Row],[Last Name]]))</f>
        <v>Miss Mickey Abel</v>
      </c>
      <c r="H75" t="str">
        <f t="shared" si="2"/>
        <v>Miss M.Abel</v>
      </c>
      <c r="I75" t="str">
        <f t="shared" si="3"/>
        <v>F</v>
      </c>
    </row>
    <row r="76" spans="1:9" x14ac:dyDescent="0.3">
      <c r="A76">
        <v>73</v>
      </c>
      <c r="B76" t="s">
        <v>267</v>
      </c>
      <c r="C76" t="s">
        <v>268</v>
      </c>
      <c r="D76" t="s">
        <v>18</v>
      </c>
      <c r="E76" t="str">
        <f>Table1[[#This Row],[Abbreviations]]</f>
        <v>Abbott Av</v>
      </c>
      <c r="F76" t="s">
        <v>269</v>
      </c>
      <c r="G76" t="str">
        <f xml:space="preserve"> PROPER(_xlfn.CONCAT(Table13[[#This Row],[Title]]," ",Table13[[#This Row],[First Name]]," ",Table13[[#This Row],[Last Name]]))</f>
        <v>Miss Evelynn Woodard</v>
      </c>
      <c r="H76" t="str">
        <f t="shared" si="2"/>
        <v>Miss E.Woodard</v>
      </c>
      <c r="I76" t="str">
        <f t="shared" si="3"/>
        <v>F</v>
      </c>
    </row>
    <row r="77" spans="1:9" x14ac:dyDescent="0.3">
      <c r="A77">
        <v>74</v>
      </c>
      <c r="B77" t="s">
        <v>270</v>
      </c>
      <c r="C77" t="s">
        <v>271</v>
      </c>
      <c r="D77" t="s">
        <v>7</v>
      </c>
      <c r="E77" t="str">
        <f>Table1[[#This Row],[Abbreviations]]</f>
        <v>Bucharest Road</v>
      </c>
      <c r="F77" t="s">
        <v>273</v>
      </c>
      <c r="G77" t="str">
        <f xml:space="preserve"> PROPER(_xlfn.CONCAT(Table13[[#This Row],[Title]]," ",Table13[[#This Row],[First Name]]," ",Table13[[#This Row],[Last Name]]))</f>
        <v>Mrs Latina Roy</v>
      </c>
      <c r="H77" t="str">
        <f t="shared" si="2"/>
        <v>Mrs L.Roy</v>
      </c>
      <c r="I77" t="str">
        <f t="shared" si="3"/>
        <v>F</v>
      </c>
    </row>
    <row r="78" spans="1:9" x14ac:dyDescent="0.3">
      <c r="A78">
        <v>75</v>
      </c>
      <c r="B78" t="s">
        <v>274</v>
      </c>
      <c r="C78" t="s">
        <v>275</v>
      </c>
      <c r="D78" t="s">
        <v>7</v>
      </c>
      <c r="E78" t="str">
        <f>Table1[[#This Row],[Abbreviations]]</f>
        <v>Sawyer Close</v>
      </c>
      <c r="F78" t="s">
        <v>277</v>
      </c>
      <c r="G78" t="str">
        <f xml:space="preserve"> PROPER(_xlfn.CONCAT(Table13[[#This Row],[Title]]," ",Table13[[#This Row],[First Name]]," ",Table13[[#This Row],[Last Name]]))</f>
        <v>Mrs Hermelinda Medeiros</v>
      </c>
      <c r="H78" t="str">
        <f t="shared" si="2"/>
        <v>Mrs H.Medeiros</v>
      </c>
      <c r="I78" t="str">
        <f t="shared" si="3"/>
        <v>F</v>
      </c>
    </row>
    <row r="79" spans="1:9" x14ac:dyDescent="0.3">
      <c r="A79">
        <v>76</v>
      </c>
      <c r="B79" t="s">
        <v>278</v>
      </c>
      <c r="C79" t="s">
        <v>279</v>
      </c>
      <c r="D79" t="s">
        <v>7</v>
      </c>
      <c r="E79" t="str">
        <f>Table1[[#This Row],[Abbreviations]]</f>
        <v>Glass Street</v>
      </c>
      <c r="F79" t="s">
        <v>281</v>
      </c>
      <c r="G79" t="str">
        <f xml:space="preserve"> PROPER(_xlfn.CONCAT(Table13[[#This Row],[Title]]," ",Table13[[#This Row],[First Name]]," ",Table13[[#This Row],[Last Name]]))</f>
        <v>Mrs Corrin Abrams</v>
      </c>
      <c r="H79" t="str">
        <f t="shared" si="2"/>
        <v>Mrs C.Abrams</v>
      </c>
      <c r="I79" t="str">
        <f t="shared" si="3"/>
        <v>F</v>
      </c>
    </row>
    <row r="80" spans="1:9" x14ac:dyDescent="0.3">
      <c r="A80">
        <v>77</v>
      </c>
      <c r="B80" t="s">
        <v>282</v>
      </c>
      <c r="C80" t="s">
        <v>283</v>
      </c>
      <c r="D80" t="s">
        <v>18</v>
      </c>
      <c r="E80" t="str">
        <f>Table1[[#This Row],[Abbreviations]]</f>
        <v>Walmington Fold</v>
      </c>
      <c r="F80" t="s">
        <v>285</v>
      </c>
      <c r="G80" t="str">
        <f xml:space="preserve"> PROPER(_xlfn.CONCAT(Table13[[#This Row],[Title]]," ",Table13[[#This Row],[First Name]]," ",Table13[[#This Row],[Last Name]]))</f>
        <v>Miss Malena Zavala</v>
      </c>
      <c r="H80" t="str">
        <f t="shared" si="2"/>
        <v>Miss M.Zavala</v>
      </c>
      <c r="I80" t="str">
        <f t="shared" si="3"/>
        <v>F</v>
      </c>
    </row>
    <row r="81" spans="1:9" x14ac:dyDescent="0.3">
      <c r="A81">
        <v>78</v>
      </c>
      <c r="B81" t="s">
        <v>286</v>
      </c>
      <c r="C81" t="s">
        <v>287</v>
      </c>
      <c r="D81" t="s">
        <v>71</v>
      </c>
      <c r="E81" t="str">
        <f>Table1[[#This Row],[Abbreviations]]</f>
        <v>Plantain Place</v>
      </c>
      <c r="F81" t="s">
        <v>289</v>
      </c>
      <c r="G81" t="str">
        <f xml:space="preserve"> PROPER(_xlfn.CONCAT(Table13[[#This Row],[Title]]," ",Table13[[#This Row],[First Name]]," ",Table13[[#This Row],[Last Name]]))</f>
        <v>Ms Rutha Pope</v>
      </c>
      <c r="H81" t="str">
        <f t="shared" si="2"/>
        <v>Ms R.Pope</v>
      </c>
      <c r="I81" t="str">
        <f t="shared" si="3"/>
        <v>F</v>
      </c>
    </row>
    <row r="82" spans="1:9" x14ac:dyDescent="0.3">
      <c r="A82">
        <v>79</v>
      </c>
      <c r="B82" t="s">
        <v>290</v>
      </c>
      <c r="C82" t="s">
        <v>291</v>
      </c>
      <c r="D82" t="s">
        <v>7</v>
      </c>
      <c r="E82" t="str">
        <f>Table1[[#This Row],[Abbreviations]]</f>
        <v>Celtic Street</v>
      </c>
      <c r="F82" t="s">
        <v>248</v>
      </c>
      <c r="G82" t="str">
        <f xml:space="preserve"> PROPER(_xlfn.CONCAT(Table13[[#This Row],[Title]]," ",Table13[[#This Row],[First Name]]," ",Table13[[#This Row],[Last Name]]))</f>
        <v>Mrs Artie Freeman</v>
      </c>
      <c r="H82" t="str">
        <f t="shared" si="2"/>
        <v>Mrs A.Freeman</v>
      </c>
      <c r="I82" t="str">
        <f t="shared" si="3"/>
        <v>F</v>
      </c>
    </row>
    <row r="83" spans="1:9" x14ac:dyDescent="0.3">
      <c r="A83">
        <v>80</v>
      </c>
      <c r="B83" t="s">
        <v>293</v>
      </c>
      <c r="C83" t="s">
        <v>294</v>
      </c>
      <c r="D83" t="s">
        <v>18</v>
      </c>
      <c r="E83" t="str">
        <f>Table1[[#This Row],[Abbreviations]]</f>
        <v>Nelldale Road</v>
      </c>
      <c r="F83" t="s">
        <v>296</v>
      </c>
      <c r="G83" t="str">
        <f xml:space="preserve"> PROPER(_xlfn.CONCAT(Table13[[#This Row],[Title]]," ",Table13[[#This Row],[First Name]]," ",Table13[[#This Row],[Last Name]]))</f>
        <v>Miss Inell Burks</v>
      </c>
      <c r="H83" t="str">
        <f t="shared" si="2"/>
        <v>Miss I.Burks</v>
      </c>
      <c r="I83" t="str">
        <f t="shared" si="3"/>
        <v>F</v>
      </c>
    </row>
    <row r="84" spans="1:9" x14ac:dyDescent="0.3">
      <c r="A84">
        <v>81</v>
      </c>
      <c r="B84" t="s">
        <v>297</v>
      </c>
      <c r="C84" t="s">
        <v>298</v>
      </c>
      <c r="D84" t="s">
        <v>18</v>
      </c>
      <c r="E84" t="str">
        <f>Table1[[#This Row],[Abbreviations]]</f>
        <v>Morgana Villa</v>
      </c>
      <c r="F84" t="s">
        <v>300</v>
      </c>
      <c r="G84" t="str">
        <f xml:space="preserve"> PROPER(_xlfn.CONCAT(Table13[[#This Row],[Title]]," ",Table13[[#This Row],[First Name]]," ",Table13[[#This Row],[Last Name]]))</f>
        <v>Miss Camellia Santos</v>
      </c>
      <c r="H84" t="str">
        <f t="shared" si="2"/>
        <v>Miss C.Santos</v>
      </c>
      <c r="I84" t="str">
        <f t="shared" si="3"/>
        <v>F</v>
      </c>
    </row>
    <row r="85" spans="1:9" x14ac:dyDescent="0.3">
      <c r="A85">
        <v>82</v>
      </c>
      <c r="B85" t="s">
        <v>301</v>
      </c>
      <c r="C85" t="s">
        <v>6</v>
      </c>
      <c r="D85" t="s">
        <v>7</v>
      </c>
      <c r="E85" t="str">
        <f>Table1[[#This Row],[Abbreviations]]</f>
        <v>Gedling Street</v>
      </c>
      <c r="F85" t="s">
        <v>156</v>
      </c>
      <c r="G85" t="str">
        <f xml:space="preserve"> PROPER(_xlfn.CONCAT(Table13[[#This Row],[Title]]," ",Table13[[#This Row],[First Name]]," ",Table13[[#This Row],[Last Name]]))</f>
        <v>Mrs Nettie Camp</v>
      </c>
      <c r="H85" t="str">
        <f t="shared" si="2"/>
        <v>Mrs N.Camp</v>
      </c>
      <c r="I85" t="str">
        <f t="shared" si="3"/>
        <v>F</v>
      </c>
    </row>
    <row r="86" spans="1:9" x14ac:dyDescent="0.3">
      <c r="A86">
        <v>83</v>
      </c>
      <c r="B86" t="s">
        <v>303</v>
      </c>
      <c r="C86" t="s">
        <v>304</v>
      </c>
      <c r="D86" t="s">
        <v>7</v>
      </c>
      <c r="E86" t="str">
        <f>Table1[[#This Row],[Abbreviations]]</f>
        <v>Drivers Buildings</v>
      </c>
      <c r="F86" t="s">
        <v>49</v>
      </c>
      <c r="G86" t="str">
        <f xml:space="preserve"> PROPER(_xlfn.CONCAT(Table13[[#This Row],[Title]]," ",Table13[[#This Row],[First Name]]," ",Table13[[#This Row],[Last Name]]))</f>
        <v>Mrs Debby Whitfield</v>
      </c>
      <c r="H86" t="str">
        <f t="shared" si="2"/>
        <v>Mrs D.Whitfield</v>
      </c>
      <c r="I86" t="str">
        <f t="shared" si="3"/>
        <v>F</v>
      </c>
    </row>
    <row r="87" spans="1:9" x14ac:dyDescent="0.3">
      <c r="A87">
        <v>84</v>
      </c>
      <c r="B87" t="s">
        <v>306</v>
      </c>
      <c r="C87" t="s">
        <v>307</v>
      </c>
      <c r="D87" t="s">
        <v>71</v>
      </c>
      <c r="E87" t="str">
        <f>Table1[[#This Row],[Abbreviations]]</f>
        <v>Fulford Street</v>
      </c>
      <c r="F87" t="s">
        <v>309</v>
      </c>
      <c r="G87" t="str">
        <f xml:space="preserve"> PROPER(_xlfn.CONCAT(Table13[[#This Row],[Title]]," ",Table13[[#This Row],[First Name]]," ",Table13[[#This Row],[Last Name]]))</f>
        <v>Ms Penni Rollins</v>
      </c>
      <c r="H87" t="str">
        <f t="shared" si="2"/>
        <v>Ms P.Rollins</v>
      </c>
      <c r="I87" t="str">
        <f t="shared" si="3"/>
        <v>F</v>
      </c>
    </row>
    <row r="88" spans="1:9" x14ac:dyDescent="0.3">
      <c r="A88">
        <v>85</v>
      </c>
      <c r="B88" t="s">
        <v>310</v>
      </c>
      <c r="C88" t="s">
        <v>311</v>
      </c>
      <c r="D88" t="s">
        <v>7</v>
      </c>
      <c r="E88" t="str">
        <f>Table1[[#This Row],[Abbreviations]]</f>
        <v>Meredith Place</v>
      </c>
      <c r="F88" t="s">
        <v>313</v>
      </c>
      <c r="G88" t="str">
        <f xml:space="preserve"> PROPER(_xlfn.CONCAT(Table13[[#This Row],[Title]]," ",Table13[[#This Row],[First Name]]," ",Table13[[#This Row],[Last Name]]))</f>
        <v>Mrs Patrick Duncan</v>
      </c>
      <c r="H88" t="str">
        <f t="shared" si="2"/>
        <v>Mrs P.Duncan</v>
      </c>
      <c r="I88" t="str">
        <f t="shared" si="3"/>
        <v>F</v>
      </c>
    </row>
    <row r="89" spans="1:9" x14ac:dyDescent="0.3">
      <c r="A89">
        <v>86</v>
      </c>
      <c r="B89" t="s">
        <v>314</v>
      </c>
      <c r="C89" t="s">
        <v>59</v>
      </c>
      <c r="D89" t="s">
        <v>18</v>
      </c>
      <c r="E89" t="str">
        <f>Table1[[#This Row],[Abbreviations]]</f>
        <v>Burslem Street</v>
      </c>
      <c r="F89" t="s">
        <v>315</v>
      </c>
      <c r="G89" t="str">
        <f xml:space="preserve"> PROPER(_xlfn.CONCAT(Table13[[#This Row],[Title]]," ",Table13[[#This Row],[First Name]]," ",Table13[[#This Row],[Last Name]]))</f>
        <v>Miss Nena Wright</v>
      </c>
      <c r="H89" t="str">
        <f t="shared" si="2"/>
        <v>Miss N.Wright</v>
      </c>
      <c r="I89" t="str">
        <f t="shared" si="3"/>
        <v>F</v>
      </c>
    </row>
    <row r="90" spans="1:9" x14ac:dyDescent="0.3">
      <c r="A90">
        <v>87</v>
      </c>
      <c r="B90" t="s">
        <v>316</v>
      </c>
      <c r="C90" t="s">
        <v>317</v>
      </c>
      <c r="D90" t="s">
        <v>318</v>
      </c>
      <c r="E90" t="str">
        <f>Table1[[#This Row],[Abbreviations]]</f>
        <v>Knivet Road</v>
      </c>
      <c r="F90" t="s">
        <v>320</v>
      </c>
      <c r="G90" t="str">
        <f xml:space="preserve"> PROPER(_xlfn.CONCAT(Table13[[#This Row],[Title]]," ",Table13[[#This Row],[First Name]]," ",Table13[[#This Row],[Last Name]]))</f>
        <v>Dr Janell Wiggins</v>
      </c>
      <c r="H90" t="str">
        <f t="shared" si="2"/>
        <v>Dr J.Wiggins</v>
      </c>
      <c r="I90" t="str">
        <f t="shared" si="3"/>
        <v>F</v>
      </c>
    </row>
    <row r="91" spans="1:9" x14ac:dyDescent="0.3">
      <c r="A91">
        <v>88</v>
      </c>
      <c r="B91" t="s">
        <v>321</v>
      </c>
      <c r="C91" t="s">
        <v>322</v>
      </c>
      <c r="D91" t="s">
        <v>18</v>
      </c>
      <c r="E91" t="str">
        <f>Table1[[#This Row],[Abbreviations]]</f>
        <v>Frome Street</v>
      </c>
      <c r="F91" t="s">
        <v>324</v>
      </c>
      <c r="G91" t="str">
        <f xml:space="preserve"> PROPER(_xlfn.CONCAT(Table13[[#This Row],[Title]]," ",Table13[[#This Row],[First Name]]," ",Table13[[#This Row],[Last Name]]))</f>
        <v>Miss Rossie Mccain</v>
      </c>
      <c r="H91" t="str">
        <f t="shared" si="2"/>
        <v>Miss R.Mccain</v>
      </c>
      <c r="I91" t="str">
        <f t="shared" si="3"/>
        <v>F</v>
      </c>
    </row>
    <row r="92" spans="1:9" x14ac:dyDescent="0.3">
      <c r="A92">
        <v>89</v>
      </c>
      <c r="B92" t="s">
        <v>325</v>
      </c>
      <c r="C92" t="s">
        <v>326</v>
      </c>
      <c r="D92" t="s">
        <v>18</v>
      </c>
      <c r="E92" t="str">
        <f>Table1[[#This Row],[Abbreviations]]</f>
        <v>Kenninghall Road</v>
      </c>
      <c r="F92" t="s">
        <v>324</v>
      </c>
      <c r="G92" t="str">
        <f xml:space="preserve"> PROPER(_xlfn.CONCAT(Table13[[#This Row],[Title]]," ",Table13[[#This Row],[First Name]]," ",Table13[[#This Row],[Last Name]]))</f>
        <v>Miss Ollie Fischer</v>
      </c>
      <c r="H92" t="str">
        <f t="shared" si="2"/>
        <v>Miss O.Fischer</v>
      </c>
      <c r="I92" t="str">
        <f t="shared" si="3"/>
        <v>F</v>
      </c>
    </row>
    <row r="93" spans="1:9" x14ac:dyDescent="0.3">
      <c r="A93">
        <v>90</v>
      </c>
      <c r="B93" t="s">
        <v>328</v>
      </c>
      <c r="C93" t="s">
        <v>329</v>
      </c>
      <c r="D93" t="s">
        <v>18</v>
      </c>
      <c r="E93" t="str">
        <f>Table1[[#This Row],[Abbreviations]]</f>
        <v>Ashingdon Close</v>
      </c>
      <c r="F93" t="s">
        <v>331</v>
      </c>
      <c r="G93" t="str">
        <f xml:space="preserve"> PROPER(_xlfn.CONCAT(Table13[[#This Row],[Title]]," ",Table13[[#This Row],[First Name]]," ",Table13[[#This Row],[Last Name]]))</f>
        <v>Miss Jodie Paulson</v>
      </c>
      <c r="H93" t="str">
        <f t="shared" si="2"/>
        <v>Miss J.Paulson</v>
      </c>
      <c r="I93" t="str">
        <f t="shared" si="3"/>
        <v>F</v>
      </c>
    </row>
    <row r="94" spans="1:9" x14ac:dyDescent="0.3">
      <c r="A94">
        <v>91</v>
      </c>
      <c r="B94" t="s">
        <v>332</v>
      </c>
      <c r="C94" t="s">
        <v>333</v>
      </c>
      <c r="D94" t="s">
        <v>18</v>
      </c>
      <c r="E94" t="str">
        <f>Table1[[#This Row],[Abbreviations]]</f>
        <v>Birchfield Street</v>
      </c>
      <c r="F94" t="s">
        <v>335</v>
      </c>
      <c r="G94" t="str">
        <f xml:space="preserve"> PROPER(_xlfn.CONCAT(Table13[[#This Row],[Title]]," ",Table13[[#This Row],[First Name]]," ",Table13[[#This Row],[Last Name]]))</f>
        <v>Miss Marquitta Durham</v>
      </c>
      <c r="H94" t="str">
        <f t="shared" si="2"/>
        <v>Miss M.Durham</v>
      </c>
      <c r="I94" t="str">
        <f t="shared" si="3"/>
        <v>F</v>
      </c>
    </row>
    <row r="95" spans="1:9" x14ac:dyDescent="0.3">
      <c r="A95">
        <v>92</v>
      </c>
      <c r="B95" t="s">
        <v>336</v>
      </c>
      <c r="C95" t="s">
        <v>337</v>
      </c>
      <c r="D95" t="s">
        <v>18</v>
      </c>
      <c r="E95" t="str">
        <f>Table1[[#This Row],[Abbreviations]]</f>
        <v>Chancellors Court</v>
      </c>
      <c r="F95" t="s">
        <v>339</v>
      </c>
      <c r="G95" t="str">
        <f xml:space="preserve"> PROPER(_xlfn.CONCAT(Table13[[#This Row],[Title]]," ",Table13[[#This Row],[First Name]]," ",Table13[[#This Row],[Last Name]]))</f>
        <v>Miss Consuelo Knight</v>
      </c>
      <c r="H95" t="str">
        <f t="shared" si="2"/>
        <v>Miss C.Knight</v>
      </c>
      <c r="I95" t="str">
        <f t="shared" si="3"/>
        <v>F</v>
      </c>
    </row>
    <row r="96" spans="1:9" x14ac:dyDescent="0.3">
      <c r="A96">
        <v>93</v>
      </c>
      <c r="B96" t="s">
        <v>340</v>
      </c>
      <c r="C96" t="s">
        <v>136</v>
      </c>
      <c r="D96" t="s">
        <v>7</v>
      </c>
      <c r="E96" t="str">
        <f>Table1[[#This Row],[Abbreviations]]</f>
        <v>Keetons Road</v>
      </c>
      <c r="F96" t="s">
        <v>342</v>
      </c>
      <c r="G96" t="str">
        <f xml:space="preserve"> PROPER(_xlfn.CONCAT(Table13[[#This Row],[Title]]," ",Table13[[#This Row],[First Name]]," ",Table13[[#This Row],[Last Name]]))</f>
        <v>Mrs Verlie Akers</v>
      </c>
      <c r="H96" t="str">
        <f t="shared" si="2"/>
        <v>Mrs V.Akers</v>
      </c>
      <c r="I96" t="str">
        <f t="shared" si="3"/>
        <v>F</v>
      </c>
    </row>
    <row r="97" spans="1:9" x14ac:dyDescent="0.3">
      <c r="A97">
        <v>94</v>
      </c>
      <c r="B97" t="s">
        <v>343</v>
      </c>
      <c r="C97" t="s">
        <v>344</v>
      </c>
      <c r="D97" t="s">
        <v>18</v>
      </c>
      <c r="E97" t="str">
        <f>Table1[[#This Row],[Abbreviations]]</f>
        <v>Kidd Place</v>
      </c>
      <c r="F97" t="s">
        <v>346</v>
      </c>
      <c r="G97" t="str">
        <f xml:space="preserve"> PROPER(_xlfn.CONCAT(Table13[[#This Row],[Title]]," ",Table13[[#This Row],[First Name]]," ",Table13[[#This Row],[Last Name]]))</f>
        <v>Miss Waneta Klein</v>
      </c>
      <c r="H97" t="str">
        <f t="shared" si="2"/>
        <v>Miss W.Klein</v>
      </c>
      <c r="I97" t="str">
        <f t="shared" si="3"/>
        <v>F</v>
      </c>
    </row>
    <row r="98" spans="1:9" x14ac:dyDescent="0.3">
      <c r="A98">
        <v>95</v>
      </c>
      <c r="B98" t="s">
        <v>347</v>
      </c>
      <c r="C98" t="s">
        <v>348</v>
      </c>
      <c r="D98" t="s">
        <v>71</v>
      </c>
      <c r="E98" t="str">
        <f>Table1[[#This Row],[Abbreviations]]</f>
        <v>Little Lemon</v>
      </c>
      <c r="F98" t="s">
        <v>350</v>
      </c>
      <c r="G98" t="str">
        <f xml:space="preserve"> PROPER(_xlfn.CONCAT(Table13[[#This Row],[Title]]," ",Table13[[#This Row],[First Name]]," ",Table13[[#This Row],[Last Name]]))</f>
        <v>Ms Jadwiga Contreras</v>
      </c>
      <c r="H98" t="str">
        <f t="shared" si="2"/>
        <v>Ms J.Contreras</v>
      </c>
      <c r="I98" t="str">
        <f t="shared" si="3"/>
        <v>F</v>
      </c>
    </row>
    <row r="99" spans="1:9" x14ac:dyDescent="0.3">
      <c r="A99">
        <v>96</v>
      </c>
      <c r="B99" t="s">
        <v>351</v>
      </c>
      <c r="C99" t="s">
        <v>352</v>
      </c>
      <c r="D99" t="s">
        <v>71</v>
      </c>
      <c r="E99" t="str">
        <f>Table1[[#This Row],[Abbreviations]]</f>
        <v>Little New</v>
      </c>
      <c r="F99" t="s">
        <v>354</v>
      </c>
      <c r="G99" t="str">
        <f xml:space="preserve"> PROPER(_xlfn.CONCAT(Table13[[#This Row],[Title]]," ",Table13[[#This Row],[First Name]]," ",Table13[[#This Row],[Last Name]]))</f>
        <v>Ms Catherina Galvan</v>
      </c>
      <c r="H99" t="str">
        <f t="shared" si="2"/>
        <v>Ms C.Galvan</v>
      </c>
      <c r="I99" t="str">
        <f t="shared" si="3"/>
        <v>F</v>
      </c>
    </row>
    <row r="100" spans="1:9" x14ac:dyDescent="0.3">
      <c r="A100">
        <v>97</v>
      </c>
      <c r="B100" t="s">
        <v>355</v>
      </c>
      <c r="C100" t="s">
        <v>356</v>
      </c>
      <c r="D100" t="s">
        <v>7</v>
      </c>
      <c r="E100" t="str">
        <f>Table1[[#This Row],[Abbreviations]]</f>
        <v>Templecombe Road</v>
      </c>
      <c r="F100" t="s">
        <v>358</v>
      </c>
      <c r="G100" t="str">
        <f xml:space="preserve"> PROPER(_xlfn.CONCAT(Table13[[#This Row],[Title]]," ",Table13[[#This Row],[First Name]]," ",Table13[[#This Row],[Last Name]]))</f>
        <v>Mrs Leslie Hobson</v>
      </c>
      <c r="H100" t="str">
        <f t="shared" si="2"/>
        <v>Mrs L.Hobson</v>
      </c>
      <c r="I100" t="str">
        <f t="shared" si="3"/>
        <v>F</v>
      </c>
    </row>
    <row r="101" spans="1:9" x14ac:dyDescent="0.3">
      <c r="A101">
        <v>98</v>
      </c>
      <c r="B101" t="s">
        <v>359</v>
      </c>
      <c r="C101" t="s">
        <v>360</v>
      </c>
      <c r="D101" t="s">
        <v>18</v>
      </c>
      <c r="E101" t="str">
        <f>Table1[[#This Row],[Abbreviations]]</f>
        <v>Warner Road</v>
      </c>
      <c r="F101" t="s">
        <v>361</v>
      </c>
      <c r="G101" t="str">
        <f xml:space="preserve"> PROPER(_xlfn.CONCAT(Table13[[#This Row],[Title]]," ",Table13[[#This Row],[First Name]]," ",Table13[[#This Row],[Last Name]]))</f>
        <v>Miss Jona Mcneill</v>
      </c>
      <c r="H101" t="str">
        <f t="shared" si="2"/>
        <v>Miss J.Mcneill</v>
      </c>
      <c r="I101" t="str">
        <f t="shared" si="3"/>
        <v>F</v>
      </c>
    </row>
    <row r="102" spans="1:9" x14ac:dyDescent="0.3">
      <c r="A102">
        <v>99</v>
      </c>
      <c r="B102" t="s">
        <v>362</v>
      </c>
      <c r="C102" t="s">
        <v>363</v>
      </c>
      <c r="D102" t="s">
        <v>7</v>
      </c>
      <c r="E102" t="str">
        <f>Table1[[#This Row],[Abbreviations]]</f>
        <v>Du Burstow</v>
      </c>
      <c r="F102" t="s">
        <v>365</v>
      </c>
      <c r="G102" t="str">
        <f xml:space="preserve"> PROPER(_xlfn.CONCAT(Table13[[#This Row],[Title]]," ",Table13[[#This Row],[First Name]]," ",Table13[[#This Row],[Last Name]]))</f>
        <v>Mrs Phylis Starks</v>
      </c>
      <c r="H102" t="str">
        <f t="shared" si="2"/>
        <v>Mrs P.Starks</v>
      </c>
      <c r="I102" t="str">
        <f t="shared" si="3"/>
        <v>F</v>
      </c>
    </row>
    <row r="103" spans="1:9" x14ac:dyDescent="0.3">
      <c r="A103">
        <v>100</v>
      </c>
      <c r="B103" t="s">
        <v>366</v>
      </c>
      <c r="C103" t="s">
        <v>367</v>
      </c>
      <c r="D103" t="s">
        <v>18</v>
      </c>
      <c r="E103" t="str">
        <f>Table1[[#This Row],[Abbreviations]]</f>
        <v>Vine Cottages</v>
      </c>
      <c r="F103" t="s">
        <v>369</v>
      </c>
      <c r="G103" t="str">
        <f xml:space="preserve"> PROPER(_xlfn.CONCAT(Table13[[#This Row],[Title]]," ",Table13[[#This Row],[First Name]]," ",Table13[[#This Row],[Last Name]]))</f>
        <v>Miss Chasidy Pittman</v>
      </c>
      <c r="H103" t="str">
        <f t="shared" si="2"/>
        <v>Miss C.Pittman</v>
      </c>
      <c r="I103" t="str">
        <f t="shared" si="3"/>
        <v>F</v>
      </c>
    </row>
    <row r="104" spans="1:9" x14ac:dyDescent="0.3">
      <c r="A104">
        <v>101</v>
      </c>
      <c r="B104" t="s">
        <v>704</v>
      </c>
      <c r="C104" t="s">
        <v>705</v>
      </c>
      <c r="D104" t="s">
        <v>318</v>
      </c>
      <c r="E104" t="str">
        <f>Table1[[#This Row],[Abbreviations]]</f>
        <v>Roger Harriss</v>
      </c>
      <c r="F104" t="s">
        <v>707</v>
      </c>
      <c r="G104" t="str">
        <f xml:space="preserve"> PROPER(_xlfn.CONCAT(Table13[[#This Row],[Title]]," ",Table13[[#This Row],[First Name]]," ",Table13[[#This Row],[Last Name]]))</f>
        <v>Dr Tisa Tyson</v>
      </c>
      <c r="H104" t="str">
        <f t="shared" si="2"/>
        <v>Dr T.Tyson</v>
      </c>
      <c r="I104" t="str">
        <f t="shared" si="3"/>
        <v>F</v>
      </c>
    </row>
    <row r="105" spans="1:9" x14ac:dyDescent="0.3">
      <c r="A105">
        <v>102</v>
      </c>
      <c r="B105" t="s">
        <v>708</v>
      </c>
      <c r="C105" t="s">
        <v>564</v>
      </c>
      <c r="D105" t="s">
        <v>7</v>
      </c>
      <c r="E105" t="str">
        <f>Table1[[#This Row],[Abbreviations]]</f>
        <v>Sunderland Rents</v>
      </c>
      <c r="F105" t="s">
        <v>645</v>
      </c>
      <c r="G105" t="str">
        <f xml:space="preserve"> PROPER(_xlfn.CONCAT(Table13[[#This Row],[Title]]," ",Table13[[#This Row],[First Name]]," ",Table13[[#This Row],[Last Name]]))</f>
        <v>Mrs Joanie Feldman</v>
      </c>
      <c r="H105" t="str">
        <f t="shared" si="2"/>
        <v>Mrs J.Feldman</v>
      </c>
      <c r="I105" t="str">
        <f t="shared" si="3"/>
        <v>F</v>
      </c>
    </row>
    <row r="106" spans="1:9" x14ac:dyDescent="0.3">
      <c r="A106">
        <v>103</v>
      </c>
      <c r="B106" t="s">
        <v>710</v>
      </c>
      <c r="C106" t="s">
        <v>711</v>
      </c>
      <c r="D106" t="s">
        <v>7</v>
      </c>
      <c r="E106" t="str">
        <f>Table1[[#This Row],[Abbreviations]]</f>
        <v>Hartswood Garden</v>
      </c>
      <c r="F106" t="s">
        <v>713</v>
      </c>
      <c r="G106" t="str">
        <f xml:space="preserve"> PROPER(_xlfn.CONCAT(Table13[[#This Row],[Title]]," ",Table13[[#This Row],[First Name]]," ",Table13[[#This Row],[Last Name]]))</f>
        <v>Mrs Danna Benson</v>
      </c>
      <c r="H106" t="str">
        <f t="shared" si="2"/>
        <v>Mrs D.Benson</v>
      </c>
      <c r="I106" t="str">
        <f t="shared" si="3"/>
        <v>F</v>
      </c>
    </row>
    <row r="107" spans="1:9" x14ac:dyDescent="0.3">
      <c r="A107">
        <v>104</v>
      </c>
      <c r="B107" t="s">
        <v>591</v>
      </c>
      <c r="C107" t="s">
        <v>714</v>
      </c>
      <c r="D107" t="s">
        <v>7</v>
      </c>
      <c r="E107" t="str">
        <f>Table1[[#This Row],[Abbreviations]]</f>
        <v>Durweston Mews</v>
      </c>
      <c r="F107" t="s">
        <v>606</v>
      </c>
      <c r="G107" t="str">
        <f xml:space="preserve"> PROPER(_xlfn.CONCAT(Table13[[#This Row],[Title]]," ",Table13[[#This Row],[First Name]]," ",Table13[[#This Row],[Last Name]]))</f>
        <v>Mrs Yan Stiles</v>
      </c>
      <c r="H107" t="str">
        <f t="shared" si="2"/>
        <v>Mrs Y.Stiles</v>
      </c>
      <c r="I107" t="str">
        <f t="shared" si="3"/>
        <v>F</v>
      </c>
    </row>
    <row r="108" spans="1:9" x14ac:dyDescent="0.3">
      <c r="A108">
        <v>105</v>
      </c>
      <c r="B108" t="s">
        <v>716</v>
      </c>
      <c r="C108" t="s">
        <v>326</v>
      </c>
      <c r="D108" t="s">
        <v>7</v>
      </c>
      <c r="E108" t="str">
        <f>Table1[[#This Row],[Abbreviations]]</f>
        <v>Sutherland Avenue</v>
      </c>
      <c r="F108" t="s">
        <v>718</v>
      </c>
      <c r="G108" t="str">
        <f xml:space="preserve"> PROPER(_xlfn.CONCAT(Table13[[#This Row],[Title]]," ",Table13[[#This Row],[First Name]]," ",Table13[[#This Row],[Last Name]]))</f>
        <v>Mrs Iris Fischer</v>
      </c>
      <c r="H108" t="str">
        <f t="shared" si="2"/>
        <v>Mrs I.Fischer</v>
      </c>
      <c r="I108" t="str">
        <f t="shared" si="3"/>
        <v>F</v>
      </c>
    </row>
    <row r="109" spans="1:9" x14ac:dyDescent="0.3">
      <c r="A109">
        <v>106</v>
      </c>
      <c r="B109" t="s">
        <v>719</v>
      </c>
      <c r="C109" t="s">
        <v>720</v>
      </c>
      <c r="D109" t="s">
        <v>7</v>
      </c>
      <c r="E109" t="str">
        <f>Table1[[#This Row],[Abbreviations]]</f>
        <v>Phillpots Almshouses</v>
      </c>
      <c r="F109" t="s">
        <v>658</v>
      </c>
      <c r="G109" t="str">
        <f xml:space="preserve"> PROPER(_xlfn.CONCAT(Table13[[#This Row],[Title]]," ",Table13[[#This Row],[First Name]]," ",Table13[[#This Row],[Last Name]]))</f>
        <v>Mrs Dimple Dukes</v>
      </c>
      <c r="H109" t="str">
        <f t="shared" si="2"/>
        <v>Mrs D.Dukes</v>
      </c>
      <c r="I109" t="str">
        <f t="shared" si="3"/>
        <v>F</v>
      </c>
    </row>
    <row r="110" spans="1:9" x14ac:dyDescent="0.3">
      <c r="A110">
        <v>107</v>
      </c>
      <c r="B110" t="s">
        <v>722</v>
      </c>
      <c r="C110" t="s">
        <v>723</v>
      </c>
      <c r="D110" t="s">
        <v>7</v>
      </c>
      <c r="E110" t="str">
        <f>Table1[[#This Row],[Abbreviations]]</f>
        <v>Gwendolen Avenue</v>
      </c>
      <c r="F110" t="s">
        <v>725</v>
      </c>
      <c r="G110" t="str">
        <f xml:space="preserve"> PROPER(_xlfn.CONCAT(Table13[[#This Row],[Title]]," ",Table13[[#This Row],[First Name]]," ",Table13[[#This Row],[Last Name]]))</f>
        <v>Mrs Cordia Whitman</v>
      </c>
      <c r="H110" t="str">
        <f t="shared" si="2"/>
        <v>Mrs C.Whitman</v>
      </c>
      <c r="I110" t="str">
        <f t="shared" si="3"/>
        <v>F</v>
      </c>
    </row>
    <row r="111" spans="1:9" x14ac:dyDescent="0.3">
      <c r="A111">
        <v>108</v>
      </c>
      <c r="B111" t="s">
        <v>726</v>
      </c>
      <c r="C111" t="s">
        <v>727</v>
      </c>
      <c r="D111" t="s">
        <v>7</v>
      </c>
      <c r="E111" t="str">
        <f>Table1[[#This Row],[Abbreviations]]</f>
        <v>Palace View</v>
      </c>
      <c r="F111" t="s">
        <v>729</v>
      </c>
      <c r="G111" t="str">
        <f xml:space="preserve"> PROPER(_xlfn.CONCAT(Table13[[#This Row],[Title]]," ",Table13[[#This Row],[First Name]]," ",Table13[[#This Row],[Last Name]]))</f>
        <v>Mrs Maybell Morales</v>
      </c>
      <c r="H111" t="str">
        <f t="shared" si="2"/>
        <v>Mrs M.Morales</v>
      </c>
      <c r="I111" t="str">
        <f t="shared" si="3"/>
        <v>F</v>
      </c>
    </row>
    <row r="112" spans="1:9" x14ac:dyDescent="0.3">
      <c r="A112">
        <v>109</v>
      </c>
      <c r="B112" t="s">
        <v>730</v>
      </c>
      <c r="C112" t="s">
        <v>731</v>
      </c>
      <c r="D112" t="s">
        <v>7</v>
      </c>
      <c r="E112" t="str">
        <f>Table1[[#This Row],[Abbreviations]]</f>
        <v>Albany Close</v>
      </c>
      <c r="F112" t="s">
        <v>733</v>
      </c>
      <c r="G112" t="str">
        <f xml:space="preserve"> PROPER(_xlfn.CONCAT(Table13[[#This Row],[Title]]," ",Table13[[#This Row],[First Name]]," ",Table13[[#This Row],[Last Name]]))</f>
        <v>Mrs Blythe Peoples</v>
      </c>
      <c r="H112" t="str">
        <f t="shared" si="2"/>
        <v>Mrs B.Peoples</v>
      </c>
      <c r="I112" t="str">
        <f t="shared" si="3"/>
        <v>F</v>
      </c>
    </row>
    <row r="113" spans="1:9" x14ac:dyDescent="0.3">
      <c r="A113">
        <v>110</v>
      </c>
      <c r="B113" t="s">
        <v>734</v>
      </c>
      <c r="C113" t="s">
        <v>735</v>
      </c>
      <c r="D113" t="s">
        <v>7</v>
      </c>
      <c r="E113" t="str">
        <f>Table1[[#This Row],[Abbreviations]]</f>
        <v>Church Alley</v>
      </c>
      <c r="F113" t="s">
        <v>737</v>
      </c>
      <c r="G113" t="str">
        <f xml:space="preserve"> PROPER(_xlfn.CONCAT(Table13[[#This Row],[Title]]," ",Table13[[#This Row],[First Name]]," ",Table13[[#This Row],[Last Name]]))</f>
        <v>Mrs Justine Thompson</v>
      </c>
      <c r="H113" t="str">
        <f t="shared" si="2"/>
        <v>Mrs J.Thompson</v>
      </c>
      <c r="I113" t="str">
        <f t="shared" si="3"/>
        <v>F</v>
      </c>
    </row>
    <row r="114" spans="1:9" x14ac:dyDescent="0.3">
      <c r="A114">
        <v>111</v>
      </c>
      <c r="B114" t="s">
        <v>738</v>
      </c>
      <c r="C114" t="s">
        <v>739</v>
      </c>
      <c r="D114" t="s">
        <v>18</v>
      </c>
      <c r="E114" t="str">
        <f>Table1[[#This Row],[Abbreviations]]</f>
        <v>Moncorvo Close</v>
      </c>
      <c r="F114" t="s">
        <v>741</v>
      </c>
      <c r="G114" t="str">
        <f xml:space="preserve"> PROPER(_xlfn.CONCAT(Table13[[#This Row],[Title]]," ",Table13[[#This Row],[First Name]]," ",Table13[[#This Row],[Last Name]]))</f>
        <v>Miss Maida Khan</v>
      </c>
      <c r="H114" t="str">
        <f t="shared" si="2"/>
        <v>Miss M.Khan</v>
      </c>
      <c r="I114" t="str">
        <f t="shared" si="3"/>
        <v>F</v>
      </c>
    </row>
    <row r="115" spans="1:9" x14ac:dyDescent="0.3">
      <c r="A115">
        <v>112</v>
      </c>
      <c r="B115" t="s">
        <v>742</v>
      </c>
      <c r="C115" t="s">
        <v>743</v>
      </c>
      <c r="D115" t="s">
        <v>18</v>
      </c>
      <c r="E115" t="str">
        <f>Table1[[#This Row],[Abbreviations]]</f>
        <v>Carlton Cottages</v>
      </c>
      <c r="F115" t="s">
        <v>553</v>
      </c>
      <c r="G115" t="str">
        <f xml:space="preserve"> PROPER(_xlfn.CONCAT(Table13[[#This Row],[Title]]," ",Table13[[#This Row],[First Name]]," ",Table13[[#This Row],[Last Name]]))</f>
        <v>Miss Elvie Arthur</v>
      </c>
      <c r="H115" t="str">
        <f t="shared" si="2"/>
        <v>Miss E.Arthur</v>
      </c>
      <c r="I115" t="str">
        <f t="shared" si="3"/>
        <v>F</v>
      </c>
    </row>
    <row r="116" spans="1:9" x14ac:dyDescent="0.3">
      <c r="A116">
        <v>113</v>
      </c>
      <c r="B116" t="s">
        <v>745</v>
      </c>
      <c r="C116" t="s">
        <v>746</v>
      </c>
      <c r="D116" t="s">
        <v>7</v>
      </c>
      <c r="E116" t="str">
        <f>Table1[[#This Row],[Abbreviations]]</f>
        <v>Tremaine Road</v>
      </c>
      <c r="F116" t="s">
        <v>748</v>
      </c>
      <c r="G116" t="str">
        <f xml:space="preserve"> PROPER(_xlfn.CONCAT(Table13[[#This Row],[Title]]," ",Table13[[#This Row],[First Name]]," ",Table13[[#This Row],[Last Name]]))</f>
        <v>Mrs Leanora Gunn</v>
      </c>
      <c r="H116" t="str">
        <f t="shared" si="2"/>
        <v>Mrs L.Gunn</v>
      </c>
      <c r="I116" t="str">
        <f t="shared" si="3"/>
        <v>F</v>
      </c>
    </row>
    <row r="117" spans="1:9" x14ac:dyDescent="0.3">
      <c r="A117">
        <v>114</v>
      </c>
      <c r="B117" t="s">
        <v>749</v>
      </c>
      <c r="C117" t="s">
        <v>624</v>
      </c>
      <c r="D117" t="s">
        <v>71</v>
      </c>
      <c r="E117" t="str">
        <f>Table1[[#This Row],[Abbreviations]]</f>
        <v>Dehar Crescent</v>
      </c>
      <c r="F117" t="s">
        <v>461</v>
      </c>
      <c r="G117" t="str">
        <f xml:space="preserve"> PROPER(_xlfn.CONCAT(Table13[[#This Row],[Title]]," ",Table13[[#This Row],[First Name]]," ",Table13[[#This Row],[Last Name]]))</f>
        <v>Ms Charlena Conklin</v>
      </c>
      <c r="H117" t="str">
        <f t="shared" si="2"/>
        <v>Ms C.Conklin</v>
      </c>
      <c r="I117" t="str">
        <f t="shared" si="3"/>
        <v>F</v>
      </c>
    </row>
    <row r="118" spans="1:9" x14ac:dyDescent="0.3">
      <c r="A118">
        <v>115</v>
      </c>
      <c r="B118" t="s">
        <v>751</v>
      </c>
      <c r="C118" t="s">
        <v>752</v>
      </c>
      <c r="D118" t="s">
        <v>18</v>
      </c>
      <c r="E118" t="str">
        <f>Table1[[#This Row],[Abbreviations]]</f>
        <v>Brewery Square</v>
      </c>
      <c r="F118" t="s">
        <v>754</v>
      </c>
      <c r="G118" t="str">
        <f xml:space="preserve"> PROPER(_xlfn.CONCAT(Table13[[#This Row],[Title]]," ",Table13[[#This Row],[First Name]]," ",Table13[[#This Row],[Last Name]]))</f>
        <v>Miss Reba Allred</v>
      </c>
      <c r="H118" t="str">
        <f t="shared" si="2"/>
        <v>Miss R.Allred</v>
      </c>
      <c r="I118" t="str">
        <f t="shared" si="3"/>
        <v>F</v>
      </c>
    </row>
    <row r="119" spans="1:9" x14ac:dyDescent="0.3">
      <c r="A119">
        <v>116</v>
      </c>
      <c r="B119" t="s">
        <v>755</v>
      </c>
      <c r="C119" t="s">
        <v>756</v>
      </c>
      <c r="D119" t="s">
        <v>18</v>
      </c>
      <c r="E119" t="str">
        <f>Table1[[#This Row],[Abbreviations]]</f>
        <v>White Acre</v>
      </c>
      <c r="F119" t="s">
        <v>252</v>
      </c>
      <c r="G119" t="str">
        <f xml:space="preserve"> PROPER(_xlfn.CONCAT(Table13[[#This Row],[Title]]," ",Table13[[#This Row],[First Name]]," ",Table13[[#This Row],[Last Name]]))</f>
        <v>Miss Eve Hathaway</v>
      </c>
      <c r="H119" t="str">
        <f t="shared" si="2"/>
        <v>Miss E.Hathaway</v>
      </c>
      <c r="I119" t="str">
        <f t="shared" si="3"/>
        <v>F</v>
      </c>
    </row>
    <row r="120" spans="1:9" x14ac:dyDescent="0.3">
      <c r="A120">
        <v>117</v>
      </c>
      <c r="B120" t="s">
        <v>758</v>
      </c>
      <c r="C120" t="s">
        <v>759</v>
      </c>
      <c r="D120" t="s">
        <v>7</v>
      </c>
      <c r="E120" t="str">
        <f>Table1[[#This Row],[Abbreviations]]</f>
        <v>Ethel Terrace</v>
      </c>
      <c r="F120" t="s">
        <v>761</v>
      </c>
      <c r="G120" t="str">
        <f xml:space="preserve"> PROPER(_xlfn.CONCAT(Table13[[#This Row],[Title]]," ",Table13[[#This Row],[First Name]]," ",Table13[[#This Row],[Last Name]]))</f>
        <v>Mrs Vania Vernon</v>
      </c>
      <c r="H120" t="str">
        <f t="shared" si="2"/>
        <v>Mrs V.Vernon</v>
      </c>
      <c r="I120" t="str">
        <f t="shared" si="3"/>
        <v>F</v>
      </c>
    </row>
    <row r="121" spans="1:9" x14ac:dyDescent="0.3">
      <c r="A121">
        <v>118</v>
      </c>
      <c r="B121" t="s">
        <v>762</v>
      </c>
      <c r="C121" t="s">
        <v>763</v>
      </c>
      <c r="D121" t="s">
        <v>71</v>
      </c>
      <c r="E121" t="str">
        <f>Table1[[#This Row],[Abbreviations]]</f>
        <v>South Row</v>
      </c>
      <c r="F121" t="s">
        <v>376</v>
      </c>
      <c r="G121" t="str">
        <f xml:space="preserve"> PROPER(_xlfn.CONCAT(Table13[[#This Row],[Title]]," ",Table13[[#This Row],[First Name]]," ",Table13[[#This Row],[Last Name]]))</f>
        <v>Ms Taryn Walton</v>
      </c>
      <c r="H121" t="str">
        <f t="shared" si="2"/>
        <v>Ms T.Walton</v>
      </c>
      <c r="I121" t="str">
        <f t="shared" si="3"/>
        <v>F</v>
      </c>
    </row>
    <row r="122" spans="1:9" x14ac:dyDescent="0.3">
      <c r="A122">
        <v>119</v>
      </c>
      <c r="B122" t="s">
        <v>765</v>
      </c>
      <c r="C122" t="s">
        <v>766</v>
      </c>
      <c r="D122" t="s">
        <v>7</v>
      </c>
      <c r="E122" t="str">
        <f>Table1[[#This Row],[Abbreviations]]</f>
        <v>Rosethorn Close</v>
      </c>
      <c r="F122" t="s">
        <v>768</v>
      </c>
      <c r="G122" t="str">
        <f xml:space="preserve"> PROPER(_xlfn.CONCAT(Table13[[#This Row],[Title]]," ",Table13[[#This Row],[First Name]]," ",Table13[[#This Row],[Last Name]]))</f>
        <v>Mrs Bunny Fitch</v>
      </c>
      <c r="H122" t="str">
        <f t="shared" si="2"/>
        <v>Mrs B.Fitch</v>
      </c>
      <c r="I122" t="str">
        <f t="shared" si="3"/>
        <v>F</v>
      </c>
    </row>
    <row r="123" spans="1:9" x14ac:dyDescent="0.3">
      <c r="A123">
        <v>120</v>
      </c>
      <c r="B123" t="s">
        <v>677</v>
      </c>
      <c r="C123" t="s">
        <v>769</v>
      </c>
      <c r="D123" t="s">
        <v>71</v>
      </c>
      <c r="E123" t="str">
        <f>Table1[[#This Row],[Abbreviations]]</f>
        <v>Arran Walk</v>
      </c>
      <c r="F123" t="s">
        <v>636</v>
      </c>
      <c r="G123" t="str">
        <f xml:space="preserve"> PROPER(_xlfn.CONCAT(Table13[[#This Row],[Title]]," ",Table13[[#This Row],[First Name]]," ",Table13[[#This Row],[Last Name]]))</f>
        <v>Ms Torie Holden</v>
      </c>
      <c r="H123" t="str">
        <f t="shared" si="2"/>
        <v>Ms T.Holden</v>
      </c>
      <c r="I123" t="str">
        <f t="shared" si="3"/>
        <v>F</v>
      </c>
    </row>
    <row r="124" spans="1:9" x14ac:dyDescent="0.3">
      <c r="A124">
        <v>121</v>
      </c>
      <c r="B124" t="s">
        <v>771</v>
      </c>
      <c r="C124" t="s">
        <v>772</v>
      </c>
      <c r="D124" t="s">
        <v>18</v>
      </c>
      <c r="E124" t="str">
        <f>Table1[[#This Row],[Abbreviations]]</f>
        <v>Merryfield</v>
      </c>
      <c r="F124" t="s">
        <v>774</v>
      </c>
      <c r="G124" t="str">
        <f xml:space="preserve"> PROPER(_xlfn.CONCAT(Table13[[#This Row],[Title]]," ",Table13[[#This Row],[First Name]]," ",Table13[[#This Row],[Last Name]]))</f>
        <v>Miss Chun Puckett</v>
      </c>
      <c r="H124" t="str">
        <f t="shared" si="2"/>
        <v>Miss C.Puckett</v>
      </c>
      <c r="I124" t="str">
        <f t="shared" si="3"/>
        <v>F</v>
      </c>
    </row>
    <row r="125" spans="1:9" x14ac:dyDescent="0.3">
      <c r="A125">
        <v>122</v>
      </c>
      <c r="B125" t="s">
        <v>775</v>
      </c>
      <c r="C125" t="s">
        <v>776</v>
      </c>
      <c r="D125" t="s">
        <v>18</v>
      </c>
      <c r="E125" t="str">
        <f>Table1[[#This Row],[Abbreviations]]</f>
        <v>Costa Street</v>
      </c>
      <c r="F125" t="s">
        <v>778</v>
      </c>
      <c r="G125" t="str">
        <f xml:space="preserve"> PROPER(_xlfn.CONCAT(Table13[[#This Row],[Title]]," ",Table13[[#This Row],[First Name]]," ",Table13[[#This Row],[Last Name]]))</f>
        <v>Miss Lurlene James</v>
      </c>
      <c r="H125" t="str">
        <f t="shared" si="2"/>
        <v>Miss L.James</v>
      </c>
      <c r="I125" t="str">
        <f t="shared" si="3"/>
        <v>F</v>
      </c>
    </row>
    <row r="126" spans="1:9" x14ac:dyDescent="0.3">
      <c r="A126">
        <v>123</v>
      </c>
      <c r="B126" t="s">
        <v>779</v>
      </c>
      <c r="C126" t="s">
        <v>337</v>
      </c>
      <c r="D126" t="s">
        <v>18</v>
      </c>
      <c r="E126" t="str">
        <f>Table1[[#This Row],[Abbreviations]]</f>
        <v>Salisbury Pavement</v>
      </c>
      <c r="F126" t="s">
        <v>781</v>
      </c>
      <c r="G126" t="str">
        <f xml:space="preserve"> PROPER(_xlfn.CONCAT(Table13[[#This Row],[Title]]," ",Table13[[#This Row],[First Name]]," ",Table13[[#This Row],[Last Name]]))</f>
        <v>Miss Nova Knight</v>
      </c>
      <c r="H126" t="str">
        <f t="shared" si="2"/>
        <v>Miss N.Knight</v>
      </c>
      <c r="I126" t="str">
        <f t="shared" si="3"/>
        <v>F</v>
      </c>
    </row>
    <row r="127" spans="1:9" x14ac:dyDescent="0.3">
      <c r="A127">
        <v>124</v>
      </c>
      <c r="B127" t="s">
        <v>782</v>
      </c>
      <c r="C127" t="s">
        <v>644</v>
      </c>
      <c r="D127" t="s">
        <v>18</v>
      </c>
      <c r="E127" t="str">
        <f>Table1[[#This Row],[Abbreviations]]</f>
        <v>Lamb Alley</v>
      </c>
      <c r="F127" t="s">
        <v>784</v>
      </c>
      <c r="G127" t="str">
        <f xml:space="preserve"> PROPER(_xlfn.CONCAT(Table13[[#This Row],[Title]]," ",Table13[[#This Row],[First Name]]," ",Table13[[#This Row],[Last Name]]))</f>
        <v>Miss Ashlea Aldrich</v>
      </c>
      <c r="H127" t="str">
        <f t="shared" si="2"/>
        <v>Miss A.Aldrich</v>
      </c>
      <c r="I127" t="str">
        <f t="shared" si="3"/>
        <v>F</v>
      </c>
    </row>
    <row r="128" spans="1:9" x14ac:dyDescent="0.3">
      <c r="A128">
        <v>125</v>
      </c>
      <c r="B128" t="s">
        <v>785</v>
      </c>
      <c r="C128" t="s">
        <v>786</v>
      </c>
      <c r="D128" t="s">
        <v>7</v>
      </c>
      <c r="E128" t="str">
        <f>Table1[[#This Row],[Abbreviations]]</f>
        <v>Coalecroft Road</v>
      </c>
      <c r="F128" t="s">
        <v>788</v>
      </c>
      <c r="G128" t="str">
        <f xml:space="preserve"> PROPER(_xlfn.CONCAT(Table13[[#This Row],[Title]]," ",Table13[[#This Row],[First Name]]," ",Table13[[#This Row],[Last Name]]))</f>
        <v>Mrs Regena Schaffer</v>
      </c>
      <c r="H128" t="str">
        <f t="shared" si="2"/>
        <v>Mrs R.Schaffer</v>
      </c>
      <c r="I128" t="str">
        <f t="shared" si="3"/>
        <v>F</v>
      </c>
    </row>
    <row r="129" spans="1:9" x14ac:dyDescent="0.3">
      <c r="A129">
        <v>126</v>
      </c>
      <c r="B129" t="s">
        <v>789</v>
      </c>
      <c r="C129" t="s">
        <v>790</v>
      </c>
      <c r="D129" t="s">
        <v>18</v>
      </c>
      <c r="E129" t="str">
        <f>Table1[[#This Row],[Abbreviations]]</f>
        <v>Scawfell Street</v>
      </c>
      <c r="F129" t="s">
        <v>792</v>
      </c>
      <c r="G129" t="str">
        <f xml:space="preserve"> PROPER(_xlfn.CONCAT(Table13[[#This Row],[Title]]," ",Table13[[#This Row],[First Name]]," ",Table13[[#This Row],[Last Name]]))</f>
        <v>Miss Katina Draper</v>
      </c>
      <c r="H129" t="str">
        <f t="shared" si="2"/>
        <v>Miss K.Draper</v>
      </c>
      <c r="I129" t="str">
        <f t="shared" si="3"/>
        <v>F</v>
      </c>
    </row>
    <row r="130" spans="1:9" x14ac:dyDescent="0.3">
      <c r="A130">
        <v>127</v>
      </c>
      <c r="B130" t="s">
        <v>793</v>
      </c>
      <c r="C130" t="s">
        <v>794</v>
      </c>
      <c r="D130" t="s">
        <v>18</v>
      </c>
      <c r="E130" t="str">
        <f>Table1[[#This Row],[Abbreviations]]</f>
        <v>Church Crescent</v>
      </c>
      <c r="F130" t="s">
        <v>630</v>
      </c>
      <c r="G130" t="str">
        <f xml:space="preserve"> PROPER(_xlfn.CONCAT(Table13[[#This Row],[Title]]," ",Table13[[#This Row],[First Name]]," ",Table13[[#This Row],[Last Name]]))</f>
        <v>Miss Barbra Shannon</v>
      </c>
      <c r="H130" t="str">
        <f t="shared" si="2"/>
        <v>Miss B.Shannon</v>
      </c>
      <c r="I130" t="str">
        <f t="shared" si="3"/>
        <v>F</v>
      </c>
    </row>
    <row r="131" spans="1:9" x14ac:dyDescent="0.3">
      <c r="A131">
        <v>128</v>
      </c>
      <c r="B131" t="s">
        <v>796</v>
      </c>
      <c r="C131" t="s">
        <v>383</v>
      </c>
      <c r="D131" t="s">
        <v>7</v>
      </c>
      <c r="E131" t="str">
        <f>Table1[[#This Row],[Abbreviations]]</f>
        <v>Denison Road</v>
      </c>
      <c r="F131" t="s">
        <v>658</v>
      </c>
      <c r="G131" t="str">
        <f xml:space="preserve"> PROPER(_xlfn.CONCAT(Table13[[#This Row],[Title]]," ",Table13[[#This Row],[First Name]]," ",Table13[[#This Row],[Last Name]]))</f>
        <v>Mrs Johnnie Nixon</v>
      </c>
      <c r="H131" t="str">
        <f t="shared" si="2"/>
        <v>Mrs J.Nixon</v>
      </c>
      <c r="I131" t="str">
        <f t="shared" si="3"/>
        <v>F</v>
      </c>
    </row>
    <row r="132" spans="1:9" x14ac:dyDescent="0.3">
      <c r="A132">
        <v>129</v>
      </c>
      <c r="B132" t="s">
        <v>798</v>
      </c>
      <c r="C132" t="s">
        <v>799</v>
      </c>
      <c r="D132" t="s">
        <v>7</v>
      </c>
      <c r="E132" t="str">
        <f>Table1[[#This Row],[Abbreviations]]</f>
        <v>Bridgefield Cottages</v>
      </c>
      <c r="F132" t="s">
        <v>636</v>
      </c>
      <c r="G132" t="str">
        <f xml:space="preserve"> PROPER(_xlfn.CONCAT(Table13[[#This Row],[Title]]," ",Table13[[#This Row],[First Name]]," ",Table13[[#This Row],[Last Name]]))</f>
        <v>Mrs Jimmy Bateman</v>
      </c>
      <c r="H132" t="str">
        <f t="shared" ref="H132:H195" si="4">_xlfn.CONCAT(D132)&amp;" "&amp; LEFT(B132,1)&amp;"."&amp;C132</f>
        <v>Mrs J.Bateman</v>
      </c>
      <c r="I132" t="str">
        <f t="shared" ref="I132:I195" si="5">IF(LEFT(D132,3)="Mr","M","F")</f>
        <v>F</v>
      </c>
    </row>
    <row r="133" spans="1:9" x14ac:dyDescent="0.3">
      <c r="A133">
        <v>130</v>
      </c>
      <c r="B133" t="s">
        <v>800</v>
      </c>
      <c r="C133" t="s">
        <v>801</v>
      </c>
      <c r="D133" t="s">
        <v>7</v>
      </c>
      <c r="E133" t="str">
        <f>Table1[[#This Row],[Abbreviations]]</f>
        <v>Dome Hill</v>
      </c>
      <c r="F133" t="s">
        <v>803</v>
      </c>
      <c r="G133" t="str">
        <f xml:space="preserve"> PROPER(_xlfn.CONCAT(Table13[[#This Row],[Title]]," ",Table13[[#This Row],[First Name]]," ",Table13[[#This Row],[Last Name]]))</f>
        <v>Mrs Juana Dickey</v>
      </c>
      <c r="H133" t="str">
        <f t="shared" si="4"/>
        <v>Mrs J.Dickey</v>
      </c>
      <c r="I133" t="str">
        <f t="shared" si="5"/>
        <v>F</v>
      </c>
    </row>
    <row r="134" spans="1:9" x14ac:dyDescent="0.3">
      <c r="A134">
        <v>131</v>
      </c>
      <c r="B134" t="s">
        <v>804</v>
      </c>
      <c r="C134" t="s">
        <v>805</v>
      </c>
      <c r="D134" t="s">
        <v>7</v>
      </c>
      <c r="E134" t="str">
        <f>Table1[[#This Row],[Abbreviations]]</f>
        <v>Frognal Parade</v>
      </c>
      <c r="F134" t="s">
        <v>145</v>
      </c>
      <c r="G134" t="str">
        <f xml:space="preserve"> PROPER(_xlfn.CONCAT(Table13[[#This Row],[Title]]," ",Table13[[#This Row],[First Name]]," ",Table13[[#This Row],[Last Name]]))</f>
        <v>Mrs Zofia Sanders</v>
      </c>
      <c r="H134" t="str">
        <f t="shared" si="4"/>
        <v>Mrs Z.Sanders</v>
      </c>
      <c r="I134" t="str">
        <f t="shared" si="5"/>
        <v>F</v>
      </c>
    </row>
    <row r="135" spans="1:9" x14ac:dyDescent="0.3">
      <c r="A135">
        <v>132</v>
      </c>
      <c r="B135" t="s">
        <v>807</v>
      </c>
      <c r="C135" t="s">
        <v>808</v>
      </c>
      <c r="D135" t="s">
        <v>18</v>
      </c>
      <c r="E135" t="str">
        <f>Table1[[#This Row],[Abbreviations]]</f>
        <v>Fairholt Street</v>
      </c>
      <c r="F135" t="s">
        <v>612</v>
      </c>
      <c r="G135" t="str">
        <f xml:space="preserve"> PROPER(_xlfn.CONCAT(Table13[[#This Row],[Title]]," ",Table13[[#This Row],[First Name]]," ",Table13[[#This Row],[Last Name]]))</f>
        <v>Miss Antonette Thurman</v>
      </c>
      <c r="H135" t="str">
        <f t="shared" si="4"/>
        <v>Miss A.Thurman</v>
      </c>
      <c r="I135" t="str">
        <f t="shared" si="5"/>
        <v>F</v>
      </c>
    </row>
    <row r="136" spans="1:9" x14ac:dyDescent="0.3">
      <c r="A136">
        <v>133</v>
      </c>
      <c r="B136" t="s">
        <v>810</v>
      </c>
      <c r="C136" t="s">
        <v>811</v>
      </c>
      <c r="D136" t="s">
        <v>318</v>
      </c>
      <c r="E136" t="str">
        <f>Table1[[#This Row],[Abbreviations]]</f>
        <v>Haymarket Arcade</v>
      </c>
      <c r="F136" t="s">
        <v>148</v>
      </c>
      <c r="G136" t="str">
        <f xml:space="preserve"> PROPER(_xlfn.CONCAT(Table13[[#This Row],[Title]]," ",Table13[[#This Row],[First Name]]," ",Table13[[#This Row],[Last Name]]))</f>
        <v>Dr Kevin Acevedo</v>
      </c>
      <c r="H136" t="str">
        <f t="shared" si="4"/>
        <v>Dr K.Acevedo</v>
      </c>
      <c r="I136" t="str">
        <f t="shared" si="5"/>
        <v>F</v>
      </c>
    </row>
    <row r="137" spans="1:9" x14ac:dyDescent="0.3">
      <c r="A137">
        <v>134</v>
      </c>
      <c r="B137" t="s">
        <v>813</v>
      </c>
      <c r="C137" t="s">
        <v>814</v>
      </c>
      <c r="D137" t="s">
        <v>18</v>
      </c>
      <c r="E137" t="str">
        <f>Table1[[#This Row],[Abbreviations]]</f>
        <v>Great Arthur</v>
      </c>
      <c r="F137" t="s">
        <v>289</v>
      </c>
      <c r="G137" t="str">
        <f xml:space="preserve"> PROPER(_xlfn.CONCAT(Table13[[#This Row],[Title]]," ",Table13[[#This Row],[First Name]]," ",Table13[[#This Row],[Last Name]]))</f>
        <v>Miss Lyn Platt</v>
      </c>
      <c r="H137" t="str">
        <f t="shared" si="4"/>
        <v>Miss L.Platt</v>
      </c>
      <c r="I137" t="str">
        <f t="shared" si="5"/>
        <v>F</v>
      </c>
    </row>
    <row r="138" spans="1:9" x14ac:dyDescent="0.3">
      <c r="A138">
        <v>135</v>
      </c>
      <c r="B138" t="s">
        <v>816</v>
      </c>
      <c r="C138" t="s">
        <v>817</v>
      </c>
      <c r="D138" t="s">
        <v>18</v>
      </c>
      <c r="E138" t="str">
        <f>Table1[[#This Row],[Abbreviations]]</f>
        <v>Hope Town</v>
      </c>
      <c r="F138" t="s">
        <v>819</v>
      </c>
      <c r="G138" t="str">
        <f xml:space="preserve"> PROPER(_xlfn.CONCAT(Table13[[#This Row],[Title]]," ",Table13[[#This Row],[First Name]]," ",Table13[[#This Row],[Last Name]]))</f>
        <v>Miss Tandy Lanier</v>
      </c>
      <c r="H138" t="str">
        <f t="shared" si="4"/>
        <v>Miss T.Lanier</v>
      </c>
      <c r="I138" t="str">
        <f t="shared" si="5"/>
        <v>F</v>
      </c>
    </row>
    <row r="139" spans="1:9" x14ac:dyDescent="0.3">
      <c r="A139">
        <v>136</v>
      </c>
      <c r="B139" t="s">
        <v>820</v>
      </c>
      <c r="C139" t="s">
        <v>821</v>
      </c>
      <c r="D139" t="s">
        <v>18</v>
      </c>
      <c r="E139" t="str">
        <f>Table1[[#This Row],[Abbreviations]]</f>
        <v>Holden Avenue</v>
      </c>
      <c r="F139" t="s">
        <v>476</v>
      </c>
      <c r="G139" t="str">
        <f xml:space="preserve"> PROPER(_xlfn.CONCAT(Table13[[#This Row],[Title]]," ",Table13[[#This Row],[First Name]]," ",Table13[[#This Row],[Last Name]]))</f>
        <v>Miss Silvana Crowe</v>
      </c>
      <c r="H139" t="str">
        <f t="shared" si="4"/>
        <v>Miss S.Crowe</v>
      </c>
      <c r="I139" t="str">
        <f t="shared" si="5"/>
        <v>F</v>
      </c>
    </row>
    <row r="140" spans="1:9" x14ac:dyDescent="0.3">
      <c r="A140">
        <v>137</v>
      </c>
      <c r="B140" t="s">
        <v>497</v>
      </c>
      <c r="C140" t="s">
        <v>823</v>
      </c>
      <c r="D140" t="s">
        <v>318</v>
      </c>
      <c r="E140" t="str">
        <f>Table1[[#This Row],[Abbreviations]]</f>
        <v>Smithfield See</v>
      </c>
      <c r="F140" t="s">
        <v>825</v>
      </c>
      <c r="G140" t="str">
        <f xml:space="preserve"> PROPER(_xlfn.CONCAT(Table13[[#This Row],[Title]]," ",Table13[[#This Row],[First Name]]," ",Table13[[#This Row],[Last Name]]))</f>
        <v>Dr Susie Lindsay</v>
      </c>
      <c r="H140" t="str">
        <f t="shared" si="4"/>
        <v>Dr S.Lindsay</v>
      </c>
      <c r="I140" t="str">
        <f t="shared" si="5"/>
        <v>F</v>
      </c>
    </row>
    <row r="141" spans="1:9" x14ac:dyDescent="0.3">
      <c r="A141">
        <v>138</v>
      </c>
      <c r="B141" t="s">
        <v>826</v>
      </c>
      <c r="C141" t="s">
        <v>827</v>
      </c>
      <c r="D141" t="s">
        <v>7</v>
      </c>
      <c r="E141" t="str">
        <f>Table1[[#This Row],[Abbreviations]]</f>
        <v>Epworth Street</v>
      </c>
      <c r="F141" t="s">
        <v>829</v>
      </c>
      <c r="G141" t="str">
        <f xml:space="preserve"> PROPER(_xlfn.CONCAT(Table13[[#This Row],[Title]]," ",Table13[[#This Row],[First Name]]," ",Table13[[#This Row],[Last Name]]))</f>
        <v>Mrs Alta Boston</v>
      </c>
      <c r="H141" t="str">
        <f t="shared" si="4"/>
        <v>Mrs A.Boston</v>
      </c>
      <c r="I141" t="str">
        <f t="shared" si="5"/>
        <v>F</v>
      </c>
    </row>
    <row r="142" spans="1:9" x14ac:dyDescent="0.3">
      <c r="A142">
        <v>139</v>
      </c>
      <c r="B142" t="s">
        <v>830</v>
      </c>
      <c r="C142" t="s">
        <v>831</v>
      </c>
      <c r="D142" t="s">
        <v>18</v>
      </c>
      <c r="E142" t="str">
        <f>Table1[[#This Row],[Abbreviations]]</f>
        <v>Arundel Gardens</v>
      </c>
      <c r="F142" t="s">
        <v>152</v>
      </c>
      <c r="G142" t="str">
        <f xml:space="preserve"> PROPER(_xlfn.CONCAT(Table13[[#This Row],[Title]]," ",Table13[[#This Row],[First Name]]," ",Table13[[#This Row],[Last Name]]))</f>
        <v>Miss Eneida Lindsey</v>
      </c>
      <c r="H142" t="str">
        <f t="shared" si="4"/>
        <v>Miss E.Lindsey</v>
      </c>
      <c r="I142" t="str">
        <f t="shared" si="5"/>
        <v>F</v>
      </c>
    </row>
    <row r="143" spans="1:9" x14ac:dyDescent="0.3">
      <c r="A143">
        <v>140</v>
      </c>
      <c r="B143" t="s">
        <v>833</v>
      </c>
      <c r="C143" t="s">
        <v>834</v>
      </c>
      <c r="D143" t="s">
        <v>71</v>
      </c>
      <c r="E143" t="str">
        <f>Table1[[#This Row],[Abbreviations]]</f>
        <v>Milton Park</v>
      </c>
      <c r="F143" t="s">
        <v>238</v>
      </c>
      <c r="G143" t="str">
        <f xml:space="preserve"> PROPER(_xlfn.CONCAT(Table13[[#This Row],[Title]]," ",Table13[[#This Row],[First Name]]," ",Table13[[#This Row],[Last Name]]))</f>
        <v>Ms Millicent Grimes</v>
      </c>
      <c r="H143" t="str">
        <f t="shared" si="4"/>
        <v>Ms M.Grimes</v>
      </c>
      <c r="I143" t="str">
        <f t="shared" si="5"/>
        <v>F</v>
      </c>
    </row>
    <row r="144" spans="1:9" x14ac:dyDescent="0.3">
      <c r="A144">
        <v>141</v>
      </c>
      <c r="B144" t="s">
        <v>836</v>
      </c>
      <c r="C144" t="s">
        <v>140</v>
      </c>
      <c r="D144" t="s">
        <v>18</v>
      </c>
      <c r="E144" t="str">
        <f>Table1[[#This Row],[Abbreviations]]</f>
        <v>Alderville Road</v>
      </c>
      <c r="F144" t="s">
        <v>838</v>
      </c>
      <c r="G144" t="str">
        <f xml:space="preserve"> PROPER(_xlfn.CONCAT(Table13[[#This Row],[Title]]," ",Table13[[#This Row],[First Name]]," ",Table13[[#This Row],[Last Name]]))</f>
        <v>Miss Concepcion Meza</v>
      </c>
      <c r="H144" t="str">
        <f t="shared" si="4"/>
        <v>Miss C.Meza</v>
      </c>
      <c r="I144" t="str">
        <f t="shared" si="5"/>
        <v>F</v>
      </c>
    </row>
    <row r="145" spans="1:9" x14ac:dyDescent="0.3">
      <c r="A145">
        <v>142</v>
      </c>
      <c r="B145" t="s">
        <v>839</v>
      </c>
      <c r="C145" t="s">
        <v>528</v>
      </c>
      <c r="D145" t="s">
        <v>7</v>
      </c>
      <c r="E145" t="str">
        <f>Table1[[#This Row],[Abbreviations]]</f>
        <v>Cathcart Road</v>
      </c>
      <c r="F145" t="s">
        <v>841</v>
      </c>
      <c r="G145" t="str">
        <f xml:space="preserve"> PROPER(_xlfn.CONCAT(Table13[[#This Row],[Title]]," ",Table13[[#This Row],[First Name]]," ",Table13[[#This Row],[Last Name]]))</f>
        <v>Mrs Starla West</v>
      </c>
      <c r="H145" t="str">
        <f t="shared" si="4"/>
        <v>Mrs S.West</v>
      </c>
      <c r="I145" t="str">
        <f t="shared" si="5"/>
        <v>F</v>
      </c>
    </row>
    <row r="146" spans="1:9" x14ac:dyDescent="0.3">
      <c r="A146">
        <v>143</v>
      </c>
      <c r="B146" t="s">
        <v>842</v>
      </c>
      <c r="C146" t="s">
        <v>549</v>
      </c>
      <c r="D146" t="s">
        <v>18</v>
      </c>
      <c r="E146" t="str">
        <f>Table1[[#This Row],[Abbreviations]]</f>
        <v>Hallam Mews</v>
      </c>
      <c r="F146" t="s">
        <v>844</v>
      </c>
      <c r="G146" t="str">
        <f xml:space="preserve"> PROPER(_xlfn.CONCAT(Table13[[#This Row],[Title]]," ",Table13[[#This Row],[First Name]]," ",Table13[[#This Row],[Last Name]]))</f>
        <v>Miss Kasie Howell</v>
      </c>
      <c r="H146" t="str">
        <f t="shared" si="4"/>
        <v>Miss K.Howell</v>
      </c>
      <c r="I146" t="str">
        <f t="shared" si="5"/>
        <v>F</v>
      </c>
    </row>
    <row r="147" spans="1:9" x14ac:dyDescent="0.3">
      <c r="A147">
        <v>144</v>
      </c>
      <c r="B147" t="s">
        <v>417</v>
      </c>
      <c r="C147" t="s">
        <v>845</v>
      </c>
      <c r="D147" t="s">
        <v>71</v>
      </c>
      <c r="E147" t="str">
        <f>Table1[[#This Row],[Abbreviations]]</f>
        <v>Hoskins Close</v>
      </c>
      <c r="F147" t="s">
        <v>550</v>
      </c>
      <c r="G147" t="str">
        <f xml:space="preserve"> PROPER(_xlfn.CONCAT(Table13[[#This Row],[Title]]," ",Table13[[#This Row],[First Name]]," ",Table13[[#This Row],[Last Name]]))</f>
        <v>Ms Herta Cole</v>
      </c>
      <c r="H147" t="str">
        <f t="shared" si="4"/>
        <v>Ms H.Cole</v>
      </c>
      <c r="I147" t="str">
        <f t="shared" si="5"/>
        <v>F</v>
      </c>
    </row>
    <row r="148" spans="1:9" x14ac:dyDescent="0.3">
      <c r="A148">
        <v>145</v>
      </c>
      <c r="B148" t="s">
        <v>847</v>
      </c>
      <c r="C148" t="s">
        <v>848</v>
      </c>
      <c r="D148" t="s">
        <v>18</v>
      </c>
      <c r="E148" t="str">
        <f>Table1[[#This Row],[Abbreviations]]</f>
        <v>Fitzroy Court</v>
      </c>
      <c r="F148" t="s">
        <v>850</v>
      </c>
      <c r="G148" t="str">
        <f xml:space="preserve"> PROPER(_xlfn.CONCAT(Table13[[#This Row],[Title]]," ",Table13[[#This Row],[First Name]]," ",Table13[[#This Row],[Last Name]]))</f>
        <v>Miss Yun Braun</v>
      </c>
      <c r="H148" t="str">
        <f t="shared" si="4"/>
        <v>Miss Y.Braun</v>
      </c>
      <c r="I148" t="str">
        <f t="shared" si="5"/>
        <v>F</v>
      </c>
    </row>
    <row r="149" spans="1:9" x14ac:dyDescent="0.3">
      <c r="A149">
        <v>146</v>
      </c>
      <c r="B149" t="s">
        <v>851</v>
      </c>
      <c r="C149" t="s">
        <v>852</v>
      </c>
      <c r="D149" t="s">
        <v>18</v>
      </c>
      <c r="E149" t="str">
        <f>Table1[[#This Row],[Abbreviations]]</f>
        <v>Langdale Villas</v>
      </c>
      <c r="F149" t="s">
        <v>568</v>
      </c>
      <c r="G149" t="str">
        <f xml:space="preserve"> PROPER(_xlfn.CONCAT(Table13[[#This Row],[Title]]," ",Table13[[#This Row],[First Name]]," ",Table13[[#This Row],[Last Name]]))</f>
        <v>Miss Manuela Caudill</v>
      </c>
      <c r="H149" t="str">
        <f t="shared" si="4"/>
        <v>Miss M.Caudill</v>
      </c>
      <c r="I149" t="str">
        <f t="shared" si="5"/>
        <v>F</v>
      </c>
    </row>
    <row r="150" spans="1:9" x14ac:dyDescent="0.3">
      <c r="A150">
        <v>147</v>
      </c>
      <c r="B150" t="s">
        <v>854</v>
      </c>
      <c r="C150" t="s">
        <v>702</v>
      </c>
      <c r="D150" t="s">
        <v>7</v>
      </c>
      <c r="E150" t="str">
        <f>Table1[[#This Row],[Abbreviations]]</f>
        <v>Devonshire Hill</v>
      </c>
      <c r="F150" t="s">
        <v>856</v>
      </c>
      <c r="G150" t="str">
        <f xml:space="preserve"> PROPER(_xlfn.CONCAT(Table13[[#This Row],[Title]]," ",Table13[[#This Row],[First Name]]," ",Table13[[#This Row],[Last Name]]))</f>
        <v>Mrs Lina Lyons</v>
      </c>
      <c r="H150" t="str">
        <f t="shared" si="4"/>
        <v>Mrs L.Lyons</v>
      </c>
      <c r="I150" t="str">
        <f t="shared" si="5"/>
        <v>F</v>
      </c>
    </row>
    <row r="151" spans="1:9" x14ac:dyDescent="0.3">
      <c r="A151">
        <v>148</v>
      </c>
      <c r="B151" t="s">
        <v>857</v>
      </c>
      <c r="C151" t="s">
        <v>858</v>
      </c>
      <c r="D151" t="s">
        <v>7</v>
      </c>
      <c r="E151" t="str">
        <f>Table1[[#This Row],[Abbreviations]]</f>
        <v>Terrace Road</v>
      </c>
      <c r="F151" t="s">
        <v>860</v>
      </c>
      <c r="G151" t="str">
        <f xml:space="preserve"> PROPER(_xlfn.CONCAT(Table13[[#This Row],[Title]]," ",Table13[[#This Row],[First Name]]," ",Table13[[#This Row],[Last Name]]))</f>
        <v>Mrs Davida Bingham</v>
      </c>
      <c r="H151" t="str">
        <f t="shared" si="4"/>
        <v>Mrs D.Bingham</v>
      </c>
      <c r="I151" t="str">
        <f t="shared" si="5"/>
        <v>F</v>
      </c>
    </row>
    <row r="152" spans="1:9" x14ac:dyDescent="0.3">
      <c r="A152">
        <v>149</v>
      </c>
      <c r="B152" t="s">
        <v>861</v>
      </c>
      <c r="C152" t="s">
        <v>862</v>
      </c>
      <c r="D152" t="s">
        <v>18</v>
      </c>
      <c r="E152" t="str">
        <f>Table1[[#This Row],[Abbreviations]]</f>
        <v>Clewer Court</v>
      </c>
      <c r="F152" t="s">
        <v>864</v>
      </c>
      <c r="G152" t="str">
        <f xml:space="preserve"> PROPER(_xlfn.CONCAT(Table13[[#This Row],[Title]]," ",Table13[[#This Row],[First Name]]," ",Table13[[#This Row],[Last Name]]))</f>
        <v>Miss Lenita Alfaro</v>
      </c>
      <c r="H152" t="str">
        <f t="shared" si="4"/>
        <v>Miss L.Alfaro</v>
      </c>
      <c r="I152" t="str">
        <f t="shared" si="5"/>
        <v>F</v>
      </c>
    </row>
    <row r="153" spans="1:9" x14ac:dyDescent="0.3">
      <c r="A153">
        <v>150</v>
      </c>
      <c r="B153" t="s">
        <v>865</v>
      </c>
      <c r="C153" t="s">
        <v>866</v>
      </c>
      <c r="D153" t="s">
        <v>7</v>
      </c>
      <c r="E153" t="str">
        <f>Table1[[#This Row],[Abbreviations]]</f>
        <v>Turrett Grove</v>
      </c>
      <c r="F153" t="s">
        <v>868</v>
      </c>
      <c r="G153" t="str">
        <f xml:space="preserve"> PROPER(_xlfn.CONCAT(Table13[[#This Row],[Title]]," ",Table13[[#This Row],[First Name]]," ",Table13[[#This Row],[Last Name]]))</f>
        <v>Mrs Margarite Jennings</v>
      </c>
      <c r="H153" t="str">
        <f t="shared" si="4"/>
        <v>Mrs M.Jennings</v>
      </c>
      <c r="I153" t="str">
        <f t="shared" si="5"/>
        <v>F</v>
      </c>
    </row>
    <row r="154" spans="1:9" x14ac:dyDescent="0.3">
      <c r="A154">
        <v>151</v>
      </c>
      <c r="B154" t="s">
        <v>869</v>
      </c>
      <c r="C154" t="s">
        <v>870</v>
      </c>
      <c r="D154" t="s">
        <v>7</v>
      </c>
      <c r="E154" t="str">
        <f>Table1[[#This Row],[Abbreviations]]</f>
        <v>Bowmans Place</v>
      </c>
      <c r="F154" t="s">
        <v>871</v>
      </c>
      <c r="G154" t="str">
        <f xml:space="preserve"> PROPER(_xlfn.CONCAT(Table13[[#This Row],[Title]]," ",Table13[[#This Row],[First Name]]," ",Table13[[#This Row],[Last Name]]))</f>
        <v>Mrs Ngan Neff</v>
      </c>
      <c r="H154" t="str">
        <f t="shared" si="4"/>
        <v>Mrs N.Neff</v>
      </c>
      <c r="I154" t="str">
        <f t="shared" si="5"/>
        <v>F</v>
      </c>
    </row>
    <row r="155" spans="1:9" x14ac:dyDescent="0.3">
      <c r="A155">
        <v>152</v>
      </c>
      <c r="B155" t="s">
        <v>872</v>
      </c>
      <c r="C155" t="s">
        <v>873</v>
      </c>
      <c r="D155" t="s">
        <v>18</v>
      </c>
      <c r="E155" t="str">
        <f>Table1[[#This Row],[Abbreviations]]</f>
        <v>Ground Street</v>
      </c>
      <c r="F155" t="s">
        <v>666</v>
      </c>
      <c r="G155" t="str">
        <f xml:space="preserve"> PROPER(_xlfn.CONCAT(Table13[[#This Row],[Title]]," ",Table13[[#This Row],[First Name]]," ",Table13[[#This Row],[Last Name]]))</f>
        <v>Miss Mei Kramer</v>
      </c>
      <c r="H155" t="str">
        <f t="shared" si="4"/>
        <v>Miss M.Kramer</v>
      </c>
      <c r="I155" t="str">
        <f t="shared" si="5"/>
        <v>F</v>
      </c>
    </row>
    <row r="156" spans="1:9" x14ac:dyDescent="0.3">
      <c r="A156">
        <v>153</v>
      </c>
      <c r="B156" t="s">
        <v>875</v>
      </c>
      <c r="C156" t="s">
        <v>876</v>
      </c>
      <c r="D156" t="s">
        <v>18</v>
      </c>
      <c r="E156" t="str">
        <f>Table1[[#This Row],[Abbreviations]]</f>
        <v>Madinah Road</v>
      </c>
      <c r="F156" t="s">
        <v>878</v>
      </c>
      <c r="G156" t="str">
        <f xml:space="preserve"> PROPER(_xlfn.CONCAT(Table13[[#This Row],[Title]]," ",Table13[[#This Row],[First Name]]," ",Table13[[#This Row],[Last Name]]))</f>
        <v>Miss Luba Robertson</v>
      </c>
      <c r="H156" t="str">
        <f t="shared" si="4"/>
        <v>Miss L.Robertson</v>
      </c>
      <c r="I156" t="str">
        <f t="shared" si="5"/>
        <v>F</v>
      </c>
    </row>
    <row r="157" spans="1:9" x14ac:dyDescent="0.3">
      <c r="A157">
        <v>154</v>
      </c>
      <c r="B157" t="s">
        <v>879</v>
      </c>
      <c r="C157" t="s">
        <v>880</v>
      </c>
      <c r="D157" t="s">
        <v>7</v>
      </c>
      <c r="E157" t="str">
        <f>Table1[[#This Row],[Abbreviations]]</f>
        <v>Emerson Place</v>
      </c>
      <c r="F157" t="s">
        <v>882</v>
      </c>
      <c r="G157" t="str">
        <f xml:space="preserve"> PROPER(_xlfn.CONCAT(Table13[[#This Row],[Title]]," ",Table13[[#This Row],[First Name]]," ",Table13[[#This Row],[Last Name]]))</f>
        <v>Mrs Valentine Cochran</v>
      </c>
      <c r="H157" t="str">
        <f t="shared" si="4"/>
        <v>Mrs V.Cochran</v>
      </c>
      <c r="I157" t="str">
        <f t="shared" si="5"/>
        <v>F</v>
      </c>
    </row>
    <row r="158" spans="1:9" x14ac:dyDescent="0.3">
      <c r="A158">
        <v>155</v>
      </c>
      <c r="B158" t="s">
        <v>883</v>
      </c>
      <c r="C158" t="s">
        <v>884</v>
      </c>
      <c r="D158" t="s">
        <v>7</v>
      </c>
      <c r="E158" t="str">
        <f>Table1[[#This Row],[Abbreviations]]</f>
        <v>Ring Road</v>
      </c>
      <c r="F158" t="s">
        <v>886</v>
      </c>
      <c r="G158" t="str">
        <f xml:space="preserve"> PROPER(_xlfn.CONCAT(Table13[[#This Row],[Title]]," ",Table13[[#This Row],[First Name]]," ",Table13[[#This Row],[Last Name]]))</f>
        <v>Mrs Lonnie Malone</v>
      </c>
      <c r="H158" t="str">
        <f t="shared" si="4"/>
        <v>Mrs L.Malone</v>
      </c>
      <c r="I158" t="str">
        <f t="shared" si="5"/>
        <v>F</v>
      </c>
    </row>
    <row r="159" spans="1:9" x14ac:dyDescent="0.3">
      <c r="A159">
        <v>156</v>
      </c>
      <c r="B159" t="s">
        <v>887</v>
      </c>
      <c r="C159" t="s">
        <v>888</v>
      </c>
      <c r="D159" t="s">
        <v>18</v>
      </c>
      <c r="E159" t="str">
        <f>Table1[[#This Row],[Abbreviations]]</f>
        <v>Sparkes Cottages</v>
      </c>
      <c r="F159" t="s">
        <v>890</v>
      </c>
      <c r="G159" t="str">
        <f xml:space="preserve"> PROPER(_xlfn.CONCAT(Table13[[#This Row],[Title]]," ",Table13[[#This Row],[First Name]]," ",Table13[[#This Row],[Last Name]]))</f>
        <v>Miss Deadra Trevino</v>
      </c>
      <c r="H159" t="str">
        <f t="shared" si="4"/>
        <v>Miss D.Trevino</v>
      </c>
      <c r="I159" t="str">
        <f t="shared" si="5"/>
        <v>F</v>
      </c>
    </row>
    <row r="160" spans="1:9" x14ac:dyDescent="0.3">
      <c r="A160">
        <v>157</v>
      </c>
      <c r="B160" t="s">
        <v>891</v>
      </c>
      <c r="C160" t="s">
        <v>892</v>
      </c>
      <c r="D160" t="s">
        <v>7</v>
      </c>
      <c r="E160" t="str">
        <f>Table1[[#This Row],[Abbreviations]]</f>
        <v>Lakis Close</v>
      </c>
      <c r="F160" t="s">
        <v>49</v>
      </c>
      <c r="G160" t="str">
        <f xml:space="preserve"> PROPER(_xlfn.CONCAT(Table13[[#This Row],[Title]]," ",Table13[[#This Row],[First Name]]," ",Table13[[#This Row],[Last Name]]))</f>
        <v>Mrs Joycelyn Hurst</v>
      </c>
      <c r="H160" t="str">
        <f t="shared" si="4"/>
        <v>Mrs J.Hurst</v>
      </c>
      <c r="I160" t="str">
        <f t="shared" si="5"/>
        <v>F</v>
      </c>
    </row>
    <row r="161" spans="1:9" x14ac:dyDescent="0.3">
      <c r="A161">
        <v>158</v>
      </c>
      <c r="B161" t="s">
        <v>894</v>
      </c>
      <c r="C161" t="s">
        <v>895</v>
      </c>
      <c r="D161" t="s">
        <v>7</v>
      </c>
      <c r="E161" t="str">
        <f>Table1[[#This Row],[Abbreviations]]</f>
        <v>Oaklands</v>
      </c>
      <c r="F161" t="s">
        <v>897</v>
      </c>
      <c r="G161" t="str">
        <f xml:space="preserve"> PROPER(_xlfn.CONCAT(Table13[[#This Row],[Title]]," ",Table13[[#This Row],[First Name]]," ",Table13[[#This Row],[Last Name]]))</f>
        <v>Mrs Hui Marion</v>
      </c>
      <c r="H161" t="str">
        <f t="shared" si="4"/>
        <v>Mrs H.Marion</v>
      </c>
      <c r="I161" t="str">
        <f t="shared" si="5"/>
        <v>F</v>
      </c>
    </row>
    <row r="162" spans="1:9" x14ac:dyDescent="0.3">
      <c r="A162">
        <v>159</v>
      </c>
      <c r="B162" t="s">
        <v>898</v>
      </c>
      <c r="C162" t="s">
        <v>899</v>
      </c>
      <c r="D162" t="s">
        <v>18</v>
      </c>
      <c r="E162" t="str">
        <f>Table1[[#This Row],[Abbreviations]]</f>
        <v>Tessa Sanderson</v>
      </c>
      <c r="F162" t="s">
        <v>148</v>
      </c>
      <c r="G162" t="str">
        <f xml:space="preserve"> PROPER(_xlfn.CONCAT(Table13[[#This Row],[Title]]," ",Table13[[#This Row],[First Name]]," ",Table13[[#This Row],[Last Name]]))</f>
        <v>Miss Armanda Hull</v>
      </c>
      <c r="H162" t="str">
        <f t="shared" si="4"/>
        <v>Miss A.Hull</v>
      </c>
      <c r="I162" t="str">
        <f t="shared" si="5"/>
        <v>F</v>
      </c>
    </row>
    <row r="163" spans="1:9" x14ac:dyDescent="0.3">
      <c r="A163">
        <v>160</v>
      </c>
      <c r="B163" t="s">
        <v>901</v>
      </c>
      <c r="C163" t="s">
        <v>462</v>
      </c>
      <c r="D163" t="s">
        <v>71</v>
      </c>
      <c r="E163" t="str">
        <f>Table1[[#This Row],[Abbreviations]]</f>
        <v>Milstead Terrace</v>
      </c>
      <c r="F163" t="s">
        <v>903</v>
      </c>
      <c r="G163" t="str">
        <f xml:space="preserve"> PROPER(_xlfn.CONCAT(Table13[[#This Row],[Title]]," ",Table13[[#This Row],[First Name]]," ",Table13[[#This Row],[Last Name]]))</f>
        <v>Ms Lisette Bridges</v>
      </c>
      <c r="H163" t="str">
        <f t="shared" si="4"/>
        <v>Ms L.Bridges</v>
      </c>
      <c r="I163" t="str">
        <f t="shared" si="5"/>
        <v>F</v>
      </c>
    </row>
    <row r="164" spans="1:9" x14ac:dyDescent="0.3">
      <c r="A164">
        <v>161</v>
      </c>
      <c r="B164" t="s">
        <v>904</v>
      </c>
      <c r="C164" t="s">
        <v>905</v>
      </c>
      <c r="D164" t="s">
        <v>71</v>
      </c>
      <c r="E164" t="str">
        <f>Table1[[#This Row],[Abbreviations]]</f>
        <v>Nursery Street</v>
      </c>
      <c r="F164" t="s">
        <v>907</v>
      </c>
      <c r="G164" t="str">
        <f xml:space="preserve"> PROPER(_xlfn.CONCAT(Table13[[#This Row],[Title]]," ",Table13[[#This Row],[First Name]]," ",Table13[[#This Row],[Last Name]]))</f>
        <v>Ms Jenae Mosley</v>
      </c>
      <c r="H164" t="str">
        <f t="shared" si="4"/>
        <v>Ms J.Mosley</v>
      </c>
      <c r="I164" t="str">
        <f t="shared" si="5"/>
        <v>F</v>
      </c>
    </row>
    <row r="165" spans="1:9" x14ac:dyDescent="0.3">
      <c r="A165">
        <v>162</v>
      </c>
      <c r="B165" t="s">
        <v>5</v>
      </c>
      <c r="C165" t="s">
        <v>908</v>
      </c>
      <c r="D165" t="s">
        <v>7</v>
      </c>
      <c r="E165" t="str">
        <f>Table1[[#This Row],[Abbreviations]]</f>
        <v>Freedom Road</v>
      </c>
      <c r="F165" t="s">
        <v>910</v>
      </c>
      <c r="G165" t="str">
        <f xml:space="preserve"> PROPER(_xlfn.CONCAT(Table13[[#This Row],[Title]]," ",Table13[[#This Row],[First Name]]," ",Table13[[#This Row],[Last Name]]))</f>
        <v>Mrs Nanci Arredondo</v>
      </c>
      <c r="H165" t="str">
        <f t="shared" si="4"/>
        <v>Mrs N.Arredondo</v>
      </c>
      <c r="I165" t="str">
        <f t="shared" si="5"/>
        <v>F</v>
      </c>
    </row>
    <row r="166" spans="1:9" x14ac:dyDescent="0.3">
      <c r="A166">
        <v>163</v>
      </c>
      <c r="B166" t="s">
        <v>911</v>
      </c>
      <c r="C166" t="s">
        <v>370</v>
      </c>
      <c r="D166" t="s">
        <v>18</v>
      </c>
      <c r="E166" t="str">
        <f>Table1[[#This Row],[Abbreviations]]</f>
        <v>Hickly Road</v>
      </c>
      <c r="F166" t="s">
        <v>913</v>
      </c>
      <c r="G166" t="str">
        <f xml:space="preserve"> PROPER(_xlfn.CONCAT(Table13[[#This Row],[Title]]," ",Table13[[#This Row],[First Name]]," ",Table13[[#This Row],[Last Name]]))</f>
        <v>Miss Fransisca Mcmullen</v>
      </c>
      <c r="H166" t="str">
        <f t="shared" si="4"/>
        <v>Miss F.Mcmullen</v>
      </c>
      <c r="I166" t="str">
        <f t="shared" si="5"/>
        <v>F</v>
      </c>
    </row>
    <row r="167" spans="1:9" x14ac:dyDescent="0.3">
      <c r="A167">
        <v>164</v>
      </c>
      <c r="B167" t="s">
        <v>914</v>
      </c>
      <c r="C167" t="s">
        <v>915</v>
      </c>
      <c r="D167" t="s">
        <v>18</v>
      </c>
      <c r="E167" t="str">
        <f>Table1[[#This Row],[Abbreviations]]</f>
        <v>Hillyfield</v>
      </c>
      <c r="F167" t="s">
        <v>917</v>
      </c>
      <c r="G167" t="str">
        <f xml:space="preserve"> PROPER(_xlfn.CONCAT(Table13[[#This Row],[Title]]," ",Table13[[#This Row],[First Name]]," ",Table13[[#This Row],[Last Name]]))</f>
        <v>Miss Blanch Hairston</v>
      </c>
      <c r="H167" t="str">
        <f t="shared" si="4"/>
        <v>Miss B.Hairston</v>
      </c>
      <c r="I167" t="str">
        <f t="shared" si="5"/>
        <v>F</v>
      </c>
    </row>
    <row r="168" spans="1:9" x14ac:dyDescent="0.3">
      <c r="A168">
        <v>165</v>
      </c>
      <c r="B168" t="s">
        <v>918</v>
      </c>
      <c r="C168" t="s">
        <v>536</v>
      </c>
      <c r="D168" t="s">
        <v>18</v>
      </c>
      <c r="E168" t="str">
        <f>Table1[[#This Row],[Abbreviations]]</f>
        <v>Portgate Close</v>
      </c>
      <c r="F168" t="s">
        <v>778</v>
      </c>
      <c r="G168" t="str">
        <f xml:space="preserve"> PROPER(_xlfn.CONCAT(Table13[[#This Row],[Title]]," ",Table13[[#This Row],[First Name]]," ",Table13[[#This Row],[Last Name]]))</f>
        <v>Miss Hilaria Richey</v>
      </c>
      <c r="H168" t="str">
        <f t="shared" si="4"/>
        <v>Miss H.Richey</v>
      </c>
      <c r="I168" t="str">
        <f t="shared" si="5"/>
        <v>F</v>
      </c>
    </row>
    <row r="169" spans="1:9" x14ac:dyDescent="0.3">
      <c r="A169">
        <v>166</v>
      </c>
      <c r="B169" t="s">
        <v>920</v>
      </c>
      <c r="C169" t="s">
        <v>387</v>
      </c>
      <c r="D169" t="s">
        <v>7</v>
      </c>
      <c r="E169" t="str">
        <f>Table1[[#This Row],[Abbreviations]]</f>
        <v>Poultney Street</v>
      </c>
      <c r="F169" t="s">
        <v>922</v>
      </c>
      <c r="G169" t="str">
        <f xml:space="preserve"> PROPER(_xlfn.CONCAT(Table13[[#This Row],[Title]]," ",Table13[[#This Row],[First Name]]," ",Table13[[#This Row],[Last Name]]))</f>
        <v>Mrs Gerry Melton</v>
      </c>
      <c r="H169" t="str">
        <f t="shared" si="4"/>
        <v>Mrs G.Melton</v>
      </c>
      <c r="I169" t="str">
        <f t="shared" si="5"/>
        <v>F</v>
      </c>
    </row>
    <row r="170" spans="1:9" x14ac:dyDescent="0.3">
      <c r="A170">
        <v>167</v>
      </c>
      <c r="B170" t="s">
        <v>456</v>
      </c>
      <c r="C170" t="s">
        <v>923</v>
      </c>
      <c r="D170" t="s">
        <v>7</v>
      </c>
      <c r="E170" t="str">
        <f>Table1[[#This Row],[Abbreviations]]</f>
        <v>Dussore'S Court</v>
      </c>
      <c r="F170" t="s">
        <v>925</v>
      </c>
      <c r="G170" t="str">
        <f xml:space="preserve"> PROPER(_xlfn.CONCAT(Table13[[#This Row],[Title]]," ",Table13[[#This Row],[First Name]]," ",Table13[[#This Row],[Last Name]]))</f>
        <v>Mrs Victor Coker</v>
      </c>
      <c r="H170" t="str">
        <f t="shared" si="4"/>
        <v>Mrs V.Coker</v>
      </c>
      <c r="I170" t="str">
        <f t="shared" si="5"/>
        <v>F</v>
      </c>
    </row>
    <row r="171" spans="1:9" x14ac:dyDescent="0.3">
      <c r="A171">
        <v>168</v>
      </c>
      <c r="B171" t="s">
        <v>926</v>
      </c>
      <c r="C171" t="s">
        <v>927</v>
      </c>
      <c r="D171" t="s">
        <v>7</v>
      </c>
      <c r="E171" t="str">
        <f>Table1[[#This Row],[Abbreviations]]</f>
        <v>Ponsonby Street</v>
      </c>
      <c r="F171" t="s">
        <v>164</v>
      </c>
      <c r="G171" t="str">
        <f xml:space="preserve"> PROPER(_xlfn.CONCAT(Table13[[#This Row],[Title]]," ",Table13[[#This Row],[First Name]]," ",Table13[[#This Row],[Last Name]]))</f>
        <v>Mrs Karren Farrell</v>
      </c>
      <c r="H171" t="str">
        <f t="shared" si="4"/>
        <v>Mrs K.Farrell</v>
      </c>
      <c r="I171" t="str">
        <f t="shared" si="5"/>
        <v>F</v>
      </c>
    </row>
    <row r="172" spans="1:9" x14ac:dyDescent="0.3">
      <c r="A172">
        <v>169</v>
      </c>
      <c r="B172" t="s">
        <v>928</v>
      </c>
      <c r="C172" t="s">
        <v>929</v>
      </c>
      <c r="D172" t="s">
        <v>7</v>
      </c>
      <c r="E172" t="str">
        <f>Table1[[#This Row],[Abbreviations]]</f>
        <v>Wolsey Court</v>
      </c>
      <c r="F172" t="s">
        <v>931</v>
      </c>
      <c r="G172" t="str">
        <f xml:space="preserve"> PROPER(_xlfn.CONCAT(Table13[[#This Row],[Title]]," ",Table13[[#This Row],[First Name]]," ",Table13[[#This Row],[Last Name]]))</f>
        <v>Mrs Lucina Weiss</v>
      </c>
      <c r="H172" t="str">
        <f t="shared" si="4"/>
        <v>Mrs L.Weiss</v>
      </c>
      <c r="I172" t="str">
        <f t="shared" si="5"/>
        <v>F</v>
      </c>
    </row>
    <row r="173" spans="1:9" x14ac:dyDescent="0.3">
      <c r="A173">
        <v>170</v>
      </c>
      <c r="B173" t="s">
        <v>932</v>
      </c>
      <c r="C173" t="s">
        <v>933</v>
      </c>
      <c r="D173" t="s">
        <v>18</v>
      </c>
      <c r="E173" t="str">
        <f>Table1[[#This Row],[Abbreviations]]</f>
        <v>Lord Roberts</v>
      </c>
      <c r="F173" t="s">
        <v>468</v>
      </c>
      <c r="G173" t="str">
        <f xml:space="preserve"> PROPER(_xlfn.CONCAT(Table13[[#This Row],[Title]]," ",Table13[[#This Row],[First Name]]," ",Table13[[#This Row],[Last Name]]))</f>
        <v>Miss Allena Crenshaw</v>
      </c>
      <c r="H173" t="str">
        <f t="shared" si="4"/>
        <v>Miss A.Crenshaw</v>
      </c>
      <c r="I173" t="str">
        <f t="shared" si="5"/>
        <v>F</v>
      </c>
    </row>
    <row r="174" spans="1:9" x14ac:dyDescent="0.3">
      <c r="A174">
        <v>171</v>
      </c>
      <c r="B174" t="s">
        <v>935</v>
      </c>
      <c r="C174" t="s">
        <v>936</v>
      </c>
      <c r="D174" t="s">
        <v>18</v>
      </c>
      <c r="E174" t="str">
        <f>Table1[[#This Row],[Abbreviations]]</f>
        <v>Lidfield Road</v>
      </c>
      <c r="F174" t="s">
        <v>938</v>
      </c>
      <c r="G174" t="str">
        <f xml:space="preserve"> PROPER(_xlfn.CONCAT(Table13[[#This Row],[Title]]," ",Table13[[#This Row],[First Name]]," ",Table13[[#This Row],[Last Name]]))</f>
        <v>Miss Lilliana Weber</v>
      </c>
      <c r="H174" t="str">
        <f t="shared" si="4"/>
        <v>Miss L.Weber</v>
      </c>
      <c r="I174" t="str">
        <f t="shared" si="5"/>
        <v>F</v>
      </c>
    </row>
    <row r="175" spans="1:9" x14ac:dyDescent="0.3">
      <c r="A175">
        <v>172</v>
      </c>
      <c r="B175" t="s">
        <v>939</v>
      </c>
      <c r="C175" t="s">
        <v>940</v>
      </c>
      <c r="D175" t="s">
        <v>55</v>
      </c>
      <c r="E175" t="str">
        <f>Table1[[#This Row],[Abbreviations]]</f>
        <v>Woodstock Street</v>
      </c>
      <c r="F175" t="s">
        <v>384</v>
      </c>
      <c r="G175" t="str">
        <f xml:space="preserve"> PROPER(_xlfn.CONCAT(Table13[[#This Row],[Title]]," ",Table13[[#This Row],[First Name]]," ",Table13[[#This Row],[Last Name]]))</f>
        <v>Prof Lynn Kennedy</v>
      </c>
      <c r="H175" t="str">
        <f t="shared" si="4"/>
        <v>Prof L.Kennedy</v>
      </c>
      <c r="I175" t="str">
        <f t="shared" si="5"/>
        <v>F</v>
      </c>
    </row>
    <row r="176" spans="1:9" x14ac:dyDescent="0.3">
      <c r="A176">
        <v>173</v>
      </c>
      <c r="B176" t="s">
        <v>942</v>
      </c>
      <c r="C176" t="s">
        <v>943</v>
      </c>
      <c r="D176" t="s">
        <v>7</v>
      </c>
      <c r="E176" t="str">
        <f>Table1[[#This Row],[Abbreviations]]</f>
        <v>Smyrren Green</v>
      </c>
      <c r="F176" t="s">
        <v>527</v>
      </c>
      <c r="G176" t="str">
        <f xml:space="preserve"> PROPER(_xlfn.CONCAT(Table13[[#This Row],[Title]]," ",Table13[[#This Row],[First Name]]," ",Table13[[#This Row],[Last Name]]))</f>
        <v>Mrs Treasa Sierra</v>
      </c>
      <c r="H176" t="str">
        <f t="shared" si="4"/>
        <v>Mrs T.Sierra</v>
      </c>
      <c r="I176" t="str">
        <f t="shared" si="5"/>
        <v>F</v>
      </c>
    </row>
    <row r="177" spans="1:9" x14ac:dyDescent="0.3">
      <c r="A177">
        <v>174</v>
      </c>
      <c r="B177" t="s">
        <v>945</v>
      </c>
      <c r="C177" t="s">
        <v>946</v>
      </c>
      <c r="D177" t="s">
        <v>7</v>
      </c>
      <c r="E177" t="str">
        <f>Table1[[#This Row],[Abbreviations]]</f>
        <v>Monterio Villas</v>
      </c>
      <c r="F177" t="s">
        <v>948</v>
      </c>
      <c r="G177" t="str">
        <f xml:space="preserve"> PROPER(_xlfn.CONCAT(Table13[[#This Row],[Title]]," ",Table13[[#This Row],[First Name]]," ",Table13[[#This Row],[Last Name]]))</f>
        <v>Mrs Valery Oneill</v>
      </c>
      <c r="H177" t="str">
        <f t="shared" si="4"/>
        <v>Mrs V.Oneill</v>
      </c>
      <c r="I177" t="str">
        <f t="shared" si="5"/>
        <v>F</v>
      </c>
    </row>
    <row r="178" spans="1:9" x14ac:dyDescent="0.3">
      <c r="A178">
        <v>175</v>
      </c>
      <c r="B178" t="s">
        <v>949</v>
      </c>
      <c r="C178" t="s">
        <v>950</v>
      </c>
      <c r="D178" t="s">
        <v>7</v>
      </c>
      <c r="E178" t="str">
        <f>Table1[[#This Row],[Abbreviations]]</f>
        <v>Chandler'S Rents</v>
      </c>
      <c r="F178" t="s">
        <v>952</v>
      </c>
      <c r="G178" t="str">
        <f xml:space="preserve"> PROPER(_xlfn.CONCAT(Table13[[#This Row],[Title]]," ",Table13[[#This Row],[First Name]]," ",Table13[[#This Row],[Last Name]]))</f>
        <v>Mrs Irina Mcgowan</v>
      </c>
      <c r="H178" t="str">
        <f t="shared" si="4"/>
        <v>Mrs I.Mcgowan</v>
      </c>
      <c r="I178" t="str">
        <f t="shared" si="5"/>
        <v>F</v>
      </c>
    </row>
    <row r="179" spans="1:9" x14ac:dyDescent="0.3">
      <c r="A179">
        <v>176</v>
      </c>
      <c r="B179" t="s">
        <v>953</v>
      </c>
      <c r="C179" t="s">
        <v>954</v>
      </c>
      <c r="D179" t="s">
        <v>18</v>
      </c>
      <c r="E179" t="str">
        <f>Table1[[#This Row],[Abbreviations]]</f>
        <v>Littlecombe</v>
      </c>
      <c r="F179" t="s">
        <v>956</v>
      </c>
      <c r="G179" t="str">
        <f xml:space="preserve"> PROPER(_xlfn.CONCAT(Table13[[#This Row],[Title]]," ",Table13[[#This Row],[First Name]]," ",Table13[[#This Row],[Last Name]]))</f>
        <v>Miss Saundra Latham</v>
      </c>
      <c r="H179" t="str">
        <f t="shared" si="4"/>
        <v>Miss S.Latham</v>
      </c>
      <c r="I179" t="str">
        <f t="shared" si="5"/>
        <v>F</v>
      </c>
    </row>
    <row r="180" spans="1:9" x14ac:dyDescent="0.3">
      <c r="A180">
        <v>177</v>
      </c>
      <c r="B180" t="s">
        <v>957</v>
      </c>
      <c r="C180" t="s">
        <v>958</v>
      </c>
      <c r="D180" t="s">
        <v>18</v>
      </c>
      <c r="E180" t="str">
        <f>Table1[[#This Row],[Abbreviations]]</f>
        <v>Chamberlens Garages</v>
      </c>
      <c r="F180" t="s">
        <v>226</v>
      </c>
      <c r="G180" t="str">
        <f xml:space="preserve"> PROPER(_xlfn.CONCAT(Table13[[#This Row],[Title]]," ",Table13[[#This Row],[First Name]]," ",Table13[[#This Row],[Last Name]]))</f>
        <v>Miss Cassie Edmonds</v>
      </c>
      <c r="H180" t="str">
        <f t="shared" si="4"/>
        <v>Miss C.Edmonds</v>
      </c>
      <c r="I180" t="str">
        <f t="shared" si="5"/>
        <v>F</v>
      </c>
    </row>
    <row r="181" spans="1:9" x14ac:dyDescent="0.3">
      <c r="A181">
        <v>178</v>
      </c>
      <c r="B181" t="s">
        <v>960</v>
      </c>
      <c r="C181" t="s">
        <v>961</v>
      </c>
      <c r="D181" t="s">
        <v>7</v>
      </c>
      <c r="E181" t="str">
        <f>Table1[[#This Row],[Abbreviations]]</f>
        <v>Boyton Arms</v>
      </c>
      <c r="F181" t="s">
        <v>963</v>
      </c>
      <c r="G181" t="str">
        <f xml:space="preserve"> PROPER(_xlfn.CONCAT(Table13[[#This Row],[Title]]," ",Table13[[#This Row],[First Name]]," ",Table13[[#This Row],[Last Name]]))</f>
        <v>Mrs Addie Rich</v>
      </c>
      <c r="H181" t="str">
        <f t="shared" si="4"/>
        <v>Mrs A.Rich</v>
      </c>
      <c r="I181" t="str">
        <f t="shared" si="5"/>
        <v>F</v>
      </c>
    </row>
    <row r="182" spans="1:9" x14ac:dyDescent="0.3">
      <c r="A182">
        <v>179</v>
      </c>
      <c r="B182" t="s">
        <v>964</v>
      </c>
      <c r="C182" t="s">
        <v>965</v>
      </c>
      <c r="D182" t="s">
        <v>7</v>
      </c>
      <c r="E182" t="str">
        <f>Table1[[#This Row],[Abbreviations]]</f>
        <v>Jerdan Place</v>
      </c>
      <c r="F182" t="s">
        <v>967</v>
      </c>
      <c r="G182" t="str">
        <f xml:space="preserve"> PROPER(_xlfn.CONCAT(Table13[[#This Row],[Title]]," ",Table13[[#This Row],[First Name]]," ",Table13[[#This Row],[Last Name]]))</f>
        <v>Mrs Gracia Huggins</v>
      </c>
      <c r="H182" t="str">
        <f t="shared" si="4"/>
        <v>Mrs G.Huggins</v>
      </c>
      <c r="I182" t="str">
        <f t="shared" si="5"/>
        <v>F</v>
      </c>
    </row>
    <row r="183" spans="1:9" x14ac:dyDescent="0.3">
      <c r="A183">
        <v>180</v>
      </c>
      <c r="B183" t="s">
        <v>968</v>
      </c>
      <c r="C183" t="s">
        <v>969</v>
      </c>
      <c r="D183" t="s">
        <v>18</v>
      </c>
      <c r="E183" t="str">
        <f>Table1[[#This Row],[Abbreviations]]</f>
        <v>Tulip Grove</v>
      </c>
      <c r="F183" t="s">
        <v>971</v>
      </c>
      <c r="G183" t="str">
        <f xml:space="preserve"> PROPER(_xlfn.CONCAT(Table13[[#This Row],[Title]]," ",Table13[[#This Row],[First Name]]," ",Table13[[#This Row],[Last Name]]))</f>
        <v>Miss Era Waters</v>
      </c>
      <c r="H183" t="str">
        <f t="shared" si="4"/>
        <v>Miss E.Waters</v>
      </c>
      <c r="I183" t="str">
        <f t="shared" si="5"/>
        <v>F</v>
      </c>
    </row>
    <row r="184" spans="1:9" x14ac:dyDescent="0.3">
      <c r="A184">
        <v>181</v>
      </c>
      <c r="B184" t="s">
        <v>603</v>
      </c>
      <c r="C184" t="s">
        <v>620</v>
      </c>
      <c r="D184" t="s">
        <v>318</v>
      </c>
      <c r="E184" t="str">
        <f>Table1[[#This Row],[Abbreviations]]</f>
        <v>Belsize Park</v>
      </c>
      <c r="F184" t="s">
        <v>973</v>
      </c>
      <c r="G184" t="str">
        <f xml:space="preserve"> PROPER(_xlfn.CONCAT(Table13[[#This Row],[Title]]," ",Table13[[#This Row],[First Name]]," ",Table13[[#This Row],[Last Name]]))</f>
        <v>Dr John Mccullough</v>
      </c>
      <c r="H184" t="str">
        <f t="shared" si="4"/>
        <v>Dr J.Mccullough</v>
      </c>
      <c r="I184" t="str">
        <f t="shared" si="5"/>
        <v>F</v>
      </c>
    </row>
    <row r="185" spans="1:9" x14ac:dyDescent="0.3">
      <c r="A185">
        <v>182</v>
      </c>
      <c r="B185" t="s">
        <v>974</v>
      </c>
      <c r="C185" t="s">
        <v>975</v>
      </c>
      <c r="D185" t="s">
        <v>318</v>
      </c>
      <c r="E185" t="str">
        <f>Table1[[#This Row],[Abbreviations]]</f>
        <v>Cathcart Road</v>
      </c>
      <c r="F185" t="s">
        <v>683</v>
      </c>
      <c r="G185" t="str">
        <f xml:space="preserve"> PROPER(_xlfn.CONCAT(Table13[[#This Row],[Title]]," ",Table13[[#This Row],[First Name]]," ",Table13[[#This Row],[Last Name]]))</f>
        <v>Dr Gidget Chen</v>
      </c>
      <c r="H185" t="str">
        <f t="shared" si="4"/>
        <v>Dr G.Chen</v>
      </c>
      <c r="I185" t="str">
        <f t="shared" si="5"/>
        <v>F</v>
      </c>
    </row>
    <row r="186" spans="1:9" x14ac:dyDescent="0.3">
      <c r="A186">
        <v>183</v>
      </c>
      <c r="B186" t="s">
        <v>976</v>
      </c>
      <c r="C186" t="s">
        <v>977</v>
      </c>
      <c r="D186" t="s">
        <v>18</v>
      </c>
      <c r="E186" t="str">
        <f>Table1[[#This Row],[Abbreviations]]</f>
        <v>Meldon Close</v>
      </c>
      <c r="F186" t="s">
        <v>979</v>
      </c>
      <c r="G186" t="str">
        <f xml:space="preserve"> PROPER(_xlfn.CONCAT(Table13[[#This Row],[Title]]," ",Table13[[#This Row],[First Name]]," ",Table13[[#This Row],[Last Name]]))</f>
        <v>Miss Eura Randall</v>
      </c>
      <c r="H186" t="str">
        <f t="shared" si="4"/>
        <v>Miss E.Randall</v>
      </c>
      <c r="I186" t="str">
        <f t="shared" si="5"/>
        <v>F</v>
      </c>
    </row>
    <row r="187" spans="1:9" x14ac:dyDescent="0.3">
      <c r="A187">
        <v>184</v>
      </c>
      <c r="B187" t="s">
        <v>980</v>
      </c>
      <c r="C187" t="s">
        <v>981</v>
      </c>
      <c r="D187" t="s">
        <v>71</v>
      </c>
      <c r="E187" t="str">
        <f>Table1[[#This Row],[Abbreviations]]</f>
        <v>Crescent Mews</v>
      </c>
      <c r="F187" t="s">
        <v>404</v>
      </c>
      <c r="G187" t="str">
        <f xml:space="preserve"> PROPER(_xlfn.CONCAT(Table13[[#This Row],[Title]]," ",Table13[[#This Row],[First Name]]," ",Table13[[#This Row],[Last Name]]))</f>
        <v>Ms Melia Boyce</v>
      </c>
      <c r="H187" t="str">
        <f t="shared" si="4"/>
        <v>Ms M.Boyce</v>
      </c>
      <c r="I187" t="str">
        <f t="shared" si="5"/>
        <v>F</v>
      </c>
    </row>
    <row r="188" spans="1:9" x14ac:dyDescent="0.3">
      <c r="A188">
        <v>185</v>
      </c>
      <c r="B188" t="s">
        <v>983</v>
      </c>
      <c r="C188" t="s">
        <v>984</v>
      </c>
      <c r="D188" t="s">
        <v>18</v>
      </c>
      <c r="E188" t="str">
        <f>Table1[[#This Row],[Abbreviations]]</f>
        <v>Brodia Road</v>
      </c>
      <c r="F188" t="s">
        <v>673</v>
      </c>
      <c r="G188" t="str">
        <f xml:space="preserve"> PROPER(_xlfn.CONCAT(Table13[[#This Row],[Title]]," ",Table13[[#This Row],[First Name]]," ",Table13[[#This Row],[Last Name]]))</f>
        <v>Miss Julianne Field</v>
      </c>
      <c r="H188" t="str">
        <f t="shared" si="4"/>
        <v>Miss J.Field</v>
      </c>
      <c r="I188" t="str">
        <f t="shared" si="5"/>
        <v>F</v>
      </c>
    </row>
    <row r="189" spans="1:9" x14ac:dyDescent="0.3">
      <c r="A189">
        <v>186</v>
      </c>
      <c r="B189" t="s">
        <v>986</v>
      </c>
      <c r="C189" t="s">
        <v>674</v>
      </c>
      <c r="D189" t="s">
        <v>7</v>
      </c>
      <c r="E189" t="str">
        <f>Table1[[#This Row],[Abbreviations]]</f>
        <v>Hadleigh Road</v>
      </c>
      <c r="F189" t="s">
        <v>430</v>
      </c>
      <c r="G189" t="str">
        <f xml:space="preserve"> PROPER(_xlfn.CONCAT(Table13[[#This Row],[Title]]," ",Table13[[#This Row],[First Name]]," ",Table13[[#This Row],[Last Name]]))</f>
        <v>Mrs Clemmie Watkins</v>
      </c>
      <c r="H189" t="str">
        <f t="shared" si="4"/>
        <v>Mrs C.Watkins</v>
      </c>
      <c r="I189" t="str">
        <f t="shared" si="5"/>
        <v>F</v>
      </c>
    </row>
    <row r="190" spans="1:9" x14ac:dyDescent="0.3">
      <c r="A190">
        <v>187</v>
      </c>
      <c r="B190" t="s">
        <v>988</v>
      </c>
      <c r="C190" t="s">
        <v>989</v>
      </c>
      <c r="D190" t="s">
        <v>18</v>
      </c>
      <c r="E190" t="str">
        <f>Table1[[#This Row],[Abbreviations]]</f>
        <v>Woodhouse Grove</v>
      </c>
      <c r="F190" t="s">
        <v>991</v>
      </c>
      <c r="G190" t="str">
        <f xml:space="preserve"> PROPER(_xlfn.CONCAT(Table13[[#This Row],[Title]]," ",Table13[[#This Row],[First Name]]," ",Table13[[#This Row],[Last Name]]))</f>
        <v>Miss Karla Raymond</v>
      </c>
      <c r="H190" t="str">
        <f t="shared" si="4"/>
        <v>Miss K.Raymond</v>
      </c>
      <c r="I190" t="str">
        <f t="shared" si="5"/>
        <v>F</v>
      </c>
    </row>
    <row r="191" spans="1:9" x14ac:dyDescent="0.3">
      <c r="A191">
        <v>188</v>
      </c>
      <c r="B191" t="s">
        <v>992</v>
      </c>
      <c r="C191" t="s">
        <v>993</v>
      </c>
      <c r="D191" t="s">
        <v>7</v>
      </c>
      <c r="E191" t="str">
        <f>Table1[[#This Row],[Abbreviations]]</f>
        <v>Waterden Road</v>
      </c>
      <c r="F191" t="s">
        <v>995</v>
      </c>
      <c r="G191" t="str">
        <f xml:space="preserve"> PROPER(_xlfn.CONCAT(Table13[[#This Row],[Title]]," ",Table13[[#This Row],[First Name]]," ",Table13[[#This Row],[Last Name]]))</f>
        <v>Mrs Annalee Darling</v>
      </c>
      <c r="H191" t="str">
        <f t="shared" si="4"/>
        <v>Mrs A.Darling</v>
      </c>
      <c r="I191" t="str">
        <f t="shared" si="5"/>
        <v>F</v>
      </c>
    </row>
    <row r="192" spans="1:9" x14ac:dyDescent="0.3">
      <c r="A192">
        <v>189</v>
      </c>
      <c r="B192" t="s">
        <v>996</v>
      </c>
      <c r="C192" t="s">
        <v>997</v>
      </c>
      <c r="D192" t="s">
        <v>18</v>
      </c>
      <c r="E192" t="str">
        <f>Table1[[#This Row],[Abbreviations]]</f>
        <v>Adolphus Road</v>
      </c>
      <c r="F192" t="s">
        <v>999</v>
      </c>
      <c r="G192" t="str">
        <f xml:space="preserve"> PROPER(_xlfn.CONCAT(Table13[[#This Row],[Title]]," ",Table13[[#This Row],[First Name]]," ",Table13[[#This Row],[Last Name]]))</f>
        <v>Miss Ellis Irwin</v>
      </c>
      <c r="H192" t="str">
        <f t="shared" si="4"/>
        <v>Miss E.Irwin</v>
      </c>
      <c r="I192" t="str">
        <f t="shared" si="5"/>
        <v>F</v>
      </c>
    </row>
    <row r="193" spans="1:9" x14ac:dyDescent="0.3">
      <c r="A193">
        <v>190</v>
      </c>
      <c r="B193" t="s">
        <v>1000</v>
      </c>
      <c r="C193" t="s">
        <v>1001</v>
      </c>
      <c r="D193" t="s">
        <v>7</v>
      </c>
      <c r="E193" t="str">
        <f>Table1[[#This Row],[Abbreviations]]</f>
        <v>Great George</v>
      </c>
      <c r="F193" t="s">
        <v>1003</v>
      </c>
      <c r="G193" t="str">
        <f xml:space="preserve"> PROPER(_xlfn.CONCAT(Table13[[#This Row],[Title]]," ",Table13[[#This Row],[First Name]]," ",Table13[[#This Row],[Last Name]]))</f>
        <v>Mrs Sharon Bloom</v>
      </c>
      <c r="H193" t="str">
        <f t="shared" si="4"/>
        <v>Mrs S.Bloom</v>
      </c>
      <c r="I193" t="str">
        <f t="shared" si="5"/>
        <v>F</v>
      </c>
    </row>
    <row r="194" spans="1:9" x14ac:dyDescent="0.3">
      <c r="A194">
        <v>191</v>
      </c>
      <c r="B194" t="s">
        <v>1004</v>
      </c>
      <c r="C194" t="s">
        <v>1005</v>
      </c>
      <c r="D194" t="s">
        <v>7</v>
      </c>
      <c r="E194" t="str">
        <f>Table1[[#This Row],[Abbreviations]]</f>
        <v>Trundley Lane</v>
      </c>
      <c r="F194" t="s">
        <v>1007</v>
      </c>
      <c r="G194" t="str">
        <f xml:space="preserve"> PROPER(_xlfn.CONCAT(Table13[[#This Row],[Title]]," ",Table13[[#This Row],[First Name]]," ",Table13[[#This Row],[Last Name]]))</f>
        <v>Mrs Daphine Hansen</v>
      </c>
      <c r="H194" t="str">
        <f t="shared" si="4"/>
        <v>Mrs D.Hansen</v>
      </c>
      <c r="I194" t="str">
        <f t="shared" si="5"/>
        <v>F</v>
      </c>
    </row>
    <row r="195" spans="1:9" x14ac:dyDescent="0.3">
      <c r="A195">
        <v>192</v>
      </c>
      <c r="B195" t="s">
        <v>1008</v>
      </c>
      <c r="C195" t="s">
        <v>1009</v>
      </c>
      <c r="D195" t="s">
        <v>7</v>
      </c>
      <c r="E195" t="str">
        <f>Table1[[#This Row],[Abbreviations]]</f>
        <v>Broadstone Place</v>
      </c>
      <c r="F195" t="s">
        <v>1011</v>
      </c>
      <c r="G195" t="str">
        <f xml:space="preserve"> PROPER(_xlfn.CONCAT(Table13[[#This Row],[Title]]," ",Table13[[#This Row],[First Name]]," ",Table13[[#This Row],[Last Name]]))</f>
        <v>Mrs Carley Barker</v>
      </c>
      <c r="H195" t="str">
        <f t="shared" si="4"/>
        <v>Mrs C.Barker</v>
      </c>
      <c r="I195" t="str">
        <f t="shared" si="5"/>
        <v>F</v>
      </c>
    </row>
    <row r="196" spans="1:9" x14ac:dyDescent="0.3">
      <c r="A196">
        <v>193</v>
      </c>
      <c r="B196" t="s">
        <v>1012</v>
      </c>
      <c r="C196" t="s">
        <v>1013</v>
      </c>
      <c r="D196" t="s">
        <v>7</v>
      </c>
      <c r="E196" t="str">
        <f>Table1[[#This Row],[Abbreviations]]</f>
        <v>Wilmot Green</v>
      </c>
      <c r="F196" t="s">
        <v>1015</v>
      </c>
      <c r="G196" t="str">
        <f xml:space="preserve"> PROPER(_xlfn.CONCAT(Table13[[#This Row],[Title]]," ",Table13[[#This Row],[First Name]]," ",Table13[[#This Row],[Last Name]]))</f>
        <v>Mrs Shaquana Bullard</v>
      </c>
      <c r="H196" t="str">
        <f t="shared" ref="H196:H259" si="6">_xlfn.CONCAT(D196)&amp;" "&amp; LEFT(B196,1)&amp;"."&amp;C196</f>
        <v>Mrs S.Bullard</v>
      </c>
      <c r="I196" t="str">
        <f t="shared" ref="I196:I259" si="7">IF(LEFT(D196,3)="Mr","M","F")</f>
        <v>F</v>
      </c>
    </row>
    <row r="197" spans="1:9" x14ac:dyDescent="0.3">
      <c r="A197">
        <v>194</v>
      </c>
      <c r="B197" t="s">
        <v>1016</v>
      </c>
      <c r="C197" t="s">
        <v>1017</v>
      </c>
      <c r="D197" t="s">
        <v>7</v>
      </c>
      <c r="E197" t="str">
        <f>Table1[[#This Row],[Abbreviations]]</f>
        <v>Bruce Castle</v>
      </c>
      <c r="F197" t="s">
        <v>634</v>
      </c>
      <c r="G197" t="str">
        <f xml:space="preserve"> PROPER(_xlfn.CONCAT(Table13[[#This Row],[Title]]," ",Table13[[#This Row],[First Name]]," ",Table13[[#This Row],[Last Name]]))</f>
        <v>Mrs Annie Jefferson</v>
      </c>
      <c r="H197" t="str">
        <f t="shared" si="6"/>
        <v>Mrs A.Jefferson</v>
      </c>
      <c r="I197" t="str">
        <f t="shared" si="7"/>
        <v>F</v>
      </c>
    </row>
    <row r="198" spans="1:9" x14ac:dyDescent="0.3">
      <c r="A198">
        <v>195</v>
      </c>
      <c r="B198" t="s">
        <v>1019</v>
      </c>
      <c r="C198" t="s">
        <v>608</v>
      </c>
      <c r="D198" t="s">
        <v>18</v>
      </c>
      <c r="E198" t="str">
        <f>Table1[[#This Row],[Abbreviations]]</f>
        <v>Wood Hall</v>
      </c>
      <c r="F198" t="s">
        <v>1021</v>
      </c>
      <c r="G198" t="str">
        <f xml:space="preserve"> PROPER(_xlfn.CONCAT(Table13[[#This Row],[Title]]," ",Table13[[#This Row],[First Name]]," ",Table13[[#This Row],[Last Name]]))</f>
        <v>Miss Yolanda Grubbs</v>
      </c>
      <c r="H198" t="str">
        <f t="shared" si="6"/>
        <v>Miss Y.Grubbs</v>
      </c>
      <c r="I198" t="str">
        <f t="shared" si="7"/>
        <v>F</v>
      </c>
    </row>
    <row r="199" spans="1:9" x14ac:dyDescent="0.3">
      <c r="A199">
        <v>196</v>
      </c>
      <c r="B199" t="s">
        <v>1022</v>
      </c>
      <c r="C199" t="s">
        <v>1023</v>
      </c>
      <c r="D199" t="s">
        <v>71</v>
      </c>
      <c r="E199" t="str">
        <f>Table1[[#This Row],[Abbreviations]]</f>
        <v>Benyon Cottages</v>
      </c>
      <c r="F199" t="s">
        <v>1025</v>
      </c>
      <c r="G199" t="str">
        <f xml:space="preserve"> PROPER(_xlfn.CONCAT(Table13[[#This Row],[Title]]," ",Table13[[#This Row],[First Name]]," ",Table13[[#This Row],[Last Name]]))</f>
        <v>Ms Macy Billings</v>
      </c>
      <c r="H199" t="str">
        <f t="shared" si="6"/>
        <v>Ms M.Billings</v>
      </c>
      <c r="I199" t="str">
        <f t="shared" si="7"/>
        <v>F</v>
      </c>
    </row>
    <row r="200" spans="1:9" x14ac:dyDescent="0.3">
      <c r="A200">
        <v>197</v>
      </c>
      <c r="B200" t="s">
        <v>1026</v>
      </c>
      <c r="C200" t="s">
        <v>511</v>
      </c>
      <c r="D200" t="s">
        <v>18</v>
      </c>
      <c r="E200" t="str">
        <f>Table1[[#This Row],[Abbreviations]]</f>
        <v>Georges Place</v>
      </c>
      <c r="F200" t="s">
        <v>1027</v>
      </c>
      <c r="G200" t="str">
        <f xml:space="preserve"> PROPER(_xlfn.CONCAT(Table13[[#This Row],[Title]]," ",Table13[[#This Row],[First Name]]," ",Table13[[#This Row],[Last Name]]))</f>
        <v>Miss Krysten Reyna</v>
      </c>
      <c r="H200" t="str">
        <f t="shared" si="6"/>
        <v>Miss K.Reyna</v>
      </c>
      <c r="I200" t="str">
        <f t="shared" si="7"/>
        <v>F</v>
      </c>
    </row>
    <row r="201" spans="1:9" x14ac:dyDescent="0.3">
      <c r="A201">
        <v>198</v>
      </c>
      <c r="B201" t="s">
        <v>1028</v>
      </c>
      <c r="C201" t="s">
        <v>1029</v>
      </c>
      <c r="D201" t="s">
        <v>71</v>
      </c>
      <c r="E201" t="str">
        <f>Table1[[#This Row],[Abbreviations]]</f>
        <v>Martin Close</v>
      </c>
      <c r="F201" t="s">
        <v>1031</v>
      </c>
      <c r="G201" t="str">
        <f xml:space="preserve"> PROPER(_xlfn.CONCAT(Table13[[#This Row],[Title]]," ",Table13[[#This Row],[First Name]]," ",Table13[[#This Row],[Last Name]]))</f>
        <v>Ms Kelsey Moseley</v>
      </c>
      <c r="H201" t="str">
        <f t="shared" si="6"/>
        <v>Ms K.Moseley</v>
      </c>
      <c r="I201" t="str">
        <f t="shared" si="7"/>
        <v>F</v>
      </c>
    </row>
    <row r="202" spans="1:9" x14ac:dyDescent="0.3">
      <c r="A202">
        <v>199</v>
      </c>
      <c r="B202" t="s">
        <v>1032</v>
      </c>
      <c r="C202" t="s">
        <v>1033</v>
      </c>
      <c r="D202" t="s">
        <v>18</v>
      </c>
      <c r="E202" t="str">
        <f>Table1[[#This Row],[Abbreviations]]</f>
        <v>Nicholas Passage</v>
      </c>
      <c r="F202" t="s">
        <v>1035</v>
      </c>
      <c r="G202" t="str">
        <f xml:space="preserve"> PROPER(_xlfn.CONCAT(Table13[[#This Row],[Title]]," ",Table13[[#This Row],[First Name]]," ",Table13[[#This Row],[Last Name]]))</f>
        <v>Miss Marcela Romo</v>
      </c>
      <c r="H202" t="str">
        <f t="shared" si="6"/>
        <v>Miss M.Romo</v>
      </c>
      <c r="I202" t="str">
        <f t="shared" si="7"/>
        <v>F</v>
      </c>
    </row>
    <row r="203" spans="1:9" x14ac:dyDescent="0.3">
      <c r="A203">
        <v>200</v>
      </c>
      <c r="B203" t="s">
        <v>1036</v>
      </c>
      <c r="C203" t="s">
        <v>1037</v>
      </c>
      <c r="D203" t="s">
        <v>18</v>
      </c>
      <c r="E203" t="str">
        <f>Table1[[#This Row],[Abbreviations]]</f>
        <v>Slough Lane</v>
      </c>
      <c r="F203" t="s">
        <v>593</v>
      </c>
      <c r="G203" t="str">
        <f xml:space="preserve"> PROPER(_xlfn.CONCAT(Table13[[#This Row],[Title]]," ",Table13[[#This Row],[First Name]]," ",Table13[[#This Row],[Last Name]]))</f>
        <v>Miss Tajuana Babb</v>
      </c>
      <c r="H203" t="str">
        <f t="shared" si="6"/>
        <v>Miss T.Babb</v>
      </c>
      <c r="I203" t="str">
        <f t="shared" si="7"/>
        <v>F</v>
      </c>
    </row>
    <row r="204" spans="1:9" x14ac:dyDescent="0.3">
      <c r="A204">
        <v>201</v>
      </c>
      <c r="B204" t="s">
        <v>1039</v>
      </c>
      <c r="C204" t="s">
        <v>1040</v>
      </c>
      <c r="D204" t="s">
        <v>7</v>
      </c>
      <c r="E204" t="str">
        <f>Table1[[#This Row],[Abbreviations]]</f>
        <v>Boultwood Road</v>
      </c>
      <c r="F204" t="s">
        <v>694</v>
      </c>
      <c r="G204" t="str">
        <f xml:space="preserve"> PROPER(_xlfn.CONCAT(Table13[[#This Row],[Title]]," ",Table13[[#This Row],[First Name]]," ",Table13[[#This Row],[Last Name]]))</f>
        <v>Mrs Wenona Howe</v>
      </c>
      <c r="H204" t="str">
        <f t="shared" si="6"/>
        <v>Mrs W.Howe</v>
      </c>
      <c r="I204" t="str">
        <f t="shared" si="7"/>
        <v>F</v>
      </c>
    </row>
    <row r="205" spans="1:9" x14ac:dyDescent="0.3">
      <c r="A205">
        <v>202</v>
      </c>
      <c r="B205" t="s">
        <v>1042</v>
      </c>
      <c r="C205" t="s">
        <v>1043</v>
      </c>
      <c r="D205" t="s">
        <v>7</v>
      </c>
      <c r="E205" t="str">
        <f>Table1[[#This Row],[Abbreviations]]</f>
        <v>Clarelawn Avenue</v>
      </c>
      <c r="F205" t="s">
        <v>1045</v>
      </c>
      <c r="G205" t="str">
        <f xml:space="preserve"> PROPER(_xlfn.CONCAT(Table13[[#This Row],[Title]]," ",Table13[[#This Row],[First Name]]," ",Table13[[#This Row],[Last Name]]))</f>
        <v>Mrs Lizbeth Church</v>
      </c>
      <c r="H205" t="str">
        <f t="shared" si="6"/>
        <v>Mrs L.Church</v>
      </c>
      <c r="I205" t="str">
        <f t="shared" si="7"/>
        <v>F</v>
      </c>
    </row>
    <row r="206" spans="1:9" x14ac:dyDescent="0.3">
      <c r="A206">
        <v>203</v>
      </c>
      <c r="B206" t="s">
        <v>1046</v>
      </c>
      <c r="C206" t="s">
        <v>1047</v>
      </c>
      <c r="D206" t="s">
        <v>7</v>
      </c>
      <c r="E206" t="str">
        <f>Table1[[#This Row],[Abbreviations]]</f>
        <v>Overton Court</v>
      </c>
      <c r="F206" t="s">
        <v>543</v>
      </c>
      <c r="G206" t="str">
        <f xml:space="preserve"> PROPER(_xlfn.CONCAT(Table13[[#This Row],[Title]]," ",Table13[[#This Row],[First Name]]," ",Table13[[#This Row],[Last Name]]))</f>
        <v>Mrs Pasty Muller</v>
      </c>
      <c r="H206" t="str">
        <f t="shared" si="6"/>
        <v>Mrs P.Muller</v>
      </c>
      <c r="I206" t="str">
        <f t="shared" si="7"/>
        <v>F</v>
      </c>
    </row>
    <row r="207" spans="1:9" x14ac:dyDescent="0.3">
      <c r="A207">
        <v>204</v>
      </c>
      <c r="B207" t="s">
        <v>1049</v>
      </c>
      <c r="C207" t="s">
        <v>1050</v>
      </c>
      <c r="D207" t="s">
        <v>7</v>
      </c>
      <c r="E207" t="str">
        <f>Table1[[#This Row],[Abbreviations]]</f>
        <v>Lidlington Place</v>
      </c>
      <c r="F207" t="s">
        <v>1052</v>
      </c>
      <c r="G207" t="str">
        <f xml:space="preserve"> PROPER(_xlfn.CONCAT(Table13[[#This Row],[Title]]," ",Table13[[#This Row],[First Name]]," ",Table13[[#This Row],[Last Name]]))</f>
        <v>Mrs Adelina Mcclellan</v>
      </c>
      <c r="H207" t="str">
        <f t="shared" si="6"/>
        <v>Mrs A.Mcclellan</v>
      </c>
      <c r="I207" t="str">
        <f t="shared" si="7"/>
        <v>F</v>
      </c>
    </row>
    <row r="208" spans="1:9" x14ac:dyDescent="0.3">
      <c r="A208">
        <v>205</v>
      </c>
      <c r="B208" t="s">
        <v>1053</v>
      </c>
      <c r="C208" t="s">
        <v>1054</v>
      </c>
      <c r="D208" t="s">
        <v>71</v>
      </c>
      <c r="E208" t="str">
        <f>Table1[[#This Row],[Abbreviations]]</f>
        <v>Chancellors Road</v>
      </c>
      <c r="F208" t="s">
        <v>1056</v>
      </c>
      <c r="G208" t="str">
        <f xml:space="preserve"> PROPER(_xlfn.CONCAT(Table13[[#This Row],[Title]]," ",Table13[[#This Row],[First Name]]," ",Table13[[#This Row],[Last Name]]))</f>
        <v>Ms Genna Rosales</v>
      </c>
      <c r="H208" t="str">
        <f t="shared" si="6"/>
        <v>Ms G.Rosales</v>
      </c>
      <c r="I208" t="str">
        <f t="shared" si="7"/>
        <v>F</v>
      </c>
    </row>
    <row r="209" spans="1:9" x14ac:dyDescent="0.3">
      <c r="A209">
        <v>206</v>
      </c>
      <c r="B209" t="s">
        <v>1057</v>
      </c>
      <c r="C209" t="s">
        <v>488</v>
      </c>
      <c r="D209" t="s">
        <v>18</v>
      </c>
      <c r="E209" t="str">
        <f>Table1[[#This Row],[Abbreviations]]</f>
        <v>Emma Street</v>
      </c>
      <c r="F209" t="s">
        <v>613</v>
      </c>
      <c r="G209" t="str">
        <f xml:space="preserve"> PROPER(_xlfn.CONCAT(Table13[[#This Row],[Title]]," ",Table13[[#This Row],[First Name]]," ",Table13[[#This Row],[Last Name]]))</f>
        <v>Miss Larita Pate</v>
      </c>
      <c r="H209" t="str">
        <f t="shared" si="6"/>
        <v>Miss L.Pate</v>
      </c>
      <c r="I209" t="str">
        <f t="shared" si="7"/>
        <v>F</v>
      </c>
    </row>
    <row r="210" spans="1:9" x14ac:dyDescent="0.3">
      <c r="A210">
        <v>207</v>
      </c>
      <c r="B210" t="s">
        <v>414</v>
      </c>
      <c r="C210" t="s">
        <v>380</v>
      </c>
      <c r="D210" t="s">
        <v>7</v>
      </c>
      <c r="E210" t="str">
        <f>Table1[[#This Row],[Abbreviations]]</f>
        <v>Oak Park</v>
      </c>
      <c r="F210" t="s">
        <v>649</v>
      </c>
      <c r="G210" t="str">
        <f xml:space="preserve"> PROPER(_xlfn.CONCAT(Table13[[#This Row],[Title]]," ",Table13[[#This Row],[First Name]]," ",Table13[[#This Row],[Last Name]]))</f>
        <v>Mrs Lili Carson</v>
      </c>
      <c r="H210" t="str">
        <f t="shared" si="6"/>
        <v>Mrs L.Carson</v>
      </c>
      <c r="I210" t="str">
        <f t="shared" si="7"/>
        <v>F</v>
      </c>
    </row>
    <row r="211" spans="1:9" x14ac:dyDescent="0.3">
      <c r="A211">
        <v>208</v>
      </c>
      <c r="B211" t="s">
        <v>1060</v>
      </c>
      <c r="C211" t="s">
        <v>1061</v>
      </c>
      <c r="D211" t="s">
        <v>7</v>
      </c>
      <c r="E211" t="str">
        <f>Table1[[#This Row],[Abbreviations]]</f>
        <v>Cavour Street</v>
      </c>
      <c r="F211" t="s">
        <v>81</v>
      </c>
      <c r="G211" t="str">
        <f xml:space="preserve"> PROPER(_xlfn.CONCAT(Table13[[#This Row],[Title]]," ",Table13[[#This Row],[First Name]]," ",Table13[[#This Row],[Last Name]]))</f>
        <v>Mrs Paris Wallace</v>
      </c>
      <c r="H211" t="str">
        <f t="shared" si="6"/>
        <v>Mrs P.Wallace</v>
      </c>
      <c r="I211" t="str">
        <f t="shared" si="7"/>
        <v>F</v>
      </c>
    </row>
    <row r="212" spans="1:9" x14ac:dyDescent="0.3">
      <c r="A212">
        <v>209</v>
      </c>
      <c r="B212" t="s">
        <v>1063</v>
      </c>
      <c r="C212" t="s">
        <v>1064</v>
      </c>
      <c r="D212" t="s">
        <v>18</v>
      </c>
      <c r="E212" t="str">
        <f>Table1[[#This Row],[Abbreviations]]</f>
        <v>Camerton Close</v>
      </c>
      <c r="F212" t="s">
        <v>1066</v>
      </c>
      <c r="G212" t="str">
        <f xml:space="preserve"> PROPER(_xlfn.CONCAT(Table13[[#This Row],[Title]]," ",Table13[[#This Row],[First Name]]," ",Table13[[#This Row],[Last Name]]))</f>
        <v>Miss Joye Pearce</v>
      </c>
      <c r="H212" t="str">
        <f t="shared" si="6"/>
        <v>Miss J.Pearce</v>
      </c>
      <c r="I212" t="str">
        <f t="shared" si="7"/>
        <v>F</v>
      </c>
    </row>
    <row r="213" spans="1:9" x14ac:dyDescent="0.3">
      <c r="A213">
        <v>210</v>
      </c>
      <c r="B213" t="s">
        <v>1067</v>
      </c>
      <c r="C213" t="s">
        <v>892</v>
      </c>
      <c r="D213" t="s">
        <v>7</v>
      </c>
      <c r="E213" t="str">
        <f>Table1[[#This Row],[Abbreviations]]</f>
        <v>Roseneath Avenue</v>
      </c>
      <c r="F213" t="s">
        <v>546</v>
      </c>
      <c r="G213" t="str">
        <f xml:space="preserve"> PROPER(_xlfn.CONCAT(Table13[[#This Row],[Title]]," ",Table13[[#This Row],[First Name]]," ",Table13[[#This Row],[Last Name]]))</f>
        <v>Mrs Marth Hurst</v>
      </c>
      <c r="H213" t="str">
        <f t="shared" si="6"/>
        <v>Mrs M.Hurst</v>
      </c>
      <c r="I213" t="str">
        <f t="shared" si="7"/>
        <v>F</v>
      </c>
    </row>
    <row r="214" spans="1:9" x14ac:dyDescent="0.3">
      <c r="A214">
        <v>211</v>
      </c>
      <c r="B214" t="s">
        <v>1069</v>
      </c>
      <c r="C214" t="s">
        <v>1070</v>
      </c>
      <c r="D214" t="s">
        <v>18</v>
      </c>
      <c r="E214" t="str">
        <f>Table1[[#This Row],[Abbreviations]]</f>
        <v>Langton Villas</v>
      </c>
      <c r="F214" t="s">
        <v>1072</v>
      </c>
      <c r="G214" t="str">
        <f xml:space="preserve"> PROPER(_xlfn.CONCAT(Table13[[#This Row],[Title]]," ",Table13[[#This Row],[First Name]]," ",Table13[[#This Row],[Last Name]]))</f>
        <v>Miss Shanelle Leon</v>
      </c>
      <c r="H214" t="str">
        <f t="shared" si="6"/>
        <v>Miss S.Leon</v>
      </c>
      <c r="I214" t="str">
        <f t="shared" si="7"/>
        <v>F</v>
      </c>
    </row>
    <row r="215" spans="1:9" x14ac:dyDescent="0.3">
      <c r="A215">
        <v>212</v>
      </c>
      <c r="B215" t="s">
        <v>1073</v>
      </c>
      <c r="C215" t="s">
        <v>1074</v>
      </c>
      <c r="D215" t="s">
        <v>18</v>
      </c>
      <c r="E215" t="str">
        <f>Table1[[#This Row],[Abbreviations]]</f>
        <v>Single Place</v>
      </c>
      <c r="F215" t="s">
        <v>524</v>
      </c>
      <c r="G215" t="str">
        <f xml:space="preserve"> PROPER(_xlfn.CONCAT(Table13[[#This Row],[Title]]," ",Table13[[#This Row],[First Name]]," ",Table13[[#This Row],[Last Name]]))</f>
        <v>Miss Carl Stacy</v>
      </c>
      <c r="H215" t="str">
        <f t="shared" si="6"/>
        <v>Miss C.Stacy</v>
      </c>
      <c r="I215" t="str">
        <f t="shared" si="7"/>
        <v>F</v>
      </c>
    </row>
    <row r="216" spans="1:9" x14ac:dyDescent="0.3">
      <c r="A216">
        <v>213</v>
      </c>
      <c r="B216" t="s">
        <v>1076</v>
      </c>
      <c r="C216" t="s">
        <v>880</v>
      </c>
      <c r="D216" t="s">
        <v>18</v>
      </c>
      <c r="E216" t="str">
        <f>Table1[[#This Row],[Abbreviations]]</f>
        <v>Parkington Cottages</v>
      </c>
      <c r="F216" t="s">
        <v>145</v>
      </c>
      <c r="G216" t="str">
        <f xml:space="preserve"> PROPER(_xlfn.CONCAT(Table13[[#This Row],[Title]]," ",Table13[[#This Row],[First Name]]," ",Table13[[#This Row],[Last Name]]))</f>
        <v>Miss Lorean Cochran</v>
      </c>
      <c r="H216" t="str">
        <f t="shared" si="6"/>
        <v>Miss L.Cochran</v>
      </c>
      <c r="I216" t="str">
        <f t="shared" si="7"/>
        <v>F</v>
      </c>
    </row>
    <row r="217" spans="1:9" x14ac:dyDescent="0.3">
      <c r="A217">
        <v>214</v>
      </c>
      <c r="B217" t="s">
        <v>1078</v>
      </c>
      <c r="C217" t="s">
        <v>692</v>
      </c>
      <c r="D217" t="s">
        <v>18</v>
      </c>
      <c r="E217" t="str">
        <f>Table1[[#This Row],[Abbreviations]]</f>
        <v>Florence Cottages</v>
      </c>
      <c r="F217" t="s">
        <v>693</v>
      </c>
      <c r="G217" t="str">
        <f xml:space="preserve"> PROPER(_xlfn.CONCAT(Table13[[#This Row],[Title]]," ",Table13[[#This Row],[First Name]]," ",Table13[[#This Row],[Last Name]]))</f>
        <v>Miss Sydney Walter</v>
      </c>
      <c r="H217" t="str">
        <f t="shared" si="6"/>
        <v>Miss S.Walter</v>
      </c>
      <c r="I217" t="str">
        <f t="shared" si="7"/>
        <v>F</v>
      </c>
    </row>
    <row r="218" spans="1:9" x14ac:dyDescent="0.3">
      <c r="A218">
        <v>215</v>
      </c>
      <c r="B218" t="s">
        <v>1080</v>
      </c>
      <c r="C218" t="s">
        <v>1081</v>
      </c>
      <c r="D218" t="s">
        <v>71</v>
      </c>
      <c r="E218" t="str">
        <f>Table1[[#This Row],[Abbreviations]]</f>
        <v>Allhallows Lane</v>
      </c>
      <c r="F218" t="s">
        <v>384</v>
      </c>
      <c r="G218" t="str">
        <f xml:space="preserve"> PROPER(_xlfn.CONCAT(Table13[[#This Row],[Title]]," ",Table13[[#This Row],[First Name]]," ",Table13[[#This Row],[Last Name]]))</f>
        <v>Ms Bea Avila</v>
      </c>
      <c r="H218" t="str">
        <f t="shared" si="6"/>
        <v>Ms B.Avila</v>
      </c>
      <c r="I218" t="str">
        <f t="shared" si="7"/>
        <v>F</v>
      </c>
    </row>
    <row r="219" spans="1:9" x14ac:dyDescent="0.3">
      <c r="A219">
        <v>216</v>
      </c>
      <c r="B219" t="s">
        <v>1083</v>
      </c>
      <c r="C219" t="s">
        <v>1084</v>
      </c>
      <c r="D219" t="s">
        <v>18</v>
      </c>
      <c r="E219" t="str">
        <f>Table1[[#This Row],[Abbreviations]]</f>
        <v>Eagle Cottages</v>
      </c>
      <c r="F219" t="s">
        <v>537</v>
      </c>
      <c r="G219" t="str">
        <f xml:space="preserve"> PROPER(_xlfn.CONCAT(Table13[[#This Row],[Title]]," ",Table13[[#This Row],[First Name]]," ",Table13[[#This Row],[Last Name]]))</f>
        <v>Miss Alyssa Benavides</v>
      </c>
      <c r="H219" t="str">
        <f t="shared" si="6"/>
        <v>Miss A.Benavides</v>
      </c>
      <c r="I219" t="str">
        <f t="shared" si="7"/>
        <v>F</v>
      </c>
    </row>
    <row r="220" spans="1:9" x14ac:dyDescent="0.3">
      <c r="A220">
        <v>217</v>
      </c>
      <c r="B220" t="s">
        <v>1086</v>
      </c>
      <c r="C220" t="s">
        <v>492</v>
      </c>
      <c r="D220" t="s">
        <v>18</v>
      </c>
      <c r="E220" t="str">
        <f>Table1[[#This Row],[Abbreviations]]</f>
        <v>Albemarle</v>
      </c>
      <c r="F220" t="s">
        <v>1088</v>
      </c>
      <c r="G220" t="str">
        <f xml:space="preserve"> PROPER(_xlfn.CONCAT(Table13[[#This Row],[Title]]," ",Table13[[#This Row],[First Name]]," ",Table13[[#This Row],[Last Name]]))</f>
        <v>Miss Delana Beltran</v>
      </c>
      <c r="H220" t="str">
        <f t="shared" si="6"/>
        <v>Miss D.Beltran</v>
      </c>
      <c r="I220" t="str">
        <f t="shared" si="7"/>
        <v>F</v>
      </c>
    </row>
    <row r="221" spans="1:9" x14ac:dyDescent="0.3">
      <c r="A221">
        <v>218</v>
      </c>
      <c r="B221" t="s">
        <v>1089</v>
      </c>
      <c r="C221" t="s">
        <v>1090</v>
      </c>
      <c r="D221" t="s">
        <v>18</v>
      </c>
      <c r="E221" t="str">
        <f>Table1[[#This Row],[Abbreviations]]</f>
        <v>Devonport Cottages</v>
      </c>
      <c r="F221" t="s">
        <v>829</v>
      </c>
      <c r="G221" t="str">
        <f xml:space="preserve"> PROPER(_xlfn.CONCAT(Table13[[#This Row],[Title]]," ",Table13[[#This Row],[First Name]]," ",Table13[[#This Row],[Last Name]]))</f>
        <v>Miss Marguerita Slaughter</v>
      </c>
      <c r="H221" t="str">
        <f t="shared" si="6"/>
        <v>Miss M.Slaughter</v>
      </c>
      <c r="I221" t="str">
        <f t="shared" si="7"/>
        <v>F</v>
      </c>
    </row>
    <row r="222" spans="1:9" x14ac:dyDescent="0.3">
      <c r="A222">
        <v>219</v>
      </c>
      <c r="B222" t="s">
        <v>1092</v>
      </c>
      <c r="C222" t="s">
        <v>1093</v>
      </c>
      <c r="D222" t="s">
        <v>18</v>
      </c>
      <c r="E222" t="str">
        <f>Table1[[#This Row],[Abbreviations]]</f>
        <v>Compton House</v>
      </c>
      <c r="F222" t="s">
        <v>1095</v>
      </c>
      <c r="G222" t="str">
        <f xml:space="preserve"> PROPER(_xlfn.CONCAT(Table13[[#This Row],[Title]]," ",Table13[[#This Row],[First Name]]," ",Table13[[#This Row],[Last Name]]))</f>
        <v>Miss Burma Sanderson</v>
      </c>
      <c r="H222" t="str">
        <f t="shared" si="6"/>
        <v>Miss B.Sanderson</v>
      </c>
      <c r="I222" t="str">
        <f t="shared" si="7"/>
        <v>F</v>
      </c>
    </row>
    <row r="223" spans="1:9" x14ac:dyDescent="0.3">
      <c r="A223">
        <v>220</v>
      </c>
      <c r="B223" t="s">
        <v>1096</v>
      </c>
      <c r="C223" t="s">
        <v>1097</v>
      </c>
      <c r="D223" t="s">
        <v>18</v>
      </c>
      <c r="E223" t="str">
        <f>Table1[[#This Row],[Abbreviations]]</f>
        <v>Monmouth Court</v>
      </c>
      <c r="F223" t="s">
        <v>1099</v>
      </c>
      <c r="G223" t="str">
        <f xml:space="preserve"> PROPER(_xlfn.CONCAT(Table13[[#This Row],[Title]]," ",Table13[[#This Row],[First Name]]," ",Table13[[#This Row],[Last Name]]))</f>
        <v>Miss Christi Evans</v>
      </c>
      <c r="H223" t="str">
        <f t="shared" si="6"/>
        <v>Miss C.Evans</v>
      </c>
      <c r="I223" t="str">
        <f t="shared" si="7"/>
        <v>F</v>
      </c>
    </row>
    <row r="224" spans="1:9" x14ac:dyDescent="0.3">
      <c r="A224">
        <v>221</v>
      </c>
      <c r="B224" t="s">
        <v>1100</v>
      </c>
      <c r="C224" t="s">
        <v>1101</v>
      </c>
      <c r="D224" t="s">
        <v>7</v>
      </c>
      <c r="E224" t="str">
        <f>Table1[[#This Row],[Abbreviations]]</f>
        <v>Hardwicks Way</v>
      </c>
      <c r="F224" t="s">
        <v>1103</v>
      </c>
      <c r="G224" t="str">
        <f xml:space="preserve"> PROPER(_xlfn.CONCAT(Table13[[#This Row],[Title]]," ",Table13[[#This Row],[First Name]]," ",Table13[[#This Row],[Last Name]]))</f>
        <v>Mrs Delpha Oneil</v>
      </c>
      <c r="H224" t="str">
        <f t="shared" si="6"/>
        <v>Mrs D.Oneil</v>
      </c>
      <c r="I224" t="str">
        <f t="shared" si="7"/>
        <v>F</v>
      </c>
    </row>
    <row r="225" spans="1:9" x14ac:dyDescent="0.3">
      <c r="A225">
        <v>222</v>
      </c>
      <c r="B225" t="s">
        <v>1104</v>
      </c>
      <c r="C225" t="s">
        <v>1105</v>
      </c>
      <c r="D225" t="s">
        <v>18</v>
      </c>
      <c r="E225" t="str">
        <f>Table1[[#This Row],[Abbreviations]]</f>
        <v>Providence Court</v>
      </c>
      <c r="F225" t="s">
        <v>1107</v>
      </c>
      <c r="G225" t="str">
        <f xml:space="preserve"> PROPER(_xlfn.CONCAT(Table13[[#This Row],[Title]]," ",Table13[[#This Row],[First Name]]," ",Table13[[#This Row],[Last Name]]))</f>
        <v>Miss Oda Lancaster</v>
      </c>
      <c r="H225" t="str">
        <f t="shared" si="6"/>
        <v>Miss O.Lancaster</v>
      </c>
      <c r="I225" t="str">
        <f t="shared" si="7"/>
        <v>F</v>
      </c>
    </row>
    <row r="226" spans="1:9" x14ac:dyDescent="0.3">
      <c r="A226">
        <v>223</v>
      </c>
      <c r="B226" t="s">
        <v>1104</v>
      </c>
      <c r="C226" t="s">
        <v>1108</v>
      </c>
      <c r="D226" t="s">
        <v>7</v>
      </c>
      <c r="E226" t="str">
        <f>Table1[[#This Row],[Abbreviations]]</f>
        <v>Ashburton Terrace</v>
      </c>
      <c r="F226" t="s">
        <v>1110</v>
      </c>
      <c r="G226" t="str">
        <f xml:space="preserve"> PROPER(_xlfn.CONCAT(Table13[[#This Row],[Title]]," ",Table13[[#This Row],[First Name]]," ",Table13[[#This Row],[Last Name]]))</f>
        <v>Mrs Oda Bourgeois</v>
      </c>
      <c r="H226" t="str">
        <f t="shared" si="6"/>
        <v>Mrs O.Bourgeois</v>
      </c>
      <c r="I226" t="str">
        <f t="shared" si="7"/>
        <v>F</v>
      </c>
    </row>
    <row r="227" spans="1:9" x14ac:dyDescent="0.3">
      <c r="A227">
        <v>224</v>
      </c>
      <c r="B227" t="s">
        <v>482</v>
      </c>
      <c r="C227" t="s">
        <v>1111</v>
      </c>
      <c r="D227" t="s">
        <v>18</v>
      </c>
      <c r="E227" t="str">
        <f>Table1[[#This Row],[Abbreviations]]</f>
        <v>Lee Place</v>
      </c>
      <c r="F227" t="s">
        <v>1011</v>
      </c>
      <c r="G227" t="str">
        <f xml:space="preserve"> PROPER(_xlfn.CONCAT(Table13[[#This Row],[Title]]," ",Table13[[#This Row],[First Name]]," ",Table13[[#This Row],[Last Name]]))</f>
        <v>Miss Cornelia Ziegler</v>
      </c>
      <c r="H227" t="str">
        <f t="shared" si="6"/>
        <v>Miss C.Ziegler</v>
      </c>
      <c r="I227" t="str">
        <f t="shared" si="7"/>
        <v>F</v>
      </c>
    </row>
    <row r="228" spans="1:9" x14ac:dyDescent="0.3">
      <c r="A228">
        <v>225</v>
      </c>
      <c r="B228" t="s">
        <v>1113</v>
      </c>
      <c r="C228" t="s">
        <v>1114</v>
      </c>
      <c r="D228" t="s">
        <v>18</v>
      </c>
      <c r="E228" t="str">
        <f>Table1[[#This Row],[Abbreviations]]</f>
        <v>Shirebrook Road</v>
      </c>
      <c r="F228" t="s">
        <v>1116</v>
      </c>
      <c r="G228" t="str">
        <f xml:space="preserve"> PROPER(_xlfn.CONCAT(Table13[[#This Row],[Title]]," ",Table13[[#This Row],[First Name]]," ",Table13[[#This Row],[Last Name]]))</f>
        <v>Miss Chassidy Self</v>
      </c>
      <c r="H228" t="str">
        <f t="shared" si="6"/>
        <v>Miss C.Self</v>
      </c>
      <c r="I228" t="str">
        <f t="shared" si="7"/>
        <v>F</v>
      </c>
    </row>
    <row r="229" spans="1:9" x14ac:dyDescent="0.3">
      <c r="A229">
        <v>226</v>
      </c>
      <c r="B229" t="s">
        <v>1117</v>
      </c>
      <c r="C229" t="s">
        <v>1118</v>
      </c>
      <c r="D229" t="s">
        <v>18</v>
      </c>
      <c r="E229" t="str">
        <f>Table1[[#This Row],[Abbreviations]]</f>
        <v>Gardnor Road</v>
      </c>
      <c r="F229" t="s">
        <v>1120</v>
      </c>
      <c r="G229" t="str">
        <f xml:space="preserve"> PROPER(_xlfn.CONCAT(Table13[[#This Row],[Title]]," ",Table13[[#This Row],[First Name]]," ",Table13[[#This Row],[Last Name]]))</f>
        <v>Miss Shaneka Kirkland</v>
      </c>
      <c r="H229" t="str">
        <f t="shared" si="6"/>
        <v>Miss S.Kirkland</v>
      </c>
      <c r="I229" t="str">
        <f t="shared" si="7"/>
        <v>F</v>
      </c>
    </row>
    <row r="230" spans="1:9" x14ac:dyDescent="0.3">
      <c r="A230">
        <v>227</v>
      </c>
      <c r="B230" t="s">
        <v>1121</v>
      </c>
      <c r="C230" t="s">
        <v>1122</v>
      </c>
      <c r="D230" t="s">
        <v>18</v>
      </c>
      <c r="E230" t="str">
        <f>Table1[[#This Row],[Abbreviations]]</f>
        <v>Piedmont Road</v>
      </c>
      <c r="F230" t="s">
        <v>1124</v>
      </c>
      <c r="G230" t="str">
        <f xml:space="preserve"> PROPER(_xlfn.CONCAT(Table13[[#This Row],[Title]]," ",Table13[[#This Row],[First Name]]," ",Table13[[#This Row],[Last Name]]))</f>
        <v>Miss Nicky Laird</v>
      </c>
      <c r="H230" t="str">
        <f t="shared" si="6"/>
        <v>Miss N.Laird</v>
      </c>
      <c r="I230" t="str">
        <f t="shared" si="7"/>
        <v>F</v>
      </c>
    </row>
    <row r="231" spans="1:9" x14ac:dyDescent="0.3">
      <c r="A231">
        <v>228</v>
      </c>
      <c r="B231" t="s">
        <v>1125</v>
      </c>
      <c r="C231" t="s">
        <v>1126</v>
      </c>
      <c r="D231" t="s">
        <v>7</v>
      </c>
      <c r="E231" t="str">
        <f>Table1[[#This Row],[Abbreviations]]</f>
        <v>Wells Cottages</v>
      </c>
      <c r="F231" t="s">
        <v>1128</v>
      </c>
      <c r="G231" t="str">
        <f xml:space="preserve"> PROPER(_xlfn.CONCAT(Table13[[#This Row],[Title]]," ",Table13[[#This Row],[First Name]]," ",Table13[[#This Row],[Last Name]]))</f>
        <v>Mrs Christian Raines</v>
      </c>
      <c r="H231" t="str">
        <f t="shared" si="6"/>
        <v>Mrs C.Raines</v>
      </c>
      <c r="I231" t="str">
        <f t="shared" si="7"/>
        <v>F</v>
      </c>
    </row>
    <row r="232" spans="1:9" x14ac:dyDescent="0.3">
      <c r="A232">
        <v>229</v>
      </c>
      <c r="B232" t="s">
        <v>1129</v>
      </c>
      <c r="C232" t="s">
        <v>1130</v>
      </c>
      <c r="D232" t="s">
        <v>18</v>
      </c>
      <c r="E232" t="str">
        <f>Table1[[#This Row],[Abbreviations]]</f>
        <v>Brouncker Road</v>
      </c>
      <c r="F232" t="s">
        <v>1132</v>
      </c>
      <c r="G232" t="str">
        <f xml:space="preserve"> PROPER(_xlfn.CONCAT(Table13[[#This Row],[Title]]," ",Table13[[#This Row],[First Name]]," ",Table13[[#This Row],[Last Name]]))</f>
        <v>Miss Takisha Hamlin</v>
      </c>
      <c r="H232" t="str">
        <f t="shared" si="6"/>
        <v>Miss T.Hamlin</v>
      </c>
      <c r="I232" t="str">
        <f t="shared" si="7"/>
        <v>F</v>
      </c>
    </row>
    <row r="233" spans="1:9" x14ac:dyDescent="0.3">
      <c r="A233">
        <v>230</v>
      </c>
      <c r="B233" t="s">
        <v>1133</v>
      </c>
      <c r="C233" t="s">
        <v>627</v>
      </c>
      <c r="D233" t="s">
        <v>18</v>
      </c>
      <c r="E233" t="str">
        <f>Table1[[#This Row],[Abbreviations]]</f>
        <v>Robinsons Terrace</v>
      </c>
      <c r="F233" t="s">
        <v>1135</v>
      </c>
      <c r="G233" t="str">
        <f xml:space="preserve"> PROPER(_xlfn.CONCAT(Table13[[#This Row],[Title]]," ",Table13[[#This Row],[First Name]]," ",Table13[[#This Row],[Last Name]]))</f>
        <v>Miss Tamie Hooks</v>
      </c>
      <c r="H233" t="str">
        <f t="shared" si="6"/>
        <v>Miss T.Hooks</v>
      </c>
      <c r="I233" t="str">
        <f t="shared" si="7"/>
        <v>F</v>
      </c>
    </row>
    <row r="234" spans="1:9" x14ac:dyDescent="0.3">
      <c r="A234">
        <v>231</v>
      </c>
      <c r="B234" t="s">
        <v>1136</v>
      </c>
      <c r="C234" t="s">
        <v>1137</v>
      </c>
      <c r="D234" t="s">
        <v>18</v>
      </c>
      <c r="E234" t="str">
        <f>Table1[[#This Row],[Abbreviations]]</f>
        <v>Eden Place</v>
      </c>
      <c r="F234" t="s">
        <v>1139</v>
      </c>
      <c r="G234" t="str">
        <f xml:space="preserve"> PROPER(_xlfn.CONCAT(Table13[[#This Row],[Title]]," ",Table13[[#This Row],[First Name]]," ",Table13[[#This Row],[Last Name]]))</f>
        <v>Miss Belinda Payne</v>
      </c>
      <c r="H234" t="str">
        <f t="shared" si="6"/>
        <v>Miss B.Payne</v>
      </c>
      <c r="I234" t="str">
        <f t="shared" si="7"/>
        <v>F</v>
      </c>
    </row>
    <row r="235" spans="1:9" x14ac:dyDescent="0.3">
      <c r="A235">
        <v>232</v>
      </c>
      <c r="B235" t="s">
        <v>1140</v>
      </c>
      <c r="C235" t="s">
        <v>439</v>
      </c>
      <c r="D235" t="s">
        <v>7</v>
      </c>
      <c r="E235" t="str">
        <f>Table1[[#This Row],[Abbreviations]]</f>
        <v>Kingfisher Close</v>
      </c>
      <c r="F235" t="s">
        <v>890</v>
      </c>
      <c r="G235" t="str">
        <f xml:space="preserve"> PROPER(_xlfn.CONCAT(Table13[[#This Row],[Title]]," ",Table13[[#This Row],[First Name]]," ",Table13[[#This Row],[Last Name]]))</f>
        <v>Mrs Delora Rice</v>
      </c>
      <c r="H235" t="str">
        <f t="shared" si="6"/>
        <v>Mrs D.Rice</v>
      </c>
      <c r="I235" t="str">
        <f t="shared" si="7"/>
        <v>F</v>
      </c>
    </row>
    <row r="236" spans="1:9" x14ac:dyDescent="0.3">
      <c r="A236">
        <v>233</v>
      </c>
      <c r="B236" t="s">
        <v>1142</v>
      </c>
      <c r="C236" t="s">
        <v>425</v>
      </c>
      <c r="D236" t="s">
        <v>7</v>
      </c>
      <c r="E236" t="str">
        <f>Table1[[#This Row],[Abbreviations]]</f>
        <v>Waddington Street</v>
      </c>
      <c r="F236" t="s">
        <v>1144</v>
      </c>
      <c r="G236" t="str">
        <f xml:space="preserve"> PROPER(_xlfn.CONCAT(Table13[[#This Row],[Title]]," ",Table13[[#This Row],[First Name]]," ",Table13[[#This Row],[Last Name]]))</f>
        <v>Mrs Kimiko Patel</v>
      </c>
      <c r="H236" t="str">
        <f t="shared" si="6"/>
        <v>Mrs K.Patel</v>
      </c>
      <c r="I236" t="str">
        <f t="shared" si="7"/>
        <v>F</v>
      </c>
    </row>
    <row r="237" spans="1:9" x14ac:dyDescent="0.3">
      <c r="A237">
        <v>234</v>
      </c>
      <c r="B237" t="s">
        <v>1145</v>
      </c>
      <c r="C237" t="s">
        <v>1146</v>
      </c>
      <c r="D237" t="s">
        <v>18</v>
      </c>
      <c r="E237" t="str">
        <f>Table1[[#This Row],[Abbreviations]]</f>
        <v>Widley Road</v>
      </c>
      <c r="F237" t="s">
        <v>1148</v>
      </c>
      <c r="G237" t="str">
        <f xml:space="preserve"> PROPER(_xlfn.CONCAT(Table13[[#This Row],[Title]]," ",Table13[[#This Row],[First Name]]," ",Table13[[#This Row],[Last Name]]))</f>
        <v>Miss Albina Nielsen</v>
      </c>
      <c r="H237" t="str">
        <f t="shared" si="6"/>
        <v>Miss A.Nielsen</v>
      </c>
      <c r="I237" t="str">
        <f t="shared" si="7"/>
        <v>F</v>
      </c>
    </row>
    <row r="238" spans="1:9" x14ac:dyDescent="0.3">
      <c r="A238">
        <v>235</v>
      </c>
      <c r="B238" t="s">
        <v>1149</v>
      </c>
      <c r="C238" t="s">
        <v>1150</v>
      </c>
      <c r="D238" t="s">
        <v>71</v>
      </c>
      <c r="E238" t="str">
        <f>Table1[[#This Row],[Abbreviations]]</f>
        <v>Clapham Place</v>
      </c>
      <c r="F238" t="s">
        <v>434</v>
      </c>
      <c r="G238" t="str">
        <f xml:space="preserve"> PROPER(_xlfn.CONCAT(Table13[[#This Row],[Title]]," ",Table13[[#This Row],[First Name]]," ",Table13[[#This Row],[Last Name]]))</f>
        <v>Ms Lavona Hilton</v>
      </c>
      <c r="H238" t="str">
        <f t="shared" si="6"/>
        <v>Ms L.Hilton</v>
      </c>
      <c r="I238" t="str">
        <f t="shared" si="7"/>
        <v>F</v>
      </c>
    </row>
    <row r="239" spans="1:9" x14ac:dyDescent="0.3">
      <c r="A239">
        <v>236</v>
      </c>
      <c r="B239" t="s">
        <v>1152</v>
      </c>
      <c r="C239" t="s">
        <v>1153</v>
      </c>
      <c r="D239" t="s">
        <v>55</v>
      </c>
      <c r="E239" t="str">
        <f>Table1[[#This Row],[Abbreviations]]</f>
        <v>Argyle Road</v>
      </c>
      <c r="F239" t="s">
        <v>1155</v>
      </c>
      <c r="G239" t="str">
        <f xml:space="preserve"> PROPER(_xlfn.CONCAT(Table13[[#This Row],[Title]]," ",Table13[[#This Row],[First Name]]," ",Table13[[#This Row],[Last Name]]))</f>
        <v>Prof Keiko Mathis</v>
      </c>
      <c r="H239" t="str">
        <f t="shared" si="6"/>
        <v>Prof K.Mathis</v>
      </c>
      <c r="I239" t="str">
        <f t="shared" si="7"/>
        <v>F</v>
      </c>
    </row>
    <row r="240" spans="1:9" x14ac:dyDescent="0.3">
      <c r="A240">
        <v>237</v>
      </c>
      <c r="B240" t="s">
        <v>1156</v>
      </c>
      <c r="C240" t="s">
        <v>1157</v>
      </c>
      <c r="D240" t="s">
        <v>71</v>
      </c>
      <c r="E240" t="str">
        <f>Table1[[#This Row],[Abbreviations]]</f>
        <v>St Hughs</v>
      </c>
      <c r="F240" t="s">
        <v>1159</v>
      </c>
      <c r="G240" t="str">
        <f xml:space="preserve"> PROPER(_xlfn.CONCAT(Table13[[#This Row],[Title]]," ",Table13[[#This Row],[First Name]]," ",Table13[[#This Row],[Last Name]]))</f>
        <v>Ms George Mooney</v>
      </c>
      <c r="H240" t="str">
        <f t="shared" si="6"/>
        <v>Ms G.Mooney</v>
      </c>
      <c r="I240" t="str">
        <f t="shared" si="7"/>
        <v>F</v>
      </c>
    </row>
    <row r="241" spans="1:9" x14ac:dyDescent="0.3">
      <c r="A241">
        <v>238</v>
      </c>
      <c r="B241" t="s">
        <v>1160</v>
      </c>
      <c r="C241" t="s">
        <v>1161</v>
      </c>
      <c r="D241" t="s">
        <v>18</v>
      </c>
      <c r="E241" t="str">
        <f>Table1[[#This Row],[Abbreviations]]</f>
        <v>Woodbine Place</v>
      </c>
      <c r="F241" t="s">
        <v>1163</v>
      </c>
      <c r="G241" t="str">
        <f xml:space="preserve"> PROPER(_xlfn.CONCAT(Table13[[#This Row],[Title]]," ",Table13[[#This Row],[First Name]]," ",Table13[[#This Row],[Last Name]]))</f>
        <v>Miss Jolynn Yeager</v>
      </c>
      <c r="H241" t="str">
        <f t="shared" si="6"/>
        <v>Miss J.Yeager</v>
      </c>
      <c r="I241" t="str">
        <f t="shared" si="7"/>
        <v>F</v>
      </c>
    </row>
    <row r="242" spans="1:9" x14ac:dyDescent="0.3">
      <c r="A242">
        <v>239</v>
      </c>
      <c r="B242" t="s">
        <v>1164</v>
      </c>
      <c r="C242" t="s">
        <v>1165</v>
      </c>
      <c r="D242" t="s">
        <v>18</v>
      </c>
      <c r="E242" t="str">
        <f>Table1[[#This Row],[Abbreviations]]</f>
        <v>Monro Place</v>
      </c>
      <c r="F242" t="s">
        <v>1167</v>
      </c>
      <c r="G242" t="str">
        <f xml:space="preserve"> PROPER(_xlfn.CONCAT(Table13[[#This Row],[Title]]," ",Table13[[#This Row],[First Name]]," ",Table13[[#This Row],[Last Name]]))</f>
        <v>Miss Dessie Peacock</v>
      </c>
      <c r="H242" t="str">
        <f t="shared" si="6"/>
        <v>Miss D.Peacock</v>
      </c>
      <c r="I242" t="str">
        <f t="shared" si="7"/>
        <v>F</v>
      </c>
    </row>
    <row r="243" spans="1:9" x14ac:dyDescent="0.3">
      <c r="A243">
        <v>240</v>
      </c>
      <c r="B243" t="s">
        <v>1168</v>
      </c>
      <c r="C243" t="s">
        <v>1169</v>
      </c>
      <c r="D243" t="s">
        <v>18</v>
      </c>
      <c r="E243" t="str">
        <f>Table1[[#This Row],[Abbreviations]]</f>
        <v>Bateman'S Buildings</v>
      </c>
      <c r="F243" t="s">
        <v>1171</v>
      </c>
      <c r="G243" t="str">
        <f xml:space="preserve"> PROPER(_xlfn.CONCAT(Table13[[#This Row],[Title]]," ",Table13[[#This Row],[First Name]]," ",Table13[[#This Row],[Last Name]]))</f>
        <v>Miss Delores Diaz</v>
      </c>
      <c r="H243" t="str">
        <f t="shared" si="6"/>
        <v>Miss D.Diaz</v>
      </c>
      <c r="I243" t="str">
        <f t="shared" si="7"/>
        <v>F</v>
      </c>
    </row>
    <row r="244" spans="1:9" x14ac:dyDescent="0.3">
      <c r="A244">
        <v>241</v>
      </c>
      <c r="B244" t="s">
        <v>1172</v>
      </c>
      <c r="C244" t="s">
        <v>1001</v>
      </c>
      <c r="D244" t="s">
        <v>7</v>
      </c>
      <c r="E244" t="str">
        <f>Table1[[#This Row],[Abbreviations]]</f>
        <v>Appletree Close</v>
      </c>
      <c r="F244" t="s">
        <v>649</v>
      </c>
      <c r="G244" t="str">
        <f xml:space="preserve"> PROPER(_xlfn.CONCAT(Table13[[#This Row],[Title]]," ",Table13[[#This Row],[First Name]]," ",Table13[[#This Row],[Last Name]]))</f>
        <v>Mrs Jacquelynn Bloom</v>
      </c>
      <c r="H244" t="str">
        <f t="shared" si="6"/>
        <v>Mrs J.Bloom</v>
      </c>
      <c r="I244" t="str">
        <f t="shared" si="7"/>
        <v>F</v>
      </c>
    </row>
    <row r="245" spans="1:9" x14ac:dyDescent="0.3">
      <c r="A245">
        <v>242</v>
      </c>
      <c r="B245" t="s">
        <v>1174</v>
      </c>
      <c r="C245" t="s">
        <v>21</v>
      </c>
      <c r="D245" t="s">
        <v>7</v>
      </c>
      <c r="E245" t="str">
        <f>Table1[[#This Row],[Abbreviations]]</f>
        <v>Danecroft Road</v>
      </c>
      <c r="F245" t="s">
        <v>1176</v>
      </c>
      <c r="G245" t="str">
        <f xml:space="preserve"> PROPER(_xlfn.CONCAT(Table13[[#This Row],[Title]]," ",Table13[[#This Row],[First Name]]," ",Table13[[#This Row],[Last Name]]))</f>
        <v>Mrs Tamica Hedrick</v>
      </c>
      <c r="H245" t="str">
        <f t="shared" si="6"/>
        <v>Mrs T.Hedrick</v>
      </c>
      <c r="I245" t="str">
        <f t="shared" si="7"/>
        <v>F</v>
      </c>
    </row>
    <row r="246" spans="1:9" x14ac:dyDescent="0.3">
      <c r="A246">
        <v>243</v>
      </c>
      <c r="B246" t="s">
        <v>1177</v>
      </c>
      <c r="C246" t="s">
        <v>601</v>
      </c>
      <c r="D246" t="s">
        <v>18</v>
      </c>
      <c r="E246" t="str">
        <f>Table1[[#This Row],[Abbreviations]]</f>
        <v>Brook Street</v>
      </c>
      <c r="F246" t="s">
        <v>1179</v>
      </c>
      <c r="G246" t="str">
        <f xml:space="preserve"> PROPER(_xlfn.CONCAT(Table13[[#This Row],[Title]]," ",Table13[[#This Row],[First Name]]," ",Table13[[#This Row],[Last Name]]))</f>
        <v>Miss Orpha Earl</v>
      </c>
      <c r="H246" t="str">
        <f t="shared" si="6"/>
        <v>Miss O.Earl</v>
      </c>
      <c r="I246" t="str">
        <f t="shared" si="7"/>
        <v>F</v>
      </c>
    </row>
    <row r="247" spans="1:9" x14ac:dyDescent="0.3">
      <c r="A247">
        <v>244</v>
      </c>
      <c r="B247" t="s">
        <v>1180</v>
      </c>
      <c r="C247" t="s">
        <v>1181</v>
      </c>
      <c r="D247" t="s">
        <v>71</v>
      </c>
      <c r="E247" t="str">
        <f>Table1[[#This Row],[Abbreviations]]</f>
        <v>Fitzgeorge Avenue</v>
      </c>
      <c r="F247" t="s">
        <v>1183</v>
      </c>
      <c r="G247" t="str">
        <f xml:space="preserve"> PROPER(_xlfn.CONCAT(Table13[[#This Row],[Title]]," ",Table13[[#This Row],[First Name]]," ",Table13[[#This Row],[Last Name]]))</f>
        <v>Ms Felisha Coffman</v>
      </c>
      <c r="H247" t="str">
        <f t="shared" si="6"/>
        <v>Ms F.Coffman</v>
      </c>
      <c r="I247" t="str">
        <f t="shared" si="7"/>
        <v>F</v>
      </c>
    </row>
    <row r="248" spans="1:9" x14ac:dyDescent="0.3">
      <c r="A248">
        <v>245</v>
      </c>
      <c r="B248" t="s">
        <v>1184</v>
      </c>
      <c r="C248" t="s">
        <v>1185</v>
      </c>
      <c r="D248" t="s">
        <v>18</v>
      </c>
      <c r="E248" t="str">
        <f>Table1[[#This Row],[Abbreviations]]</f>
        <v>Sawkins Close</v>
      </c>
      <c r="F248" t="s">
        <v>1187</v>
      </c>
      <c r="G248" t="str">
        <f xml:space="preserve"> PROPER(_xlfn.CONCAT(Table13[[#This Row],[Title]]," ",Table13[[#This Row],[First Name]]," ",Table13[[#This Row],[Last Name]]))</f>
        <v>Miss Tyra Henley</v>
      </c>
      <c r="H248" t="str">
        <f t="shared" si="6"/>
        <v>Miss T.Henley</v>
      </c>
      <c r="I248" t="str">
        <f t="shared" si="7"/>
        <v>F</v>
      </c>
    </row>
    <row r="249" spans="1:9" x14ac:dyDescent="0.3">
      <c r="A249">
        <v>246</v>
      </c>
      <c r="B249" t="s">
        <v>1188</v>
      </c>
      <c r="C249" t="s">
        <v>436</v>
      </c>
      <c r="D249" t="s">
        <v>18</v>
      </c>
      <c r="E249" t="str">
        <f>Table1[[#This Row],[Abbreviations]]</f>
        <v>Chiltern Court</v>
      </c>
      <c r="F249" t="s">
        <v>1190</v>
      </c>
      <c r="G249" t="str">
        <f xml:space="preserve"> PROPER(_xlfn.CONCAT(Table13[[#This Row],[Title]]," ",Table13[[#This Row],[First Name]]," ",Table13[[#This Row],[Last Name]]))</f>
        <v>Miss Cammy Kendall</v>
      </c>
      <c r="H249" t="str">
        <f t="shared" si="6"/>
        <v>Miss C.Kendall</v>
      </c>
      <c r="I249" t="str">
        <f t="shared" si="7"/>
        <v>F</v>
      </c>
    </row>
    <row r="250" spans="1:9" x14ac:dyDescent="0.3">
      <c r="A250">
        <v>247</v>
      </c>
      <c r="B250" t="s">
        <v>1191</v>
      </c>
      <c r="C250" t="s">
        <v>899</v>
      </c>
      <c r="D250" t="s">
        <v>71</v>
      </c>
      <c r="E250" t="str">
        <f>Table1[[#This Row],[Abbreviations]]</f>
        <v>Birchen Close</v>
      </c>
      <c r="F250" t="s">
        <v>117</v>
      </c>
      <c r="G250" t="str">
        <f xml:space="preserve"> PROPER(_xlfn.CONCAT(Table13[[#This Row],[Title]]," ",Table13[[#This Row],[First Name]]," ",Table13[[#This Row],[Last Name]]))</f>
        <v>Ms Emelia Hull</v>
      </c>
      <c r="H250" t="str">
        <f t="shared" si="6"/>
        <v>Ms E.Hull</v>
      </c>
      <c r="I250" t="str">
        <f t="shared" si="7"/>
        <v>F</v>
      </c>
    </row>
    <row r="251" spans="1:9" x14ac:dyDescent="0.3">
      <c r="A251">
        <v>248</v>
      </c>
      <c r="B251" t="s">
        <v>1193</v>
      </c>
      <c r="C251" t="s">
        <v>1194</v>
      </c>
      <c r="D251" t="s">
        <v>18</v>
      </c>
      <c r="E251" t="str">
        <f>Table1[[#This Row],[Abbreviations]]</f>
        <v>Elm Field</v>
      </c>
      <c r="F251" t="s">
        <v>607</v>
      </c>
      <c r="G251" t="str">
        <f xml:space="preserve"> PROPER(_xlfn.CONCAT(Table13[[#This Row],[Title]]," ",Table13[[#This Row],[First Name]]," ",Table13[[#This Row],[Last Name]]))</f>
        <v>Miss Sherry Gill</v>
      </c>
      <c r="H251" t="str">
        <f t="shared" si="6"/>
        <v>Miss S.Gill</v>
      </c>
      <c r="I251" t="str">
        <f t="shared" si="7"/>
        <v>F</v>
      </c>
    </row>
    <row r="252" spans="1:9" x14ac:dyDescent="0.3">
      <c r="A252">
        <v>249</v>
      </c>
      <c r="B252" t="s">
        <v>1196</v>
      </c>
      <c r="C252" t="s">
        <v>1161</v>
      </c>
      <c r="D252" t="s">
        <v>71</v>
      </c>
      <c r="E252" t="str">
        <f>Table1[[#This Row],[Abbreviations]]</f>
        <v>Wilsons Court</v>
      </c>
      <c r="F252" t="s">
        <v>1198</v>
      </c>
      <c r="G252" t="str">
        <f xml:space="preserve"> PROPER(_xlfn.CONCAT(Table13[[#This Row],[Title]]," ",Table13[[#This Row],[First Name]]," ",Table13[[#This Row],[Last Name]]))</f>
        <v>Ms Hisako Yeager</v>
      </c>
      <c r="H252" t="str">
        <f t="shared" si="6"/>
        <v>Ms H.Yeager</v>
      </c>
      <c r="I252" t="str">
        <f t="shared" si="7"/>
        <v>F</v>
      </c>
    </row>
    <row r="253" spans="1:9" x14ac:dyDescent="0.3">
      <c r="A253">
        <v>250</v>
      </c>
      <c r="B253" t="s">
        <v>447</v>
      </c>
      <c r="C253" t="s">
        <v>1199</v>
      </c>
      <c r="D253" t="s">
        <v>18</v>
      </c>
      <c r="E253" t="str">
        <f>Table1[[#This Row],[Abbreviations]]</f>
        <v>Neathouse Buildings</v>
      </c>
      <c r="F253" t="s">
        <v>1201</v>
      </c>
      <c r="G253" t="str">
        <f xml:space="preserve"> PROPER(_xlfn.CONCAT(Table13[[#This Row],[Title]]," ",Table13[[#This Row],[First Name]]," ",Table13[[#This Row],[Last Name]]))</f>
        <v>Miss Marshall Byers</v>
      </c>
      <c r="H253" t="str">
        <f t="shared" si="6"/>
        <v>Miss M.Byers</v>
      </c>
      <c r="I253" t="str">
        <f t="shared" si="7"/>
        <v>F</v>
      </c>
    </row>
    <row r="254" spans="1:9" x14ac:dyDescent="0.3">
      <c r="A254">
        <v>251</v>
      </c>
      <c r="B254" t="s">
        <v>1202</v>
      </c>
      <c r="C254" t="s">
        <v>1203</v>
      </c>
      <c r="D254" t="s">
        <v>7</v>
      </c>
      <c r="E254" t="str">
        <f>Table1[[#This Row],[Abbreviations]]</f>
        <v>Clover Close</v>
      </c>
      <c r="F254" t="s">
        <v>1205</v>
      </c>
      <c r="G254" t="str">
        <f xml:space="preserve"> PROPER(_xlfn.CONCAT(Table13[[#This Row],[Title]]," ",Table13[[#This Row],[First Name]]," ",Table13[[#This Row],[Last Name]]))</f>
        <v>Mrs Dierdre Salgado</v>
      </c>
      <c r="H254" t="str">
        <f t="shared" si="6"/>
        <v>Mrs D.Salgado</v>
      </c>
      <c r="I254" t="str">
        <f t="shared" si="7"/>
        <v>F</v>
      </c>
    </row>
    <row r="255" spans="1:9" x14ac:dyDescent="0.3">
      <c r="A255">
        <v>252</v>
      </c>
      <c r="B255" t="s">
        <v>1206</v>
      </c>
      <c r="C255" t="s">
        <v>1207</v>
      </c>
      <c r="D255" t="s">
        <v>18</v>
      </c>
      <c r="E255" t="str">
        <f>Table1[[#This Row],[Abbreviations]]</f>
        <v>Merton Villas</v>
      </c>
      <c r="F255" t="s">
        <v>1209</v>
      </c>
      <c r="G255" t="str">
        <f xml:space="preserve"> PROPER(_xlfn.CONCAT(Table13[[#This Row],[Title]]," ",Table13[[#This Row],[First Name]]," ",Table13[[#This Row],[Last Name]]))</f>
        <v>Miss Cherri Marino</v>
      </c>
      <c r="H255" t="str">
        <f t="shared" si="6"/>
        <v>Miss C.Marino</v>
      </c>
      <c r="I255" t="str">
        <f t="shared" si="7"/>
        <v>F</v>
      </c>
    </row>
    <row r="256" spans="1:9" x14ac:dyDescent="0.3">
      <c r="A256">
        <v>253</v>
      </c>
      <c r="B256" t="s">
        <v>1210</v>
      </c>
      <c r="C256" t="s">
        <v>1211</v>
      </c>
      <c r="D256" t="s">
        <v>18</v>
      </c>
      <c r="E256" t="str">
        <f>Table1[[#This Row],[Abbreviations]]</f>
        <v>Kipling Street</v>
      </c>
      <c r="F256" t="s">
        <v>963</v>
      </c>
      <c r="G256" t="str">
        <f xml:space="preserve"> PROPER(_xlfn.CONCAT(Table13[[#This Row],[Title]]," ",Table13[[#This Row],[First Name]]," ",Table13[[#This Row],[Last Name]]))</f>
        <v>Miss Elidia Sosa</v>
      </c>
      <c r="H256" t="str">
        <f t="shared" si="6"/>
        <v>Miss E.Sosa</v>
      </c>
      <c r="I256" t="str">
        <f t="shared" si="7"/>
        <v>F</v>
      </c>
    </row>
    <row r="257" spans="1:9" x14ac:dyDescent="0.3">
      <c r="A257">
        <v>254</v>
      </c>
      <c r="B257" t="s">
        <v>1213</v>
      </c>
      <c r="C257" t="s">
        <v>965</v>
      </c>
      <c r="D257" t="s">
        <v>7</v>
      </c>
      <c r="E257" t="str">
        <f>Table1[[#This Row],[Abbreviations]]</f>
        <v>Hare Place</v>
      </c>
      <c r="F257" t="s">
        <v>1215</v>
      </c>
      <c r="G257" t="str">
        <f xml:space="preserve"> PROPER(_xlfn.CONCAT(Table13[[#This Row],[Title]]," ",Table13[[#This Row],[First Name]]," ",Table13[[#This Row],[Last Name]]))</f>
        <v>Mrs Susann Huggins</v>
      </c>
      <c r="H257" t="str">
        <f t="shared" si="6"/>
        <v>Mrs S.Huggins</v>
      </c>
      <c r="I257" t="str">
        <f t="shared" si="7"/>
        <v>F</v>
      </c>
    </row>
    <row r="258" spans="1:9" x14ac:dyDescent="0.3">
      <c r="A258">
        <v>255</v>
      </c>
      <c r="B258" t="s">
        <v>1216</v>
      </c>
      <c r="C258" t="s">
        <v>1217</v>
      </c>
      <c r="D258" t="s">
        <v>18</v>
      </c>
      <c r="E258" t="str">
        <f>Table1[[#This Row],[Abbreviations]]</f>
        <v>Allenbury Road</v>
      </c>
      <c r="F258" t="s">
        <v>621</v>
      </c>
      <c r="G258" t="str">
        <f xml:space="preserve"> PROPER(_xlfn.CONCAT(Table13[[#This Row],[Title]]," ",Table13[[#This Row],[First Name]]," ",Table13[[#This Row],[Last Name]]))</f>
        <v>Miss Shenika Juarez</v>
      </c>
      <c r="H258" t="str">
        <f t="shared" si="6"/>
        <v>Miss S.Juarez</v>
      </c>
      <c r="I258" t="str">
        <f t="shared" si="7"/>
        <v>F</v>
      </c>
    </row>
    <row r="259" spans="1:9" x14ac:dyDescent="0.3">
      <c r="A259">
        <v>256</v>
      </c>
      <c r="B259" t="s">
        <v>20</v>
      </c>
      <c r="C259" t="s">
        <v>1219</v>
      </c>
      <c r="D259" t="s">
        <v>7</v>
      </c>
      <c r="E259" t="str">
        <f>Table1[[#This Row],[Abbreviations]]</f>
        <v>Matchless Drive</v>
      </c>
      <c r="F259" t="s">
        <v>1221</v>
      </c>
      <c r="G259" t="str">
        <f xml:space="preserve"> PROPER(_xlfn.CONCAT(Table13[[#This Row],[Title]]," ",Table13[[#This Row],[First Name]]," ",Table13[[#This Row],[Last Name]]))</f>
        <v>Mrs Shonta Eastman</v>
      </c>
      <c r="H259" t="str">
        <f t="shared" si="6"/>
        <v>Mrs S.Eastman</v>
      </c>
      <c r="I259" t="str">
        <f t="shared" si="7"/>
        <v>F</v>
      </c>
    </row>
    <row r="260" spans="1:9" x14ac:dyDescent="0.3">
      <c r="A260">
        <v>257</v>
      </c>
      <c r="B260" t="s">
        <v>1222</v>
      </c>
      <c r="C260" t="s">
        <v>1223</v>
      </c>
      <c r="D260" t="s">
        <v>7</v>
      </c>
      <c r="E260" t="str">
        <f>Table1[[#This Row],[Abbreviations]]</f>
        <v>Turpins Yard</v>
      </c>
      <c r="F260" t="s">
        <v>1224</v>
      </c>
      <c r="G260" t="str">
        <f xml:space="preserve"> PROPER(_xlfn.CONCAT(Table13[[#This Row],[Title]]," ",Table13[[#This Row],[First Name]]," ",Table13[[#This Row],[Last Name]]))</f>
        <v>Mrs Shawna Silver</v>
      </c>
      <c r="H260" t="str">
        <f t="shared" ref="H260:H323" si="8">_xlfn.CONCAT(D260)&amp;" "&amp; LEFT(B260,1)&amp;"."&amp;C260</f>
        <v>Mrs S.Silver</v>
      </c>
      <c r="I260" t="str">
        <f t="shared" ref="I260:I323" si="9">IF(LEFT(D260,3)="Mr","M","F")</f>
        <v>F</v>
      </c>
    </row>
    <row r="261" spans="1:9" x14ac:dyDescent="0.3">
      <c r="A261">
        <v>258</v>
      </c>
      <c r="B261" t="s">
        <v>1225</v>
      </c>
      <c r="C261" t="s">
        <v>525</v>
      </c>
      <c r="D261" t="s">
        <v>18</v>
      </c>
      <c r="E261" t="str">
        <f>Table1[[#This Row],[Abbreviations]]</f>
        <v>School: Jewish</v>
      </c>
      <c r="F261" t="s">
        <v>1227</v>
      </c>
      <c r="G261" t="str">
        <f xml:space="preserve"> PROPER(_xlfn.CONCAT(Table13[[#This Row],[Title]]," ",Table13[[#This Row],[First Name]]," ",Table13[[#This Row],[Last Name]]))</f>
        <v>Miss Isobel Paige</v>
      </c>
      <c r="H261" t="str">
        <f t="shared" si="8"/>
        <v>Miss I.Paige</v>
      </c>
      <c r="I261" t="str">
        <f t="shared" si="9"/>
        <v>F</v>
      </c>
    </row>
    <row r="262" spans="1:9" x14ac:dyDescent="0.3">
      <c r="A262">
        <v>259</v>
      </c>
      <c r="B262" t="s">
        <v>1228</v>
      </c>
      <c r="C262" t="s">
        <v>536</v>
      </c>
      <c r="D262" t="s">
        <v>18</v>
      </c>
      <c r="E262" t="str">
        <f>Table1[[#This Row],[Abbreviations]]</f>
        <v>Glenview</v>
      </c>
      <c r="F262" t="s">
        <v>1230</v>
      </c>
      <c r="G262" t="str">
        <f xml:space="preserve"> PROPER(_xlfn.CONCAT(Table13[[#This Row],[Title]]," ",Table13[[#This Row],[First Name]]," ",Table13[[#This Row],[Last Name]]))</f>
        <v>Miss Denise Richey</v>
      </c>
      <c r="H262" t="str">
        <f t="shared" si="8"/>
        <v>Miss D.Richey</v>
      </c>
      <c r="I262" t="str">
        <f t="shared" si="9"/>
        <v>F</v>
      </c>
    </row>
    <row r="263" spans="1:9" x14ac:dyDescent="0.3">
      <c r="A263">
        <v>260</v>
      </c>
      <c r="B263" t="s">
        <v>396</v>
      </c>
      <c r="C263" t="s">
        <v>1231</v>
      </c>
      <c r="D263" t="s">
        <v>7</v>
      </c>
      <c r="E263" t="str">
        <f>Table1[[#This Row],[Abbreviations]]</f>
        <v>South Elder</v>
      </c>
      <c r="F263" t="s">
        <v>1233</v>
      </c>
      <c r="G263" t="str">
        <f xml:space="preserve"> PROPER(_xlfn.CONCAT(Table13[[#This Row],[Title]]," ",Table13[[#This Row],[First Name]]," ",Table13[[#This Row],[Last Name]]))</f>
        <v>Mrs In Gray</v>
      </c>
      <c r="H263" t="str">
        <f t="shared" si="8"/>
        <v>Mrs I.Gray</v>
      </c>
      <c r="I263" t="str">
        <f t="shared" si="9"/>
        <v>F</v>
      </c>
    </row>
    <row r="264" spans="1:9" x14ac:dyDescent="0.3">
      <c r="A264">
        <v>261</v>
      </c>
      <c r="B264" t="s">
        <v>1234</v>
      </c>
      <c r="C264" t="s">
        <v>1235</v>
      </c>
      <c r="D264" t="s">
        <v>18</v>
      </c>
      <c r="E264" t="str">
        <f>Table1[[#This Row],[Abbreviations]]</f>
        <v>Riverview Road</v>
      </c>
      <c r="F264" t="s">
        <v>1237</v>
      </c>
      <c r="G264" t="str">
        <f xml:space="preserve"> PROPER(_xlfn.CONCAT(Table13[[#This Row],[Title]]," ",Table13[[#This Row],[First Name]]," ",Table13[[#This Row],[Last Name]]))</f>
        <v>Miss Keena Pollock</v>
      </c>
      <c r="H264" t="str">
        <f t="shared" si="8"/>
        <v>Miss K.Pollock</v>
      </c>
      <c r="I264" t="str">
        <f t="shared" si="9"/>
        <v>F</v>
      </c>
    </row>
    <row r="265" spans="1:9" x14ac:dyDescent="0.3">
      <c r="A265">
        <v>262</v>
      </c>
      <c r="B265" t="s">
        <v>446</v>
      </c>
      <c r="C265" t="s">
        <v>1238</v>
      </c>
      <c r="D265" t="s">
        <v>7</v>
      </c>
      <c r="E265" t="str">
        <f>Table1[[#This Row],[Abbreviations]]</f>
        <v>Williams Close</v>
      </c>
      <c r="F265" t="s">
        <v>404</v>
      </c>
      <c r="G265" t="str">
        <f xml:space="preserve"> PROPER(_xlfn.CONCAT(Table13[[#This Row],[Title]]," ",Table13[[#This Row],[First Name]]," ",Table13[[#This Row],[Last Name]]))</f>
        <v>Mrs Janine Langston</v>
      </c>
      <c r="H265" t="str">
        <f t="shared" si="8"/>
        <v>Mrs J.Langston</v>
      </c>
      <c r="I265" t="str">
        <f t="shared" si="9"/>
        <v>F</v>
      </c>
    </row>
    <row r="266" spans="1:9" x14ac:dyDescent="0.3">
      <c r="A266">
        <v>263</v>
      </c>
      <c r="B266" t="s">
        <v>1240</v>
      </c>
      <c r="C266" t="s">
        <v>1241</v>
      </c>
      <c r="D266" t="s">
        <v>18</v>
      </c>
      <c r="E266" t="str">
        <f>Table1[[#This Row],[Abbreviations]]</f>
        <v>Wittenham Way</v>
      </c>
      <c r="F266" t="s">
        <v>838</v>
      </c>
      <c r="G266" t="str">
        <f xml:space="preserve"> PROPER(_xlfn.CONCAT(Table13[[#This Row],[Title]]," ",Table13[[#This Row],[First Name]]," ",Table13[[#This Row],[Last Name]]))</f>
        <v>Miss Loma Rivas</v>
      </c>
      <c r="H266" t="str">
        <f t="shared" si="8"/>
        <v>Miss L.Rivas</v>
      </c>
      <c r="I266" t="str">
        <f t="shared" si="9"/>
        <v>F</v>
      </c>
    </row>
    <row r="267" spans="1:9" x14ac:dyDescent="0.3">
      <c r="A267">
        <v>264</v>
      </c>
      <c r="B267" t="s">
        <v>458</v>
      </c>
      <c r="C267" t="s">
        <v>545</v>
      </c>
      <c r="D267" t="s">
        <v>18</v>
      </c>
      <c r="E267" t="str">
        <f>Table1[[#This Row],[Abbreviations]]</f>
        <v>Leonard Cottages</v>
      </c>
      <c r="F267" t="s">
        <v>1244</v>
      </c>
      <c r="G267" t="str">
        <f xml:space="preserve"> PROPER(_xlfn.CONCAT(Table13[[#This Row],[Title]]," ",Table13[[#This Row],[First Name]]," ",Table13[[#This Row],[Last Name]]))</f>
        <v>Miss Lilia Odonnell</v>
      </c>
      <c r="H267" t="str">
        <f t="shared" si="8"/>
        <v>Miss L.Odonnell</v>
      </c>
      <c r="I267" t="str">
        <f t="shared" si="9"/>
        <v>F</v>
      </c>
    </row>
    <row r="268" spans="1:9" x14ac:dyDescent="0.3">
      <c r="A268">
        <v>265</v>
      </c>
      <c r="B268" t="s">
        <v>1245</v>
      </c>
      <c r="C268" t="s">
        <v>544</v>
      </c>
      <c r="D268" t="s">
        <v>7</v>
      </c>
      <c r="E268" t="str">
        <f>Table1[[#This Row],[Abbreviations]]</f>
        <v>Cooper'S Road</v>
      </c>
      <c r="F268" t="s">
        <v>1247</v>
      </c>
      <c r="G268" t="str">
        <f xml:space="preserve"> PROPER(_xlfn.CONCAT(Table13[[#This Row],[Title]]," ",Table13[[#This Row],[First Name]]," ",Table13[[#This Row],[Last Name]]))</f>
        <v>Mrs Marilee Crouch</v>
      </c>
      <c r="H268" t="str">
        <f t="shared" si="8"/>
        <v>Mrs M.Crouch</v>
      </c>
      <c r="I268" t="str">
        <f t="shared" si="9"/>
        <v>F</v>
      </c>
    </row>
    <row r="269" spans="1:9" x14ac:dyDescent="0.3">
      <c r="A269">
        <v>266</v>
      </c>
      <c r="B269" t="s">
        <v>1248</v>
      </c>
      <c r="C269" t="s">
        <v>1249</v>
      </c>
      <c r="D269" t="s">
        <v>18</v>
      </c>
      <c r="E269" t="str">
        <f>Table1[[#This Row],[Abbreviations]]</f>
        <v>Moresby Road</v>
      </c>
      <c r="F269" t="s">
        <v>1251</v>
      </c>
      <c r="G269" t="str">
        <f xml:space="preserve"> PROPER(_xlfn.CONCAT(Table13[[#This Row],[Title]]," ",Table13[[#This Row],[First Name]]," ",Table13[[#This Row],[Last Name]]))</f>
        <v>Miss Mitzie Hunter</v>
      </c>
      <c r="H269" t="str">
        <f t="shared" si="8"/>
        <v>Miss M.Hunter</v>
      </c>
      <c r="I269" t="str">
        <f t="shared" si="9"/>
        <v>F</v>
      </c>
    </row>
    <row r="270" spans="1:9" x14ac:dyDescent="0.3">
      <c r="A270">
        <v>267</v>
      </c>
      <c r="B270" t="s">
        <v>1252</v>
      </c>
      <c r="C270" t="s">
        <v>1253</v>
      </c>
      <c r="D270" t="s">
        <v>7</v>
      </c>
      <c r="E270" t="str">
        <f>Table1[[#This Row],[Abbreviations]]</f>
        <v>Station Estate</v>
      </c>
      <c r="F270" t="s">
        <v>1255</v>
      </c>
      <c r="G270" t="str">
        <f xml:space="preserve"> PROPER(_xlfn.CONCAT(Table13[[#This Row],[Title]]," ",Table13[[#This Row],[First Name]]," ",Table13[[#This Row],[Last Name]]))</f>
        <v>Mrs Mercedes Wiseman</v>
      </c>
      <c r="H270" t="str">
        <f t="shared" si="8"/>
        <v>Mrs M.Wiseman</v>
      </c>
      <c r="I270" t="str">
        <f t="shared" si="9"/>
        <v>F</v>
      </c>
    </row>
    <row r="271" spans="1:9" x14ac:dyDescent="0.3">
      <c r="A271">
        <v>268</v>
      </c>
      <c r="B271" t="s">
        <v>1256</v>
      </c>
      <c r="C271" t="s">
        <v>1249</v>
      </c>
      <c r="D271" t="s">
        <v>7</v>
      </c>
      <c r="E271" t="str">
        <f>Table1[[#This Row],[Abbreviations]]</f>
        <v>Cliveden Place</v>
      </c>
      <c r="F271" t="s">
        <v>459</v>
      </c>
      <c r="G271" t="str">
        <f xml:space="preserve"> PROPER(_xlfn.CONCAT(Table13[[#This Row],[Title]]," ",Table13[[#This Row],[First Name]]," ",Table13[[#This Row],[Last Name]]))</f>
        <v>Mrs Marissa Hunter</v>
      </c>
      <c r="H271" t="str">
        <f t="shared" si="8"/>
        <v>Mrs M.Hunter</v>
      </c>
      <c r="I271" t="str">
        <f t="shared" si="9"/>
        <v>F</v>
      </c>
    </row>
    <row r="272" spans="1:9" x14ac:dyDescent="0.3">
      <c r="A272">
        <v>269</v>
      </c>
      <c r="B272" t="s">
        <v>1258</v>
      </c>
      <c r="C272" t="s">
        <v>862</v>
      </c>
      <c r="D272" t="s">
        <v>7</v>
      </c>
      <c r="E272" t="str">
        <f>Table1[[#This Row],[Abbreviations]]</f>
        <v>Linden Lea</v>
      </c>
      <c r="F272" t="s">
        <v>973</v>
      </c>
      <c r="G272" t="str">
        <f xml:space="preserve"> PROPER(_xlfn.CONCAT(Table13[[#This Row],[Title]]," ",Table13[[#This Row],[First Name]]," ",Table13[[#This Row],[Last Name]]))</f>
        <v>Mrs Tennille Alfaro</v>
      </c>
      <c r="H272" t="str">
        <f t="shared" si="8"/>
        <v>Mrs T.Alfaro</v>
      </c>
      <c r="I272" t="str">
        <f t="shared" si="9"/>
        <v>F</v>
      </c>
    </row>
    <row r="273" spans="1:9" x14ac:dyDescent="0.3">
      <c r="A273">
        <v>270</v>
      </c>
      <c r="B273" t="s">
        <v>1260</v>
      </c>
      <c r="C273" t="s">
        <v>466</v>
      </c>
      <c r="D273" t="s">
        <v>18</v>
      </c>
      <c r="E273" t="str">
        <f>Table1[[#This Row],[Abbreviations]]</f>
        <v>Gordonbrock Road</v>
      </c>
      <c r="F273" t="s">
        <v>1262</v>
      </c>
      <c r="G273" t="str">
        <f xml:space="preserve"> PROPER(_xlfn.CONCAT(Table13[[#This Row],[Title]]," ",Table13[[#This Row],[First Name]]," ",Table13[[#This Row],[Last Name]]))</f>
        <v>Miss Leann Brunson</v>
      </c>
      <c r="H273" t="str">
        <f t="shared" si="8"/>
        <v>Miss l.Brunson</v>
      </c>
      <c r="I273" t="str">
        <f t="shared" si="9"/>
        <v>F</v>
      </c>
    </row>
    <row r="274" spans="1:9" x14ac:dyDescent="0.3">
      <c r="A274">
        <v>271</v>
      </c>
      <c r="B274" t="s">
        <v>382</v>
      </c>
      <c r="C274" t="s">
        <v>1263</v>
      </c>
      <c r="D274" t="s">
        <v>7</v>
      </c>
      <c r="E274" t="str">
        <f>Table1[[#This Row],[Abbreviations]]</f>
        <v>Shoolhouse</v>
      </c>
      <c r="F274" t="s">
        <v>296</v>
      </c>
      <c r="G274" t="str">
        <f xml:space="preserve"> PROPER(_xlfn.CONCAT(Table13[[#This Row],[Title]]," ",Table13[[#This Row],[First Name]]," ",Table13[[#This Row],[Last Name]]))</f>
        <v>Mrs Magdalene Vang</v>
      </c>
      <c r="H274" t="str">
        <f t="shared" si="8"/>
        <v>Mrs M.Vang</v>
      </c>
      <c r="I274" t="str">
        <f t="shared" si="9"/>
        <v>F</v>
      </c>
    </row>
    <row r="275" spans="1:9" x14ac:dyDescent="0.3">
      <c r="A275">
        <v>272</v>
      </c>
      <c r="B275" t="s">
        <v>1265</v>
      </c>
      <c r="C275" t="s">
        <v>1070</v>
      </c>
      <c r="D275" t="s">
        <v>18</v>
      </c>
      <c r="E275" t="str">
        <f>Table1[[#This Row],[Abbreviations]]</f>
        <v>Woodcote Place</v>
      </c>
      <c r="F275" t="s">
        <v>910</v>
      </c>
      <c r="G275" t="str">
        <f xml:space="preserve"> PROPER(_xlfn.CONCAT(Table13[[#This Row],[Title]]," ",Table13[[#This Row],[First Name]]," ",Table13[[#This Row],[Last Name]]))</f>
        <v>Miss Hellen Leon</v>
      </c>
      <c r="H275" t="str">
        <f t="shared" si="8"/>
        <v>Miss H.Leon</v>
      </c>
      <c r="I275" t="str">
        <f t="shared" si="9"/>
        <v>F</v>
      </c>
    </row>
    <row r="276" spans="1:9" x14ac:dyDescent="0.3">
      <c r="A276">
        <v>273</v>
      </c>
      <c r="B276" t="s">
        <v>1267</v>
      </c>
      <c r="C276" t="s">
        <v>1268</v>
      </c>
      <c r="D276" t="s">
        <v>18</v>
      </c>
      <c r="E276" t="str">
        <f>Table1[[#This Row],[Abbreviations]]</f>
        <v>Lisban Street</v>
      </c>
      <c r="F276" t="s">
        <v>1270</v>
      </c>
      <c r="G276" t="str">
        <f xml:space="preserve"> PROPER(_xlfn.CONCAT(Table13[[#This Row],[Title]]," ",Table13[[#This Row],[First Name]]," ",Table13[[#This Row],[Last Name]]))</f>
        <v>Miss Josefa Stallings</v>
      </c>
      <c r="H276" t="str">
        <f t="shared" si="8"/>
        <v>Miss J.Stallings</v>
      </c>
      <c r="I276" t="str">
        <f t="shared" si="9"/>
        <v>F</v>
      </c>
    </row>
    <row r="277" spans="1:9" x14ac:dyDescent="0.3">
      <c r="A277">
        <v>274</v>
      </c>
      <c r="B277" t="s">
        <v>1271</v>
      </c>
      <c r="C277" t="s">
        <v>1272</v>
      </c>
      <c r="D277" t="s">
        <v>7</v>
      </c>
      <c r="E277" t="str">
        <f>Table1[[#This Row],[Abbreviations]]</f>
        <v>Erewash Terrace</v>
      </c>
      <c r="F277" t="s">
        <v>1274</v>
      </c>
      <c r="G277" t="str">
        <f xml:space="preserve"> PROPER(_xlfn.CONCAT(Table13[[#This Row],[Title]]," ",Table13[[#This Row],[First Name]]," ",Table13[[#This Row],[Last Name]]))</f>
        <v>Mrs Bev Donnelly</v>
      </c>
      <c r="H277" t="str">
        <f t="shared" si="8"/>
        <v>Mrs B.Donnelly</v>
      </c>
      <c r="I277" t="str">
        <f t="shared" si="9"/>
        <v>F</v>
      </c>
    </row>
    <row r="278" spans="1:9" x14ac:dyDescent="0.3">
      <c r="A278">
        <v>275</v>
      </c>
      <c r="B278" t="s">
        <v>1275</v>
      </c>
      <c r="C278" t="s">
        <v>1276</v>
      </c>
      <c r="D278" t="s">
        <v>18</v>
      </c>
      <c r="E278" t="str">
        <f>Table1[[#This Row],[Abbreviations]]</f>
        <v>Bakers Mews</v>
      </c>
      <c r="F278" t="s">
        <v>819</v>
      </c>
      <c r="G278" t="str">
        <f xml:space="preserve"> PROPER(_xlfn.CONCAT(Table13[[#This Row],[Title]]," ",Table13[[#This Row],[First Name]]," ",Table13[[#This Row],[Last Name]]))</f>
        <v>Miss Risa Dillard</v>
      </c>
      <c r="H278" t="str">
        <f t="shared" si="8"/>
        <v>Miss R.Dillard</v>
      </c>
      <c r="I278" t="str">
        <f t="shared" si="9"/>
        <v>F</v>
      </c>
    </row>
    <row r="279" spans="1:9" x14ac:dyDescent="0.3">
      <c r="A279">
        <v>276</v>
      </c>
      <c r="B279" t="s">
        <v>575</v>
      </c>
      <c r="C279" t="s">
        <v>452</v>
      </c>
      <c r="D279" t="s">
        <v>7</v>
      </c>
      <c r="E279" t="str">
        <f>Table1[[#This Row],[Abbreviations]]</f>
        <v>Cressfield Close</v>
      </c>
      <c r="F279" t="s">
        <v>1279</v>
      </c>
      <c r="G279" t="str">
        <f xml:space="preserve"> PROPER(_xlfn.CONCAT(Table13[[#This Row],[Title]]," ",Table13[[#This Row],[First Name]]," ",Table13[[#This Row],[Last Name]]))</f>
        <v>Mrs Josephine Hagen</v>
      </c>
      <c r="H279" t="str">
        <f t="shared" si="8"/>
        <v>Mrs J.Hagen</v>
      </c>
      <c r="I279" t="str">
        <f t="shared" si="9"/>
        <v>F</v>
      </c>
    </row>
    <row r="280" spans="1:9" x14ac:dyDescent="0.3">
      <c r="A280">
        <v>277</v>
      </c>
      <c r="B280" t="s">
        <v>609</v>
      </c>
      <c r="C280" t="s">
        <v>1280</v>
      </c>
      <c r="D280" t="s">
        <v>7</v>
      </c>
      <c r="E280" t="str">
        <f>Table1[[#This Row],[Abbreviations]]</f>
        <v>Broughton Street</v>
      </c>
      <c r="F280" t="s">
        <v>472</v>
      </c>
      <c r="G280" t="str">
        <f xml:space="preserve"> PROPER(_xlfn.CONCAT(Table13[[#This Row],[Title]]," ",Table13[[#This Row],[First Name]]," ",Table13[[#This Row],[Last Name]]))</f>
        <v>Mrs Kristen Winkler</v>
      </c>
      <c r="H280" t="str">
        <f t="shared" si="8"/>
        <v>Mrs K.Winkler</v>
      </c>
      <c r="I280" t="str">
        <f t="shared" si="9"/>
        <v>F</v>
      </c>
    </row>
    <row r="281" spans="1:9" x14ac:dyDescent="0.3">
      <c r="A281">
        <v>278</v>
      </c>
      <c r="B281" t="s">
        <v>653</v>
      </c>
      <c r="C281" t="s">
        <v>682</v>
      </c>
      <c r="D281" t="s">
        <v>18</v>
      </c>
      <c r="E281" t="str">
        <f>Table1[[#This Row],[Abbreviations]]</f>
        <v>Hillcrest Close</v>
      </c>
      <c r="F281" t="s">
        <v>1283</v>
      </c>
      <c r="G281" t="str">
        <f xml:space="preserve"> PROPER(_xlfn.CONCAT(Table13[[#This Row],[Title]]," ",Table13[[#This Row],[First Name]]," ",Table13[[#This Row],[Last Name]]))</f>
        <v>Miss Slyvia Blanchard</v>
      </c>
      <c r="H281" t="str">
        <f t="shared" si="8"/>
        <v>Miss S.Blanchard</v>
      </c>
      <c r="I281" t="str">
        <f t="shared" si="9"/>
        <v>F</v>
      </c>
    </row>
    <row r="282" spans="1:9" x14ac:dyDescent="0.3">
      <c r="A282">
        <v>279</v>
      </c>
      <c r="B282" t="s">
        <v>1284</v>
      </c>
      <c r="C282" t="s">
        <v>1285</v>
      </c>
      <c r="D282" t="s">
        <v>18</v>
      </c>
      <c r="E282" t="str">
        <f>Table1[[#This Row],[Abbreviations]]</f>
        <v>Lumley Street</v>
      </c>
      <c r="F282" t="s">
        <v>1287</v>
      </c>
      <c r="G282" t="str">
        <f xml:space="preserve"> PROPER(_xlfn.CONCAT(Table13[[#This Row],[Title]]," ",Table13[[#This Row],[First Name]]," ",Table13[[#This Row],[Last Name]]))</f>
        <v>Miss Candyce Deal</v>
      </c>
      <c r="H282" t="str">
        <f t="shared" si="8"/>
        <v>Miss C.Deal</v>
      </c>
      <c r="I282" t="str">
        <f t="shared" si="9"/>
        <v>F</v>
      </c>
    </row>
    <row r="283" spans="1:9" x14ac:dyDescent="0.3">
      <c r="A283">
        <v>280</v>
      </c>
      <c r="B283" t="s">
        <v>1288</v>
      </c>
      <c r="C283" t="s">
        <v>311</v>
      </c>
      <c r="D283" t="s">
        <v>18</v>
      </c>
      <c r="E283" t="str">
        <f>Table1[[#This Row],[Abbreviations]]</f>
        <v>Aston Road</v>
      </c>
      <c r="F283" t="s">
        <v>1290</v>
      </c>
      <c r="G283" t="str">
        <f xml:space="preserve"> PROPER(_xlfn.CONCAT(Table13[[#This Row],[Title]]," ",Table13[[#This Row],[First Name]]," ",Table13[[#This Row],[Last Name]]))</f>
        <v>Miss Destiny Duncan</v>
      </c>
      <c r="H283" t="str">
        <f t="shared" si="8"/>
        <v>Miss D.Duncan</v>
      </c>
      <c r="I283" t="str">
        <f t="shared" si="9"/>
        <v>F</v>
      </c>
    </row>
    <row r="284" spans="1:9" x14ac:dyDescent="0.3">
      <c r="A284">
        <v>281</v>
      </c>
      <c r="B284" t="s">
        <v>1291</v>
      </c>
      <c r="C284" t="s">
        <v>118</v>
      </c>
      <c r="D284" t="s">
        <v>7</v>
      </c>
      <c r="E284" t="str">
        <f>Table1[[#This Row],[Abbreviations]]</f>
        <v>Rowena Crescent</v>
      </c>
      <c r="F284" t="s">
        <v>622</v>
      </c>
      <c r="G284" t="str">
        <f xml:space="preserve"> PROPER(_xlfn.CONCAT(Table13[[#This Row],[Title]]," ",Table13[[#This Row],[First Name]]," ",Table13[[#This Row],[Last Name]]))</f>
        <v>Mrs Helen Lacy</v>
      </c>
      <c r="H284" t="str">
        <f t="shared" si="8"/>
        <v>Mrs H.Lacy</v>
      </c>
      <c r="I284" t="str">
        <f t="shared" si="9"/>
        <v>F</v>
      </c>
    </row>
    <row r="285" spans="1:9" x14ac:dyDescent="0.3">
      <c r="A285">
        <v>282</v>
      </c>
      <c r="B285" t="s">
        <v>460</v>
      </c>
      <c r="C285" t="s">
        <v>1293</v>
      </c>
      <c r="D285" t="s">
        <v>318</v>
      </c>
      <c r="E285" t="str">
        <f>Table1[[#This Row],[Abbreviations]]</f>
        <v>Dorchester Court</v>
      </c>
      <c r="F285" t="s">
        <v>1295</v>
      </c>
      <c r="G285" t="str">
        <f xml:space="preserve"> PROPER(_xlfn.CONCAT(Table13[[#This Row],[Title]]," ",Table13[[#This Row],[First Name]]," ",Table13[[#This Row],[Last Name]]))</f>
        <v>Dr Liz Gallo</v>
      </c>
      <c r="H285" t="str">
        <f t="shared" si="8"/>
        <v>Dr L.Gallo</v>
      </c>
      <c r="I285" t="str">
        <f t="shared" si="9"/>
        <v>F</v>
      </c>
    </row>
    <row r="286" spans="1:9" x14ac:dyDescent="0.3">
      <c r="A286">
        <v>283</v>
      </c>
      <c r="B286" t="s">
        <v>1296</v>
      </c>
      <c r="C286" t="s">
        <v>1297</v>
      </c>
      <c r="D286" t="s">
        <v>7</v>
      </c>
      <c r="E286" t="str">
        <f>Table1[[#This Row],[Abbreviations]]</f>
        <v>Pembroke Yard</v>
      </c>
      <c r="F286" t="s">
        <v>553</v>
      </c>
      <c r="G286" t="str">
        <f xml:space="preserve"> PROPER(_xlfn.CONCAT(Table13[[#This Row],[Title]]," ",Table13[[#This Row],[First Name]]," ",Table13[[#This Row],[Last Name]]))</f>
        <v>Mrs Lesley Berger</v>
      </c>
      <c r="H286" t="str">
        <f t="shared" si="8"/>
        <v>Mrs L.Berger</v>
      </c>
      <c r="I286" t="str">
        <f t="shared" si="9"/>
        <v>F</v>
      </c>
    </row>
    <row r="287" spans="1:9" x14ac:dyDescent="0.3">
      <c r="A287">
        <v>284</v>
      </c>
      <c r="B287" t="s">
        <v>1299</v>
      </c>
      <c r="C287" t="s">
        <v>1300</v>
      </c>
      <c r="D287" t="s">
        <v>7</v>
      </c>
      <c r="E287" t="str">
        <f>Table1[[#This Row],[Abbreviations]]</f>
        <v>Northcott Avenue</v>
      </c>
      <c r="F287" t="s">
        <v>1302</v>
      </c>
      <c r="G287" t="str">
        <f xml:space="preserve"> PROPER(_xlfn.CONCAT(Table13[[#This Row],[Title]]," ",Table13[[#This Row],[First Name]]," ",Table13[[#This Row],[Last Name]]))</f>
        <v>Mrs Marg Brock</v>
      </c>
      <c r="H287" t="str">
        <f t="shared" si="8"/>
        <v>Mrs M.Brock</v>
      </c>
      <c r="I287" t="str">
        <f t="shared" si="9"/>
        <v>F</v>
      </c>
    </row>
    <row r="288" spans="1:9" x14ac:dyDescent="0.3">
      <c r="A288">
        <v>285</v>
      </c>
      <c r="B288" t="s">
        <v>1303</v>
      </c>
      <c r="C288" t="s">
        <v>112</v>
      </c>
      <c r="D288" t="s">
        <v>18</v>
      </c>
      <c r="E288" t="str">
        <f>Table1[[#This Row],[Abbreviations]]</f>
        <v>Archer Place</v>
      </c>
      <c r="F288" t="s">
        <v>1305</v>
      </c>
      <c r="G288" t="str">
        <f xml:space="preserve"> PROPER(_xlfn.CONCAT(Table13[[#This Row],[Title]]," ",Table13[[#This Row],[First Name]]," ",Table13[[#This Row],[Last Name]]))</f>
        <v>Miss Ida Pryor</v>
      </c>
      <c r="H288" t="str">
        <f t="shared" si="8"/>
        <v>Miss I.Pryor</v>
      </c>
      <c r="I288" t="str">
        <f t="shared" si="9"/>
        <v>F</v>
      </c>
    </row>
    <row r="289" spans="1:9" x14ac:dyDescent="0.3">
      <c r="A289">
        <v>286</v>
      </c>
      <c r="B289" t="s">
        <v>1306</v>
      </c>
      <c r="C289" t="s">
        <v>1307</v>
      </c>
      <c r="D289" t="s">
        <v>7</v>
      </c>
      <c r="E289" t="str">
        <f>Table1[[#This Row],[Abbreviations]]</f>
        <v>Condray Place</v>
      </c>
      <c r="F289" t="s">
        <v>443</v>
      </c>
      <c r="G289" t="str">
        <f xml:space="preserve"> PROPER(_xlfn.CONCAT(Table13[[#This Row],[Title]]," ",Table13[[#This Row],[First Name]]," ",Table13[[#This Row],[Last Name]]))</f>
        <v>Mrs Chantal Rosen</v>
      </c>
      <c r="H289" t="str">
        <f t="shared" si="8"/>
        <v>Mrs C.Rosen</v>
      </c>
      <c r="I289" t="str">
        <f t="shared" si="9"/>
        <v>F</v>
      </c>
    </row>
    <row r="290" spans="1:9" x14ac:dyDescent="0.3">
      <c r="A290">
        <v>287</v>
      </c>
      <c r="B290" t="s">
        <v>1309</v>
      </c>
      <c r="C290" t="s">
        <v>1310</v>
      </c>
      <c r="D290" t="s">
        <v>18</v>
      </c>
      <c r="E290" t="str">
        <f>Table1[[#This Row],[Abbreviations]]</f>
        <v>Marshalls Pottery</v>
      </c>
      <c r="F290" t="s">
        <v>1312</v>
      </c>
      <c r="G290" t="str">
        <f xml:space="preserve"> PROPER(_xlfn.CONCAT(Table13[[#This Row],[Title]]," ",Table13[[#This Row],[First Name]]," ",Table13[[#This Row],[Last Name]]))</f>
        <v>Miss Rochelle Beach</v>
      </c>
      <c r="H290" t="str">
        <f t="shared" si="8"/>
        <v>Miss R.Beach</v>
      </c>
      <c r="I290" t="str">
        <f t="shared" si="9"/>
        <v>F</v>
      </c>
    </row>
    <row r="291" spans="1:9" x14ac:dyDescent="0.3">
      <c r="A291">
        <v>288</v>
      </c>
      <c r="B291" t="s">
        <v>533</v>
      </c>
      <c r="C291" t="s">
        <v>1313</v>
      </c>
      <c r="D291" t="s">
        <v>18</v>
      </c>
      <c r="E291" t="str">
        <f>Table1[[#This Row],[Abbreviations]]</f>
        <v>Batty'S Yard</v>
      </c>
      <c r="F291" t="s">
        <v>487</v>
      </c>
      <c r="G291" t="str">
        <f xml:space="preserve"> PROPER(_xlfn.CONCAT(Table13[[#This Row],[Title]]," ",Table13[[#This Row],[First Name]]," ",Table13[[#This Row],[Last Name]]))</f>
        <v>Miss Diamond Murphy</v>
      </c>
      <c r="H291" t="str">
        <f t="shared" si="8"/>
        <v>Miss D.Murphy</v>
      </c>
      <c r="I291" t="str">
        <f t="shared" si="9"/>
        <v>F</v>
      </c>
    </row>
    <row r="292" spans="1:9" x14ac:dyDescent="0.3">
      <c r="A292">
        <v>289</v>
      </c>
      <c r="B292" t="s">
        <v>1315</v>
      </c>
      <c r="C292" t="s">
        <v>1316</v>
      </c>
      <c r="D292" t="s">
        <v>7</v>
      </c>
      <c r="E292" t="str">
        <f>Table1[[#This Row],[Abbreviations]]</f>
        <v>Arthur Terrace</v>
      </c>
      <c r="F292" t="s">
        <v>531</v>
      </c>
      <c r="G292" t="str">
        <f xml:space="preserve"> PROPER(_xlfn.CONCAT(Table13[[#This Row],[Title]]," ",Table13[[#This Row],[First Name]]," ",Table13[[#This Row],[Last Name]]))</f>
        <v>Mrs Hwa Villa</v>
      </c>
      <c r="H292" t="str">
        <f t="shared" si="8"/>
        <v>Mrs H.Villa</v>
      </c>
      <c r="I292" t="str">
        <f t="shared" si="9"/>
        <v>F</v>
      </c>
    </row>
    <row r="293" spans="1:9" x14ac:dyDescent="0.3">
      <c r="A293">
        <v>290</v>
      </c>
      <c r="B293" t="s">
        <v>1318</v>
      </c>
      <c r="C293" t="s">
        <v>720</v>
      </c>
      <c r="D293" t="s">
        <v>7</v>
      </c>
      <c r="E293" t="str">
        <f>Table1[[#This Row],[Abbreviations]]</f>
        <v>Central Park</v>
      </c>
      <c r="F293" t="s">
        <v>1320</v>
      </c>
      <c r="G293" t="str">
        <f xml:space="preserve"> PROPER(_xlfn.CONCAT(Table13[[#This Row],[Title]]," ",Table13[[#This Row],[First Name]]," ",Table13[[#This Row],[Last Name]]))</f>
        <v>Mrs Arlette Dukes</v>
      </c>
      <c r="H293" t="str">
        <f t="shared" si="8"/>
        <v>Mrs A.Dukes</v>
      </c>
      <c r="I293" t="str">
        <f t="shared" si="9"/>
        <v>F</v>
      </c>
    </row>
    <row r="294" spans="1:9" x14ac:dyDescent="0.3">
      <c r="A294">
        <v>291</v>
      </c>
      <c r="B294" t="s">
        <v>1321</v>
      </c>
      <c r="C294" t="s">
        <v>1322</v>
      </c>
      <c r="D294" t="s">
        <v>7</v>
      </c>
      <c r="E294" t="str">
        <f>Table1[[#This Row],[Abbreviations]]</f>
        <v>Ralston Street</v>
      </c>
      <c r="F294" t="s">
        <v>784</v>
      </c>
      <c r="G294" t="str">
        <f xml:space="preserve"> PROPER(_xlfn.CONCAT(Table13[[#This Row],[Title]]," ",Table13[[#This Row],[First Name]]," ",Table13[[#This Row],[Last Name]]))</f>
        <v>Mrs Dominga Sharpe</v>
      </c>
      <c r="H294" t="str">
        <f t="shared" si="8"/>
        <v>Mrs D.Sharpe</v>
      </c>
      <c r="I294" t="str">
        <f t="shared" si="9"/>
        <v>F</v>
      </c>
    </row>
    <row r="295" spans="1:9" x14ac:dyDescent="0.3">
      <c r="A295">
        <v>292</v>
      </c>
      <c r="B295" t="s">
        <v>1324</v>
      </c>
      <c r="C295" t="s">
        <v>1325</v>
      </c>
      <c r="D295" t="s">
        <v>18</v>
      </c>
      <c r="E295" t="str">
        <f>Table1[[#This Row],[Abbreviations]]</f>
        <v>Heathway Court</v>
      </c>
      <c r="F295" t="s">
        <v>1327</v>
      </c>
      <c r="G295" t="str">
        <f xml:space="preserve"> PROPER(_xlfn.CONCAT(Table13[[#This Row],[Title]]," ",Table13[[#This Row],[First Name]]," ",Table13[[#This Row],[Last Name]]))</f>
        <v>Miss Shanta Lusk</v>
      </c>
      <c r="H295" t="str">
        <f t="shared" si="8"/>
        <v>Miss S.Lusk</v>
      </c>
      <c r="I295" t="str">
        <f t="shared" si="9"/>
        <v>F</v>
      </c>
    </row>
    <row r="296" spans="1:9" x14ac:dyDescent="0.3">
      <c r="A296">
        <v>293</v>
      </c>
      <c r="B296" t="s">
        <v>1328</v>
      </c>
      <c r="C296" t="s">
        <v>1329</v>
      </c>
      <c r="D296" t="s">
        <v>7</v>
      </c>
      <c r="E296" t="str">
        <f>Table1[[#This Row],[Abbreviations]]</f>
        <v>Acacia Close</v>
      </c>
      <c r="F296" t="s">
        <v>395</v>
      </c>
      <c r="G296" t="str">
        <f xml:space="preserve"> PROPER(_xlfn.CONCAT(Table13[[#This Row],[Title]]," ",Table13[[#This Row],[First Name]]," ",Table13[[#This Row],[Last Name]]))</f>
        <v>Mrs Dyan Chang</v>
      </c>
      <c r="H296" t="str">
        <f t="shared" si="8"/>
        <v>Mrs D.Chang</v>
      </c>
      <c r="I296" t="str">
        <f t="shared" si="9"/>
        <v>F</v>
      </c>
    </row>
    <row r="297" spans="1:9" x14ac:dyDescent="0.3">
      <c r="A297">
        <v>294</v>
      </c>
      <c r="B297" t="s">
        <v>1331</v>
      </c>
      <c r="C297" t="s">
        <v>1332</v>
      </c>
      <c r="D297" t="s">
        <v>18</v>
      </c>
      <c r="E297" t="str">
        <f>Table1[[#This Row],[Abbreviations]]</f>
        <v>Winchester Place</v>
      </c>
      <c r="F297" t="s">
        <v>572</v>
      </c>
      <c r="G297" t="str">
        <f xml:space="preserve"> PROPER(_xlfn.CONCAT(Table13[[#This Row],[Title]]," ",Table13[[#This Row],[First Name]]," ",Table13[[#This Row],[Last Name]]))</f>
        <v>Miss Shirely Burgess</v>
      </c>
      <c r="H297" t="str">
        <f t="shared" si="8"/>
        <v>Miss S.Burgess</v>
      </c>
      <c r="I297" t="str">
        <f t="shared" si="9"/>
        <v>F</v>
      </c>
    </row>
    <row r="298" spans="1:9" x14ac:dyDescent="0.3">
      <c r="A298">
        <v>295</v>
      </c>
      <c r="B298" t="s">
        <v>1334</v>
      </c>
      <c r="C298" t="s">
        <v>1335</v>
      </c>
      <c r="D298" t="s">
        <v>7</v>
      </c>
      <c r="E298" t="str">
        <f>Table1[[#This Row],[Abbreviations]]</f>
        <v>Highbury Terrace</v>
      </c>
      <c r="F298" t="s">
        <v>546</v>
      </c>
      <c r="G298" t="str">
        <f xml:space="preserve"> PROPER(_xlfn.CONCAT(Table13[[#This Row],[Title]]," ",Table13[[#This Row],[First Name]]," ",Table13[[#This Row],[Last Name]]))</f>
        <v>Mrs Florencia Valdez</v>
      </c>
      <c r="H298" t="str">
        <f t="shared" si="8"/>
        <v>Mrs F.Valdez</v>
      </c>
      <c r="I298" t="str">
        <f t="shared" si="9"/>
        <v>F</v>
      </c>
    </row>
    <row r="299" spans="1:9" x14ac:dyDescent="0.3">
      <c r="A299">
        <v>296</v>
      </c>
      <c r="B299" t="s">
        <v>1337</v>
      </c>
      <c r="C299" t="s">
        <v>499</v>
      </c>
      <c r="D299" t="s">
        <v>7</v>
      </c>
      <c r="E299" t="str">
        <f>Table1[[#This Row],[Abbreviations]]</f>
        <v>Notting Barn</v>
      </c>
      <c r="F299" t="s">
        <v>401</v>
      </c>
      <c r="G299" t="str">
        <f xml:space="preserve"> PROPER(_xlfn.CONCAT(Table13[[#This Row],[Title]]," ",Table13[[#This Row],[First Name]]," ",Table13[[#This Row],[Last Name]]))</f>
        <v>Mrs Adaline Crump</v>
      </c>
      <c r="H299" t="str">
        <f t="shared" si="8"/>
        <v>Mrs A.Crump</v>
      </c>
      <c r="I299" t="str">
        <f t="shared" si="9"/>
        <v>F</v>
      </c>
    </row>
    <row r="300" spans="1:9" x14ac:dyDescent="0.3">
      <c r="A300">
        <v>297</v>
      </c>
      <c r="B300" t="s">
        <v>1339</v>
      </c>
      <c r="C300" t="s">
        <v>1340</v>
      </c>
      <c r="D300" t="s">
        <v>7</v>
      </c>
      <c r="E300" t="str">
        <f>Table1[[#This Row],[Abbreviations]]</f>
        <v>Portland Gardens</v>
      </c>
      <c r="F300" t="s">
        <v>386</v>
      </c>
      <c r="G300" t="str">
        <f xml:space="preserve"> PROPER(_xlfn.CONCAT(Table13[[#This Row],[Title]]," ",Table13[[#This Row],[First Name]]," ",Table13[[#This Row],[Last Name]]))</f>
        <v>Mrs Sherell Sheldon</v>
      </c>
      <c r="H300" t="str">
        <f t="shared" si="8"/>
        <v>Mrs S.Sheldon</v>
      </c>
      <c r="I300" t="str">
        <f t="shared" si="9"/>
        <v>F</v>
      </c>
    </row>
    <row r="301" spans="1:9" x14ac:dyDescent="0.3">
      <c r="A301">
        <v>298</v>
      </c>
      <c r="B301" t="s">
        <v>1342</v>
      </c>
      <c r="C301" t="s">
        <v>1343</v>
      </c>
      <c r="D301" t="s">
        <v>18</v>
      </c>
      <c r="E301" t="str">
        <f>Table1[[#This Row],[Abbreviations]]</f>
        <v>Varden Street</v>
      </c>
      <c r="F301" t="s">
        <v>550</v>
      </c>
      <c r="G301" t="str">
        <f xml:space="preserve"> PROPER(_xlfn.CONCAT(Table13[[#This Row],[Title]]," ",Table13[[#This Row],[First Name]]," ",Table13[[#This Row],[Last Name]]))</f>
        <v>Miss Vannessa Harmon</v>
      </c>
      <c r="H301" t="str">
        <f t="shared" si="8"/>
        <v>Miss V.Harmon</v>
      </c>
      <c r="I301" t="str">
        <f t="shared" si="9"/>
        <v>F</v>
      </c>
    </row>
    <row r="302" spans="1:9" x14ac:dyDescent="0.3">
      <c r="A302">
        <v>299</v>
      </c>
      <c r="B302" t="s">
        <v>1345</v>
      </c>
      <c r="C302" t="s">
        <v>993</v>
      </c>
      <c r="D302" t="s">
        <v>7</v>
      </c>
      <c r="E302" t="str">
        <f>Table1[[#This Row],[Abbreviations]]</f>
        <v>Gernon Road</v>
      </c>
      <c r="F302" t="s">
        <v>1347</v>
      </c>
      <c r="G302" t="str">
        <f xml:space="preserve"> PROPER(_xlfn.CONCAT(Table13[[#This Row],[Title]]," ",Table13[[#This Row],[First Name]]," ",Table13[[#This Row],[Last Name]]))</f>
        <v>Mrs Shiela Darling</v>
      </c>
      <c r="H302" t="str">
        <f t="shared" si="8"/>
        <v>Mrs S.Darling</v>
      </c>
      <c r="I302" t="str">
        <f t="shared" si="9"/>
        <v>F</v>
      </c>
    </row>
    <row r="303" spans="1:9" x14ac:dyDescent="0.3">
      <c r="A303">
        <v>300</v>
      </c>
      <c r="B303" t="s">
        <v>1348</v>
      </c>
      <c r="C303" t="s">
        <v>440</v>
      </c>
      <c r="D303" t="s">
        <v>18</v>
      </c>
      <c r="E303" t="str">
        <f>Table1[[#This Row],[Abbreviations]]</f>
        <v>Simpson Drive</v>
      </c>
      <c r="F303" t="s">
        <v>8</v>
      </c>
      <c r="G303" t="str">
        <f xml:space="preserve"> PROPER(_xlfn.CONCAT(Table13[[#This Row],[Title]]," ",Table13[[#This Row],[First Name]]," ",Table13[[#This Row],[Last Name]]))</f>
        <v>Miss Arla Kent</v>
      </c>
      <c r="H303" t="str">
        <f t="shared" si="8"/>
        <v>Miss A.Kent</v>
      </c>
      <c r="I303" t="str">
        <f t="shared" si="9"/>
        <v>F</v>
      </c>
    </row>
    <row r="304" spans="1:9" x14ac:dyDescent="0.3">
      <c r="A304">
        <v>301</v>
      </c>
      <c r="B304" t="s">
        <v>1350</v>
      </c>
      <c r="C304" t="s">
        <v>1351</v>
      </c>
      <c r="D304" t="s">
        <v>7</v>
      </c>
      <c r="E304" t="str">
        <f>Table1[[#This Row],[Abbreviations]]</f>
        <v>Barnsbury Park</v>
      </c>
      <c r="F304" t="s">
        <v>1353</v>
      </c>
      <c r="G304" t="str">
        <f xml:space="preserve"> PROPER(_xlfn.CONCAT(Table13[[#This Row],[Title]]," ",Table13[[#This Row],[First Name]]," ",Table13[[#This Row],[Last Name]]))</f>
        <v>Mrs Amada Chavez</v>
      </c>
      <c r="H304" t="str">
        <f t="shared" si="8"/>
        <v>Mrs A.Chavez</v>
      </c>
      <c r="I304" t="str">
        <f t="shared" si="9"/>
        <v>F</v>
      </c>
    </row>
    <row r="305" spans="1:9" x14ac:dyDescent="0.3">
      <c r="A305">
        <v>302</v>
      </c>
      <c r="B305" t="s">
        <v>520</v>
      </c>
      <c r="C305" t="s">
        <v>356</v>
      </c>
      <c r="D305" t="s">
        <v>18</v>
      </c>
      <c r="E305" t="str">
        <f>Table1[[#This Row],[Abbreviations]]</f>
        <v>Derwent Grove</v>
      </c>
      <c r="F305" t="s">
        <v>1095</v>
      </c>
      <c r="G305" t="str">
        <f xml:space="preserve"> PROPER(_xlfn.CONCAT(Table13[[#This Row],[Title]]," ",Table13[[#This Row],[First Name]]," ",Table13[[#This Row],[Last Name]]))</f>
        <v>Miss Michaele Hobson</v>
      </c>
      <c r="H305" t="str">
        <f t="shared" si="8"/>
        <v>Miss M.Hobson</v>
      </c>
      <c r="I305" t="str">
        <f t="shared" si="9"/>
        <v>F</v>
      </c>
    </row>
    <row r="306" spans="1:9" x14ac:dyDescent="0.3">
      <c r="A306">
        <v>303</v>
      </c>
      <c r="B306" t="s">
        <v>582</v>
      </c>
      <c r="C306" t="s">
        <v>1355</v>
      </c>
      <c r="D306" t="s">
        <v>7</v>
      </c>
      <c r="E306" t="str">
        <f>Table1[[#This Row],[Abbreviations]]</f>
        <v>Whitehead Close</v>
      </c>
      <c r="F306" t="s">
        <v>1357</v>
      </c>
      <c r="G306" t="str">
        <f xml:space="preserve"> PROPER(_xlfn.CONCAT(Table13[[#This Row],[Title]]," ",Table13[[#This Row],[First Name]]," ",Table13[[#This Row],[Last Name]]))</f>
        <v>Mrs Terica Willard</v>
      </c>
      <c r="H306" t="str">
        <f t="shared" si="8"/>
        <v>Mrs T.Willard</v>
      </c>
      <c r="I306" t="str">
        <f t="shared" si="9"/>
        <v>F</v>
      </c>
    </row>
    <row r="307" spans="1:9" x14ac:dyDescent="0.3">
      <c r="A307">
        <v>304</v>
      </c>
      <c r="B307" t="s">
        <v>393</v>
      </c>
      <c r="C307" t="s">
        <v>1358</v>
      </c>
      <c r="D307" t="s">
        <v>7</v>
      </c>
      <c r="E307" t="str">
        <f>Table1[[#This Row],[Abbreviations]]</f>
        <v>Palfrey Place</v>
      </c>
      <c r="F307" t="s">
        <v>350</v>
      </c>
      <c r="G307" t="str">
        <f xml:space="preserve"> PROPER(_xlfn.CONCAT(Table13[[#This Row],[Title]]," ",Table13[[#This Row],[First Name]]," ",Table13[[#This Row],[Last Name]]))</f>
        <v>Mrs Donnetta Vigil</v>
      </c>
      <c r="H307" t="str">
        <f t="shared" si="8"/>
        <v>Mrs D.Vigil</v>
      </c>
      <c r="I307" t="str">
        <f t="shared" si="9"/>
        <v>F</v>
      </c>
    </row>
    <row r="308" spans="1:9" x14ac:dyDescent="0.3">
      <c r="A308">
        <v>305</v>
      </c>
      <c r="B308" t="s">
        <v>290</v>
      </c>
      <c r="C308" t="s">
        <v>1263</v>
      </c>
      <c r="D308" t="s">
        <v>7</v>
      </c>
      <c r="E308" t="str">
        <f>Table1[[#This Row],[Abbreviations]]</f>
        <v>Homewillow Close</v>
      </c>
      <c r="F308" t="s">
        <v>553</v>
      </c>
      <c r="G308" t="str">
        <f xml:space="preserve"> PROPER(_xlfn.CONCAT(Table13[[#This Row],[Title]]," ",Table13[[#This Row],[First Name]]," ",Table13[[#This Row],[Last Name]]))</f>
        <v>Mrs Artie Vang</v>
      </c>
      <c r="H308" t="str">
        <f t="shared" si="8"/>
        <v>Mrs A.Vang</v>
      </c>
      <c r="I308" t="str">
        <f t="shared" si="9"/>
        <v>F</v>
      </c>
    </row>
    <row r="309" spans="1:9" x14ac:dyDescent="0.3">
      <c r="A309">
        <v>306</v>
      </c>
      <c r="B309" t="s">
        <v>1361</v>
      </c>
      <c r="C309" t="s">
        <v>638</v>
      </c>
      <c r="D309" t="s">
        <v>7</v>
      </c>
      <c r="E309" t="str">
        <f>Table1[[#This Row],[Abbreviations]]</f>
        <v>Perceval Avenue</v>
      </c>
      <c r="F309" t="s">
        <v>416</v>
      </c>
      <c r="G309" t="str">
        <f xml:space="preserve"> PROPER(_xlfn.CONCAT(Table13[[#This Row],[Title]]," ",Table13[[#This Row],[First Name]]," ",Table13[[#This Row],[Last Name]]))</f>
        <v>Mrs Lorrie Wu</v>
      </c>
      <c r="H309" t="str">
        <f t="shared" si="8"/>
        <v>Mrs L.Wu</v>
      </c>
      <c r="I309" t="str">
        <f t="shared" si="9"/>
        <v>F</v>
      </c>
    </row>
    <row r="310" spans="1:9" x14ac:dyDescent="0.3">
      <c r="A310">
        <v>307</v>
      </c>
      <c r="B310" t="s">
        <v>1363</v>
      </c>
      <c r="C310" t="s">
        <v>1364</v>
      </c>
      <c r="D310" t="s">
        <v>18</v>
      </c>
      <c r="E310" t="str">
        <f>Table1[[#This Row],[Abbreviations]]</f>
        <v>Ashley Place</v>
      </c>
      <c r="F310" t="s">
        <v>1366</v>
      </c>
      <c r="G310" t="str">
        <f xml:space="preserve"> PROPER(_xlfn.CONCAT(Table13[[#This Row],[Title]]," ",Table13[[#This Row],[First Name]]," ",Table13[[#This Row],[Last Name]]))</f>
        <v>Miss Missy Cramer</v>
      </c>
      <c r="H310" t="str">
        <f t="shared" si="8"/>
        <v>Miss M.Cramer</v>
      </c>
      <c r="I310" t="str">
        <f t="shared" si="9"/>
        <v>F</v>
      </c>
    </row>
    <row r="311" spans="1:9" x14ac:dyDescent="0.3">
      <c r="A311">
        <v>308</v>
      </c>
      <c r="B311" t="s">
        <v>1284</v>
      </c>
      <c r="C311" t="s">
        <v>1367</v>
      </c>
      <c r="D311" t="s">
        <v>7</v>
      </c>
      <c r="E311" t="str">
        <f>Table1[[#This Row],[Abbreviations]]</f>
        <v>Deane Street</v>
      </c>
      <c r="F311" t="s">
        <v>1369</v>
      </c>
      <c r="G311" t="str">
        <f xml:space="preserve"> PROPER(_xlfn.CONCAT(Table13[[#This Row],[Title]]," ",Table13[[#This Row],[First Name]]," ",Table13[[#This Row],[Last Name]]))</f>
        <v>Mrs Candyce Downey</v>
      </c>
      <c r="H311" t="str">
        <f t="shared" si="8"/>
        <v>Mrs C.Downey</v>
      </c>
      <c r="I311" t="str">
        <f t="shared" si="9"/>
        <v>F</v>
      </c>
    </row>
    <row r="312" spans="1:9" x14ac:dyDescent="0.3">
      <c r="A312">
        <v>309</v>
      </c>
      <c r="B312" t="s">
        <v>1370</v>
      </c>
      <c r="C312" t="s">
        <v>1371</v>
      </c>
      <c r="D312" t="s">
        <v>7</v>
      </c>
      <c r="E312" t="str">
        <f>Table1[[#This Row],[Abbreviations]]</f>
        <v>Holmleigh</v>
      </c>
      <c r="F312" t="s">
        <v>1373</v>
      </c>
      <c r="G312" t="str">
        <f xml:space="preserve"> PROPER(_xlfn.CONCAT(Table13[[#This Row],[Title]]," ",Table13[[#This Row],[First Name]]," ",Table13[[#This Row],[Last Name]]))</f>
        <v>Mrs Denae Toney</v>
      </c>
      <c r="H312" t="str">
        <f t="shared" si="8"/>
        <v>Mrs D.Toney</v>
      </c>
      <c r="I312" t="str">
        <f t="shared" si="9"/>
        <v>F</v>
      </c>
    </row>
    <row r="313" spans="1:9" x14ac:dyDescent="0.3">
      <c r="A313">
        <v>310</v>
      </c>
      <c r="B313" t="s">
        <v>1374</v>
      </c>
      <c r="C313" t="s">
        <v>646</v>
      </c>
      <c r="D313" t="s">
        <v>18</v>
      </c>
      <c r="E313" t="str">
        <f>Table1[[#This Row],[Abbreviations]]</f>
        <v>Thistlebrook</v>
      </c>
      <c r="F313" t="s">
        <v>1376</v>
      </c>
      <c r="G313" t="str">
        <f xml:space="preserve"> PROPER(_xlfn.CONCAT(Table13[[#This Row],[Title]]," ",Table13[[#This Row],[First Name]]," ",Table13[[#This Row],[Last Name]]))</f>
        <v>Miss Yasuko Knapp</v>
      </c>
      <c r="H313" t="str">
        <f t="shared" si="8"/>
        <v>Miss Y.Knapp</v>
      </c>
      <c r="I313" t="str">
        <f t="shared" si="9"/>
        <v>F</v>
      </c>
    </row>
    <row r="314" spans="1:9" x14ac:dyDescent="0.3">
      <c r="A314">
        <v>311</v>
      </c>
      <c r="B314" t="s">
        <v>1377</v>
      </c>
      <c r="C314" t="s">
        <v>1378</v>
      </c>
      <c r="D314" t="s">
        <v>7</v>
      </c>
      <c r="E314" t="str">
        <f>Table1[[#This Row],[Abbreviations]]</f>
        <v>Collingwood Avenue</v>
      </c>
      <c r="F314" t="s">
        <v>438</v>
      </c>
      <c r="G314" t="str">
        <f xml:space="preserve"> PROPER(_xlfn.CONCAT(Table13[[#This Row],[Title]]," ",Table13[[#This Row],[First Name]]," ",Table13[[#This Row],[Last Name]]))</f>
        <v>Mrs Samantha Horner</v>
      </c>
      <c r="H314" t="str">
        <f t="shared" si="8"/>
        <v>Mrs S.Horner</v>
      </c>
      <c r="I314" t="str">
        <f t="shared" si="9"/>
        <v>F</v>
      </c>
    </row>
    <row r="315" spans="1:9" x14ac:dyDescent="0.3">
      <c r="A315">
        <v>312</v>
      </c>
      <c r="B315" t="s">
        <v>464</v>
      </c>
      <c r="C315" t="s">
        <v>1380</v>
      </c>
      <c r="D315" t="s">
        <v>18</v>
      </c>
      <c r="E315" t="str">
        <f>Table1[[#This Row],[Abbreviations]]</f>
        <v>Crescent Terrace</v>
      </c>
      <c r="F315" t="s">
        <v>1382</v>
      </c>
      <c r="G315" t="str">
        <f xml:space="preserve"> PROPER(_xlfn.CONCAT(Table13[[#This Row],[Title]]," ",Table13[[#This Row],[First Name]]," ",Table13[[#This Row],[Last Name]]))</f>
        <v>Miss Earleen Wall</v>
      </c>
      <c r="H315" t="str">
        <f t="shared" si="8"/>
        <v>Miss E.Wall</v>
      </c>
      <c r="I315" t="str">
        <f t="shared" si="9"/>
        <v>F</v>
      </c>
    </row>
    <row r="316" spans="1:9" x14ac:dyDescent="0.3">
      <c r="A316">
        <v>313</v>
      </c>
      <c r="B316" t="s">
        <v>1383</v>
      </c>
      <c r="C316" t="s">
        <v>370</v>
      </c>
      <c r="D316" t="s">
        <v>18</v>
      </c>
      <c r="E316" t="str">
        <f>Table1[[#This Row],[Abbreviations]]</f>
        <v>Campus Road</v>
      </c>
      <c r="F316" t="s">
        <v>1385</v>
      </c>
      <c r="G316" t="str">
        <f xml:space="preserve"> PROPER(_xlfn.CONCAT(Table13[[#This Row],[Title]]," ",Table13[[#This Row],[First Name]]," ",Table13[[#This Row],[Last Name]]))</f>
        <v>Miss Mellisa Mcmullen</v>
      </c>
      <c r="H316" t="str">
        <f t="shared" si="8"/>
        <v>Miss M.Mcmullen</v>
      </c>
      <c r="I316" t="str">
        <f t="shared" si="9"/>
        <v>F</v>
      </c>
    </row>
    <row r="317" spans="1:9" x14ac:dyDescent="0.3">
      <c r="A317">
        <v>314</v>
      </c>
      <c r="B317" t="s">
        <v>306</v>
      </c>
      <c r="C317" t="s">
        <v>450</v>
      </c>
      <c r="D317" t="s">
        <v>7</v>
      </c>
      <c r="E317" t="str">
        <f>Table1[[#This Row],[Abbreviations]]</f>
        <v>Upton Place</v>
      </c>
      <c r="F317" t="s">
        <v>1387</v>
      </c>
      <c r="G317" t="str">
        <f xml:space="preserve"> PROPER(_xlfn.CONCAT(Table13[[#This Row],[Title]]," ",Table13[[#This Row],[First Name]]," ",Table13[[#This Row],[Last Name]]))</f>
        <v>Mrs Penni Waldron</v>
      </c>
      <c r="H317" t="str">
        <f t="shared" si="8"/>
        <v>Mrs P.Waldron</v>
      </c>
      <c r="I317" t="str">
        <f t="shared" si="9"/>
        <v>F</v>
      </c>
    </row>
    <row r="318" spans="1:9" x14ac:dyDescent="0.3">
      <c r="A318">
        <v>315</v>
      </c>
      <c r="B318" t="s">
        <v>1388</v>
      </c>
      <c r="C318" t="s">
        <v>1389</v>
      </c>
      <c r="D318" t="s">
        <v>18</v>
      </c>
      <c r="E318" t="str">
        <f>Table1[[#This Row],[Abbreviations]]</f>
        <v>Hesewall Close</v>
      </c>
      <c r="F318" t="s">
        <v>1390</v>
      </c>
      <c r="G318" t="str">
        <f xml:space="preserve"> PROPER(_xlfn.CONCAT(Table13[[#This Row],[Title]]," ",Table13[[#This Row],[First Name]]," ",Table13[[#This Row],[Last Name]]))</f>
        <v>Miss Rona Helton</v>
      </c>
      <c r="H318" t="str">
        <f t="shared" si="8"/>
        <v>Miss R.Helton</v>
      </c>
      <c r="I318" t="str">
        <f t="shared" si="9"/>
        <v>F</v>
      </c>
    </row>
    <row r="319" spans="1:9" x14ac:dyDescent="0.3">
      <c r="A319">
        <v>316</v>
      </c>
      <c r="B319" t="s">
        <v>1391</v>
      </c>
      <c r="C319" t="s">
        <v>580</v>
      </c>
      <c r="D319" t="s">
        <v>7</v>
      </c>
      <c r="E319" t="str">
        <f>Table1[[#This Row],[Abbreviations]]</f>
        <v>Knotsford Street</v>
      </c>
      <c r="F319" t="s">
        <v>1393</v>
      </c>
      <c r="G319" t="str">
        <f xml:space="preserve"> PROPER(_xlfn.CONCAT(Table13[[#This Row],[Title]]," ",Table13[[#This Row],[First Name]]," ",Table13[[#This Row],[Last Name]]))</f>
        <v>Mrs Charity Drummond</v>
      </c>
      <c r="H319" t="str">
        <f t="shared" si="8"/>
        <v>Mrs C.Drummond</v>
      </c>
      <c r="I319" t="str">
        <f t="shared" si="9"/>
        <v>F</v>
      </c>
    </row>
    <row r="320" spans="1:9" x14ac:dyDescent="0.3">
      <c r="A320">
        <v>317</v>
      </c>
      <c r="B320" t="s">
        <v>667</v>
      </c>
      <c r="C320" t="s">
        <v>1394</v>
      </c>
      <c r="D320" t="s">
        <v>7</v>
      </c>
      <c r="E320" t="str">
        <f>Table1[[#This Row],[Abbreviations]]</f>
        <v>Priestfield Road</v>
      </c>
      <c r="F320" t="s">
        <v>1396</v>
      </c>
      <c r="G320" t="str">
        <f xml:space="preserve"> PROPER(_xlfn.CONCAT(Table13[[#This Row],[Title]]," ",Table13[[#This Row],[First Name]]," ",Table13[[#This Row],[Last Name]]))</f>
        <v>Mrs Kristle Haywood</v>
      </c>
      <c r="H320" t="str">
        <f t="shared" si="8"/>
        <v>Mrs K.Haywood</v>
      </c>
      <c r="I320" t="str">
        <f t="shared" si="9"/>
        <v>F</v>
      </c>
    </row>
    <row r="321" spans="1:9" x14ac:dyDescent="0.3">
      <c r="A321">
        <v>318</v>
      </c>
      <c r="B321" t="s">
        <v>1397</v>
      </c>
      <c r="C321" t="s">
        <v>1398</v>
      </c>
      <c r="D321" t="s">
        <v>18</v>
      </c>
      <c r="E321" t="str">
        <f>Table1[[#This Row],[Abbreviations]]</f>
        <v>Templewood Avenue</v>
      </c>
      <c r="F321" t="s">
        <v>1400</v>
      </c>
      <c r="G321" t="str">
        <f xml:space="preserve"> PROPER(_xlfn.CONCAT(Table13[[#This Row],[Title]]," ",Table13[[#This Row],[First Name]]," ",Table13[[#This Row],[Last Name]]))</f>
        <v>Miss Hermine Mercado</v>
      </c>
      <c r="H321" t="str">
        <f t="shared" si="8"/>
        <v>Miss H.Mercado</v>
      </c>
      <c r="I321" t="str">
        <f t="shared" si="9"/>
        <v>F</v>
      </c>
    </row>
    <row r="322" spans="1:9" x14ac:dyDescent="0.3">
      <c r="A322">
        <v>319</v>
      </c>
      <c r="B322" t="s">
        <v>1401</v>
      </c>
      <c r="C322" t="s">
        <v>1402</v>
      </c>
      <c r="D322" t="s">
        <v>7</v>
      </c>
      <c r="E322" t="str">
        <f>Table1[[#This Row],[Abbreviations]]</f>
        <v>Lambeth Terrace</v>
      </c>
      <c r="F322" t="s">
        <v>1404</v>
      </c>
      <c r="G322" t="str">
        <f xml:space="preserve"> PROPER(_xlfn.CONCAT(Table13[[#This Row],[Title]]," ",Table13[[#This Row],[First Name]]," ",Table13[[#This Row],[Last Name]]))</f>
        <v>Mrs Qiana Daley</v>
      </c>
      <c r="H322" t="str">
        <f t="shared" si="8"/>
        <v>Mrs Q.Daley</v>
      </c>
      <c r="I322" t="str">
        <f t="shared" si="9"/>
        <v>F</v>
      </c>
    </row>
    <row r="323" spans="1:9" x14ac:dyDescent="0.3">
      <c r="A323">
        <v>320</v>
      </c>
      <c r="B323" t="s">
        <v>1405</v>
      </c>
      <c r="C323" t="s">
        <v>1406</v>
      </c>
      <c r="D323" t="s">
        <v>18</v>
      </c>
      <c r="E323" t="str">
        <f>Table1[[#This Row],[Abbreviations]]</f>
        <v>Palyns Almshouse</v>
      </c>
      <c r="F323" t="s">
        <v>1408</v>
      </c>
      <c r="G323" t="str">
        <f xml:space="preserve"> PROPER(_xlfn.CONCAT(Table13[[#This Row],[Title]]," ",Table13[[#This Row],[First Name]]," ",Table13[[#This Row],[Last Name]]))</f>
        <v>Miss Janene Elliott</v>
      </c>
      <c r="H323" t="str">
        <f t="shared" si="8"/>
        <v>Miss J.Elliott</v>
      </c>
      <c r="I323" t="str">
        <f t="shared" si="9"/>
        <v>F</v>
      </c>
    </row>
    <row r="324" spans="1:9" x14ac:dyDescent="0.3">
      <c r="A324">
        <v>321</v>
      </c>
      <c r="B324" t="s">
        <v>1409</v>
      </c>
      <c r="C324" t="s">
        <v>1410</v>
      </c>
      <c r="D324" t="s">
        <v>18</v>
      </c>
      <c r="E324" t="str">
        <f>Table1[[#This Row],[Abbreviations]]</f>
        <v>Victor Villas</v>
      </c>
      <c r="F324" t="s">
        <v>467</v>
      </c>
      <c r="G324" t="str">
        <f xml:space="preserve"> PROPER(_xlfn.CONCAT(Table13[[#This Row],[Title]]," ",Table13[[#This Row],[First Name]]," ",Table13[[#This Row],[Last Name]]))</f>
        <v>Miss Danyel Goode</v>
      </c>
      <c r="H324" t="str">
        <f t="shared" ref="H324:H387" si="10">_xlfn.CONCAT(D324)&amp;" "&amp; LEFT(B324,1)&amp;"."&amp;C324</f>
        <v>Miss D.Goode</v>
      </c>
      <c r="I324" t="str">
        <f t="shared" ref="I324:I387" si="11">IF(LEFT(D324,3)="Mr","M","F")</f>
        <v>F</v>
      </c>
    </row>
    <row r="325" spans="1:9" x14ac:dyDescent="0.3">
      <c r="A325">
        <v>322</v>
      </c>
      <c r="B325" t="s">
        <v>1412</v>
      </c>
      <c r="C325" t="s">
        <v>1413</v>
      </c>
      <c r="D325" t="s">
        <v>71</v>
      </c>
      <c r="E325" t="str">
        <f>Table1[[#This Row],[Abbreviations]]</f>
        <v>Dafforne Road</v>
      </c>
      <c r="F325" t="s">
        <v>1415</v>
      </c>
      <c r="G325" t="str">
        <f xml:space="preserve"> PROPER(_xlfn.CONCAT(Table13[[#This Row],[Title]]," ",Table13[[#This Row],[First Name]]," ",Table13[[#This Row],[Last Name]]))</f>
        <v>Ms Daniel Milton</v>
      </c>
      <c r="H325" t="str">
        <f t="shared" si="10"/>
        <v>Ms D.Milton</v>
      </c>
      <c r="I325" t="str">
        <f t="shared" si="11"/>
        <v>F</v>
      </c>
    </row>
    <row r="326" spans="1:9" x14ac:dyDescent="0.3">
      <c r="A326">
        <v>323</v>
      </c>
      <c r="B326" t="s">
        <v>1416</v>
      </c>
      <c r="C326" t="s">
        <v>1417</v>
      </c>
      <c r="D326" t="s">
        <v>71</v>
      </c>
      <c r="E326" t="str">
        <f>Table1[[#This Row],[Abbreviations]]</f>
        <v>Liffler Road</v>
      </c>
      <c r="F326" t="s">
        <v>27</v>
      </c>
      <c r="G326" t="str">
        <f xml:space="preserve"> PROPER(_xlfn.CONCAT(Table13[[#This Row],[Title]]," ",Table13[[#This Row],[First Name]]," ",Table13[[#This Row],[Last Name]]))</f>
        <v>Ms Kassie Kilgore</v>
      </c>
      <c r="H326" t="str">
        <f t="shared" si="10"/>
        <v>Ms K.Kilgore</v>
      </c>
      <c r="I326" t="str">
        <f t="shared" si="11"/>
        <v>F</v>
      </c>
    </row>
    <row r="327" spans="1:9" x14ac:dyDescent="0.3">
      <c r="A327">
        <v>324</v>
      </c>
      <c r="B327" t="s">
        <v>1419</v>
      </c>
      <c r="C327" t="s">
        <v>1420</v>
      </c>
      <c r="D327" t="s">
        <v>18</v>
      </c>
      <c r="E327" t="str">
        <f>Table1[[#This Row],[Abbreviations]]</f>
        <v>Little Lant</v>
      </c>
      <c r="F327" t="s">
        <v>1422</v>
      </c>
      <c r="G327" t="str">
        <f xml:space="preserve"> PROPER(_xlfn.CONCAT(Table13[[#This Row],[Title]]," ",Table13[[#This Row],[First Name]]," ",Table13[[#This Row],[Last Name]]))</f>
        <v>Miss Carlyn Dejesus</v>
      </c>
      <c r="H327" t="str">
        <f t="shared" si="10"/>
        <v>Miss C.Dejesus</v>
      </c>
      <c r="I327" t="str">
        <f t="shared" si="11"/>
        <v>F</v>
      </c>
    </row>
    <row r="328" spans="1:9" x14ac:dyDescent="0.3">
      <c r="A328">
        <v>325</v>
      </c>
      <c r="B328" t="s">
        <v>1423</v>
      </c>
      <c r="C328" t="s">
        <v>1424</v>
      </c>
      <c r="D328" t="s">
        <v>71</v>
      </c>
      <c r="E328" t="str">
        <f>Table1[[#This Row],[Abbreviations]]</f>
        <v>Melrose Close</v>
      </c>
      <c r="F328" t="s">
        <v>1426</v>
      </c>
      <c r="G328" t="str">
        <f xml:space="preserve"> PROPER(_xlfn.CONCAT(Table13[[#This Row],[Title]]," ",Table13[[#This Row],[First Name]]," ",Table13[[#This Row],[Last Name]]))</f>
        <v>Ms Claire Gee</v>
      </c>
      <c r="H328" t="str">
        <f t="shared" si="10"/>
        <v>Ms C.Gee</v>
      </c>
      <c r="I328" t="str">
        <f t="shared" si="11"/>
        <v>F</v>
      </c>
    </row>
    <row r="329" spans="1:9" x14ac:dyDescent="0.3">
      <c r="A329">
        <v>326</v>
      </c>
      <c r="B329" t="s">
        <v>1427</v>
      </c>
      <c r="C329" t="s">
        <v>1428</v>
      </c>
      <c r="D329" t="s">
        <v>7</v>
      </c>
      <c r="E329" t="str">
        <f>Table1[[#This Row],[Abbreviations]]</f>
        <v>Langton Villas</v>
      </c>
      <c r="F329" t="s">
        <v>1429</v>
      </c>
      <c r="G329" t="str">
        <f xml:space="preserve"> PROPER(_xlfn.CONCAT(Table13[[#This Row],[Title]]," ",Table13[[#This Row],[First Name]]," ",Table13[[#This Row],[Last Name]]))</f>
        <v>Mrs Bonny Guy</v>
      </c>
      <c r="H329" t="str">
        <f t="shared" si="10"/>
        <v>Mrs B.Guy</v>
      </c>
      <c r="I329" t="str">
        <f t="shared" si="11"/>
        <v>F</v>
      </c>
    </row>
    <row r="330" spans="1:9" x14ac:dyDescent="0.3">
      <c r="A330">
        <v>327</v>
      </c>
      <c r="B330" t="s">
        <v>1430</v>
      </c>
      <c r="C330" t="s">
        <v>1431</v>
      </c>
      <c r="D330" t="s">
        <v>7</v>
      </c>
      <c r="E330" t="str">
        <f>Table1[[#This Row],[Abbreviations]]</f>
        <v>Hitherfield Road</v>
      </c>
      <c r="F330" t="s">
        <v>1433</v>
      </c>
      <c r="G330" t="str">
        <f xml:space="preserve"> PROPER(_xlfn.CONCAT(Table13[[#This Row],[Title]]," ",Table13[[#This Row],[First Name]]," ",Table13[[#This Row],[Last Name]]))</f>
        <v>Mrs Lakisha Dawkins</v>
      </c>
      <c r="H330" t="str">
        <f t="shared" si="10"/>
        <v>Mrs L.Dawkins</v>
      </c>
      <c r="I330" t="str">
        <f t="shared" si="11"/>
        <v>F</v>
      </c>
    </row>
    <row r="331" spans="1:9" x14ac:dyDescent="0.3">
      <c r="A331">
        <v>328</v>
      </c>
      <c r="B331" t="s">
        <v>1434</v>
      </c>
      <c r="C331" t="s">
        <v>1435</v>
      </c>
      <c r="D331" t="s">
        <v>71</v>
      </c>
      <c r="E331" t="str">
        <f>Table1[[#This Row],[Abbreviations]]</f>
        <v>Monkwell Street</v>
      </c>
      <c r="F331" t="s">
        <v>1437</v>
      </c>
      <c r="G331" t="str">
        <f xml:space="preserve"> PROPER(_xlfn.CONCAT(Table13[[#This Row],[Title]]," ",Table13[[#This Row],[First Name]]," ",Table13[[#This Row],[Last Name]]))</f>
        <v>Ms Mariann Benitez</v>
      </c>
      <c r="H331" t="str">
        <f t="shared" si="10"/>
        <v>Ms M.Benitez</v>
      </c>
      <c r="I331" t="str">
        <f t="shared" si="11"/>
        <v>F</v>
      </c>
    </row>
    <row r="332" spans="1:9" x14ac:dyDescent="0.3">
      <c r="A332">
        <v>329</v>
      </c>
      <c r="B332" t="s">
        <v>672</v>
      </c>
      <c r="C332" t="s">
        <v>1438</v>
      </c>
      <c r="D332" t="s">
        <v>18</v>
      </c>
      <c r="E332" t="str">
        <f>Table1[[#This Row],[Abbreviations]]</f>
        <v>Chalfont Way</v>
      </c>
      <c r="F332" t="s">
        <v>1440</v>
      </c>
      <c r="G332" t="str">
        <f xml:space="preserve"> PROPER(_xlfn.CONCAT(Table13[[#This Row],[Title]]," ",Table13[[#This Row],[First Name]]," ",Table13[[#This Row],[Last Name]]))</f>
        <v>Miss Mandie Abernathy</v>
      </c>
      <c r="H332" t="str">
        <f t="shared" si="10"/>
        <v>Miss M.Abernathy</v>
      </c>
      <c r="I332" t="str">
        <f t="shared" si="11"/>
        <v>F</v>
      </c>
    </row>
    <row r="333" spans="1:9" x14ac:dyDescent="0.3">
      <c r="A333">
        <v>330</v>
      </c>
      <c r="B333" t="s">
        <v>1441</v>
      </c>
      <c r="C333" t="s">
        <v>714</v>
      </c>
      <c r="D333" t="s">
        <v>18</v>
      </c>
      <c r="E333" t="str">
        <f>Table1[[#This Row],[Abbreviations]]</f>
        <v>Merthyr Terrace</v>
      </c>
      <c r="F333" t="s">
        <v>1443</v>
      </c>
      <c r="G333" t="str">
        <f xml:space="preserve"> PROPER(_xlfn.CONCAT(Table13[[#This Row],[Title]]," ",Table13[[#This Row],[First Name]]," ",Table13[[#This Row],[Last Name]]))</f>
        <v>Miss Catharine Stiles</v>
      </c>
      <c r="H333" t="str">
        <f t="shared" si="10"/>
        <v>Miss C.Stiles</v>
      </c>
      <c r="I333" t="str">
        <f t="shared" si="11"/>
        <v>F</v>
      </c>
    </row>
    <row r="334" spans="1:9" x14ac:dyDescent="0.3">
      <c r="A334">
        <v>331</v>
      </c>
      <c r="B334" t="s">
        <v>1444</v>
      </c>
      <c r="C334" t="s">
        <v>1445</v>
      </c>
      <c r="D334" t="s">
        <v>18</v>
      </c>
      <c r="E334" t="str">
        <f>Table1[[#This Row],[Abbreviations]]</f>
        <v>Lansdown Villas</v>
      </c>
      <c r="F334" t="s">
        <v>1447</v>
      </c>
      <c r="G334" t="str">
        <f xml:space="preserve"> PROPER(_xlfn.CONCAT(Table13[[#This Row],[Title]]," ",Table13[[#This Row],[First Name]]," ",Table13[[#This Row],[Last Name]]))</f>
        <v>Miss Sarah Holland</v>
      </c>
      <c r="H334" t="str">
        <f t="shared" si="10"/>
        <v>Miss S.Holland</v>
      </c>
      <c r="I334" t="str">
        <f t="shared" si="11"/>
        <v>F</v>
      </c>
    </row>
    <row r="335" spans="1:9" x14ac:dyDescent="0.3">
      <c r="A335">
        <v>332</v>
      </c>
      <c r="B335" t="s">
        <v>1448</v>
      </c>
      <c r="C335" t="s">
        <v>1449</v>
      </c>
      <c r="D335" t="s">
        <v>18</v>
      </c>
      <c r="E335" t="str">
        <f>Table1[[#This Row],[Abbreviations]]</f>
        <v>Medway Road</v>
      </c>
      <c r="F335" t="s">
        <v>381</v>
      </c>
      <c r="G335" t="str">
        <f xml:space="preserve"> PROPER(_xlfn.CONCAT(Table13[[#This Row],[Title]]," ",Table13[[#This Row],[First Name]]," ",Table13[[#This Row],[Last Name]]))</f>
        <v>Miss Giuseppina Hensley</v>
      </c>
      <c r="H335" t="str">
        <f t="shared" si="10"/>
        <v>Miss G.Hensley</v>
      </c>
      <c r="I335" t="str">
        <f t="shared" si="11"/>
        <v>F</v>
      </c>
    </row>
    <row r="336" spans="1:9" x14ac:dyDescent="0.3">
      <c r="A336">
        <v>333</v>
      </c>
      <c r="B336" t="s">
        <v>1451</v>
      </c>
      <c r="C336" t="s">
        <v>1452</v>
      </c>
      <c r="D336" t="s">
        <v>55</v>
      </c>
      <c r="E336" t="str">
        <f>Table1[[#This Row],[Abbreviations]]</f>
        <v>Briston Mews</v>
      </c>
      <c r="F336" t="s">
        <v>1454</v>
      </c>
      <c r="G336" t="str">
        <f xml:space="preserve"> PROPER(_xlfn.CONCAT(Table13[[#This Row],[Title]]," ",Table13[[#This Row],[First Name]]," ",Table13[[#This Row],[Last Name]]))</f>
        <v>Prof Melodie Addison</v>
      </c>
      <c r="H336" t="str">
        <f t="shared" si="10"/>
        <v>Prof M.Addison</v>
      </c>
      <c r="I336" t="str">
        <f t="shared" si="11"/>
        <v>F</v>
      </c>
    </row>
    <row r="337" spans="1:9" x14ac:dyDescent="0.3">
      <c r="A337">
        <v>334</v>
      </c>
      <c r="B337" t="s">
        <v>1455</v>
      </c>
      <c r="C337" t="s">
        <v>486</v>
      </c>
      <c r="D337" t="s">
        <v>18</v>
      </c>
      <c r="E337" t="str">
        <f>Table1[[#This Row],[Abbreviations]]</f>
        <v>Goldfinch Road</v>
      </c>
      <c r="F337" t="s">
        <v>508</v>
      </c>
      <c r="G337" t="str">
        <f xml:space="preserve"> PROPER(_xlfn.CONCAT(Table13[[#This Row],[Title]]," ",Table13[[#This Row],[First Name]]," ",Table13[[#This Row],[Last Name]]))</f>
        <v>Miss Mindy Smiley</v>
      </c>
      <c r="H337" t="str">
        <f t="shared" si="10"/>
        <v>Miss M.Smiley</v>
      </c>
      <c r="I337" t="str">
        <f t="shared" si="11"/>
        <v>F</v>
      </c>
    </row>
    <row r="338" spans="1:9" x14ac:dyDescent="0.3">
      <c r="A338">
        <v>335</v>
      </c>
      <c r="B338" t="s">
        <v>1457</v>
      </c>
      <c r="C338" t="s">
        <v>1458</v>
      </c>
      <c r="D338" t="s">
        <v>7</v>
      </c>
      <c r="E338" t="str">
        <f>Table1[[#This Row],[Abbreviations]]</f>
        <v>Stofield Gardens</v>
      </c>
      <c r="F338" t="s">
        <v>1460</v>
      </c>
      <c r="G338" t="str">
        <f xml:space="preserve"> PROPER(_xlfn.CONCAT(Table13[[#This Row],[Title]]," ",Table13[[#This Row],[First Name]]," ",Table13[[#This Row],[Last Name]]))</f>
        <v>Mrs Heidy Hatch</v>
      </c>
      <c r="H338" t="str">
        <f t="shared" si="10"/>
        <v>Mrs H.Hatch</v>
      </c>
      <c r="I338" t="str">
        <f t="shared" si="11"/>
        <v>F</v>
      </c>
    </row>
    <row r="339" spans="1:9" x14ac:dyDescent="0.3">
      <c r="A339">
        <v>336</v>
      </c>
      <c r="B339" t="s">
        <v>1461</v>
      </c>
      <c r="C339" t="s">
        <v>1050</v>
      </c>
      <c r="D339" t="s">
        <v>71</v>
      </c>
      <c r="E339" t="str">
        <f>Table1[[#This Row],[Abbreviations]]</f>
        <v>Twelvetrees Crescent</v>
      </c>
      <c r="F339" t="s">
        <v>222</v>
      </c>
      <c r="G339" t="str">
        <f xml:space="preserve"> PROPER(_xlfn.CONCAT(Table13[[#This Row],[Title]]," ",Table13[[#This Row],[First Name]]," ",Table13[[#This Row],[Last Name]]))</f>
        <v>Ms Vita Mcclellan</v>
      </c>
      <c r="H339" t="str">
        <f t="shared" si="10"/>
        <v>Ms V.Mcclellan</v>
      </c>
      <c r="I339" t="str">
        <f t="shared" si="11"/>
        <v>F</v>
      </c>
    </row>
    <row r="340" spans="1:9" x14ac:dyDescent="0.3">
      <c r="A340">
        <v>337</v>
      </c>
      <c r="B340" t="s">
        <v>557</v>
      </c>
      <c r="C340" t="s">
        <v>1463</v>
      </c>
      <c r="D340" t="s">
        <v>18</v>
      </c>
      <c r="E340" t="str">
        <f>Table1[[#This Row],[Abbreviations]]</f>
        <v>Lanrick Road</v>
      </c>
      <c r="F340" t="s">
        <v>1465</v>
      </c>
      <c r="G340" t="str">
        <f xml:space="preserve"> PROPER(_xlfn.CONCAT(Table13[[#This Row],[Title]]," ",Table13[[#This Row],[First Name]]," ",Table13[[#This Row],[Last Name]]))</f>
        <v>Miss Nyla Keith</v>
      </c>
      <c r="H340" t="str">
        <f t="shared" si="10"/>
        <v>Miss N.Keith</v>
      </c>
      <c r="I340" t="str">
        <f t="shared" si="11"/>
        <v>F</v>
      </c>
    </row>
    <row r="341" spans="1:9" x14ac:dyDescent="0.3">
      <c r="A341">
        <v>338</v>
      </c>
      <c r="B341" t="s">
        <v>1466</v>
      </c>
      <c r="C341" t="s">
        <v>134</v>
      </c>
      <c r="D341" t="s">
        <v>18</v>
      </c>
      <c r="E341" t="str">
        <f>Table1[[#This Row],[Abbreviations]]</f>
        <v>Carter Street</v>
      </c>
      <c r="F341" t="s">
        <v>493</v>
      </c>
      <c r="G341" t="str">
        <f xml:space="preserve"> PROPER(_xlfn.CONCAT(Table13[[#This Row],[Title]]," ",Table13[[#This Row],[First Name]]," ",Table13[[#This Row],[Last Name]]))</f>
        <v>Miss Nelda Mcfadden</v>
      </c>
      <c r="H341" t="str">
        <f t="shared" si="10"/>
        <v>Miss N.Mcfadden</v>
      </c>
      <c r="I341" t="str">
        <f t="shared" si="11"/>
        <v>F</v>
      </c>
    </row>
    <row r="342" spans="1:9" x14ac:dyDescent="0.3">
      <c r="A342">
        <v>339</v>
      </c>
      <c r="B342" t="s">
        <v>1468</v>
      </c>
      <c r="C342" t="s">
        <v>686</v>
      </c>
      <c r="D342" t="s">
        <v>7</v>
      </c>
      <c r="E342" t="str">
        <f>Table1[[#This Row],[Abbreviations]]</f>
        <v>Stephenson Terrace</v>
      </c>
      <c r="F342" t="s">
        <v>1470</v>
      </c>
      <c r="G342" t="str">
        <f xml:space="preserve"> PROPER(_xlfn.CONCAT(Table13[[#This Row],[Title]]," ",Table13[[#This Row],[First Name]]," ",Table13[[#This Row],[Last Name]]))</f>
        <v>Mrs Classie Abbott</v>
      </c>
      <c r="H342" t="str">
        <f t="shared" si="10"/>
        <v>Mrs C.Abbott</v>
      </c>
      <c r="I342" t="str">
        <f t="shared" si="11"/>
        <v>F</v>
      </c>
    </row>
    <row r="343" spans="1:9" x14ac:dyDescent="0.3">
      <c r="A343">
        <v>340</v>
      </c>
      <c r="B343" t="s">
        <v>1471</v>
      </c>
      <c r="C343" t="s">
        <v>1472</v>
      </c>
      <c r="D343" t="s">
        <v>18</v>
      </c>
      <c r="E343" t="str">
        <f>Table1[[#This Row],[Abbreviations]]</f>
        <v>Campshill Place</v>
      </c>
      <c r="F343" t="s">
        <v>68</v>
      </c>
      <c r="G343" t="str">
        <f xml:space="preserve"> PROPER(_xlfn.CONCAT(Table13[[#This Row],[Title]]," ",Table13[[#This Row],[First Name]]," ",Table13[[#This Row],[Last Name]]))</f>
        <v>Miss Tomasa Horn</v>
      </c>
      <c r="H343" t="str">
        <f t="shared" si="10"/>
        <v>Miss T.Horn</v>
      </c>
      <c r="I343" t="str">
        <f t="shared" si="11"/>
        <v>F</v>
      </c>
    </row>
    <row r="344" spans="1:9" x14ac:dyDescent="0.3">
      <c r="A344">
        <v>341</v>
      </c>
      <c r="B344" t="s">
        <v>1474</v>
      </c>
      <c r="C344" t="s">
        <v>453</v>
      </c>
      <c r="D344" t="s">
        <v>7</v>
      </c>
      <c r="E344" t="str">
        <f>Table1[[#This Row],[Abbreviations]]</f>
        <v>Lawson Close</v>
      </c>
      <c r="F344" t="s">
        <v>1476</v>
      </c>
      <c r="G344" t="str">
        <f xml:space="preserve"> PROPER(_xlfn.CONCAT(Table13[[#This Row],[Title]]," ",Table13[[#This Row],[First Name]]," ",Table13[[#This Row],[Last Name]]))</f>
        <v>Mrs Becki Franks</v>
      </c>
      <c r="H344" t="str">
        <f t="shared" si="10"/>
        <v>Mrs B.Franks</v>
      </c>
      <c r="I344" t="str">
        <f t="shared" si="11"/>
        <v>F</v>
      </c>
    </row>
    <row r="345" spans="1:9" x14ac:dyDescent="0.3">
      <c r="A345">
        <v>342</v>
      </c>
      <c r="B345" t="s">
        <v>1477</v>
      </c>
      <c r="C345" t="s">
        <v>1478</v>
      </c>
      <c r="D345" t="s">
        <v>18</v>
      </c>
      <c r="E345" t="str">
        <f>Table1[[#This Row],[Abbreviations]]</f>
        <v>Craven Avenue</v>
      </c>
      <c r="F345" t="s">
        <v>1480</v>
      </c>
      <c r="G345" t="str">
        <f xml:space="preserve"> PROPER(_xlfn.CONCAT(Table13[[#This Row],[Title]]," ",Table13[[#This Row],[First Name]]," ",Table13[[#This Row],[Last Name]]))</f>
        <v>Miss Flavia Hill</v>
      </c>
      <c r="H345" t="str">
        <f t="shared" si="10"/>
        <v>Miss F.Hill</v>
      </c>
      <c r="I345" t="str">
        <f t="shared" si="11"/>
        <v>F</v>
      </c>
    </row>
    <row r="346" spans="1:9" x14ac:dyDescent="0.3">
      <c r="A346">
        <v>343</v>
      </c>
      <c r="B346" t="s">
        <v>1481</v>
      </c>
      <c r="C346" t="s">
        <v>1482</v>
      </c>
      <c r="D346" t="s">
        <v>18</v>
      </c>
      <c r="E346" t="str">
        <f>Table1[[#This Row],[Abbreviations]]</f>
        <v>Rosefield Gardens</v>
      </c>
      <c r="F346" t="s">
        <v>1484</v>
      </c>
      <c r="G346" t="str">
        <f xml:space="preserve"> PROPER(_xlfn.CONCAT(Table13[[#This Row],[Title]]," ",Table13[[#This Row],[First Name]]," ",Table13[[#This Row],[Last Name]]))</f>
        <v>Miss Lorette Thorne</v>
      </c>
      <c r="H346" t="str">
        <f t="shared" si="10"/>
        <v>Miss L.Thorne</v>
      </c>
      <c r="I346" t="str">
        <f t="shared" si="11"/>
        <v>F</v>
      </c>
    </row>
    <row r="347" spans="1:9" x14ac:dyDescent="0.3">
      <c r="A347">
        <v>344</v>
      </c>
      <c r="B347" t="s">
        <v>1485</v>
      </c>
      <c r="C347" t="s">
        <v>1486</v>
      </c>
      <c r="D347" t="s">
        <v>71</v>
      </c>
      <c r="E347" t="str">
        <f>Table1[[#This Row],[Abbreviations]]</f>
        <v>Norman Terrace</v>
      </c>
      <c r="F347" t="s">
        <v>479</v>
      </c>
      <c r="G347" t="str">
        <f xml:space="preserve"> PROPER(_xlfn.CONCAT(Table13[[#This Row],[Title]]," ",Table13[[#This Row],[First Name]]," ",Table13[[#This Row],[Last Name]]))</f>
        <v>Ms Alesia Velazquez</v>
      </c>
      <c r="H347" t="str">
        <f t="shared" si="10"/>
        <v>Ms A.Velazquez</v>
      </c>
      <c r="I347" t="str">
        <f t="shared" si="11"/>
        <v>F</v>
      </c>
    </row>
    <row r="348" spans="1:9" x14ac:dyDescent="0.3">
      <c r="A348">
        <v>345</v>
      </c>
      <c r="B348" t="s">
        <v>1487</v>
      </c>
      <c r="C348" t="s">
        <v>1488</v>
      </c>
      <c r="D348" t="s">
        <v>7</v>
      </c>
      <c r="E348" t="str">
        <f>Table1[[#This Row],[Abbreviations]]</f>
        <v>Tate Road</v>
      </c>
      <c r="F348" t="s">
        <v>1490</v>
      </c>
      <c r="G348" t="str">
        <f xml:space="preserve"> PROPER(_xlfn.CONCAT(Table13[[#This Row],[Title]]," ",Table13[[#This Row],[First Name]]," ",Table13[[#This Row],[Last Name]]))</f>
        <v>Mrs Precious Spicer</v>
      </c>
      <c r="H348" t="str">
        <f t="shared" si="10"/>
        <v>Mrs P.Spicer</v>
      </c>
      <c r="I348" t="str">
        <f t="shared" si="11"/>
        <v>F</v>
      </c>
    </row>
    <row r="349" spans="1:9" x14ac:dyDescent="0.3">
      <c r="A349">
        <v>346</v>
      </c>
      <c r="B349" t="s">
        <v>1491</v>
      </c>
      <c r="C349" t="s">
        <v>1492</v>
      </c>
      <c r="D349" t="s">
        <v>7</v>
      </c>
      <c r="E349" t="str">
        <f>Table1[[#This Row],[Abbreviations]]</f>
        <v>Feather Row</v>
      </c>
      <c r="F349" t="s">
        <v>1494</v>
      </c>
      <c r="G349" t="str">
        <f xml:space="preserve"> PROPER(_xlfn.CONCAT(Table13[[#This Row],[Title]]," ",Table13[[#This Row],[First Name]]," ",Table13[[#This Row],[Last Name]]))</f>
        <v>Mrs Latasha Terrell</v>
      </c>
      <c r="H349" t="str">
        <f t="shared" si="10"/>
        <v>Mrs L.Terrell</v>
      </c>
      <c r="I349" t="str">
        <f t="shared" si="11"/>
        <v>F</v>
      </c>
    </row>
    <row r="350" spans="1:9" x14ac:dyDescent="0.3">
      <c r="A350">
        <v>347</v>
      </c>
      <c r="B350" t="s">
        <v>1495</v>
      </c>
      <c r="C350" t="s">
        <v>1496</v>
      </c>
      <c r="D350" t="s">
        <v>71</v>
      </c>
      <c r="E350" t="str">
        <f>Table1[[#This Row],[Abbreviations]]</f>
        <v>Clarks Row</v>
      </c>
      <c r="F350" t="s">
        <v>698</v>
      </c>
      <c r="G350" t="str">
        <f xml:space="preserve"> PROPER(_xlfn.CONCAT(Table13[[#This Row],[Title]]," ",Table13[[#This Row],[First Name]]," ",Table13[[#This Row],[Last Name]]))</f>
        <v>Ms Maura Marsh</v>
      </c>
      <c r="H350" t="str">
        <f t="shared" si="10"/>
        <v>Ms M.Marsh</v>
      </c>
      <c r="I350" t="str">
        <f t="shared" si="11"/>
        <v>F</v>
      </c>
    </row>
    <row r="351" spans="1:9" x14ac:dyDescent="0.3">
      <c r="A351">
        <v>348</v>
      </c>
      <c r="B351" t="s">
        <v>1498</v>
      </c>
      <c r="C351" t="s">
        <v>1499</v>
      </c>
      <c r="D351" t="s">
        <v>7</v>
      </c>
      <c r="E351" t="str">
        <f>Table1[[#This Row],[Abbreviations]]</f>
        <v>Victors Place</v>
      </c>
      <c r="F351" t="s">
        <v>1501</v>
      </c>
      <c r="G351" t="str">
        <f xml:space="preserve"> PROPER(_xlfn.CONCAT(Table13[[#This Row],[Title]]," ",Table13[[#This Row],[First Name]]," ",Table13[[#This Row],[Last Name]]))</f>
        <v>Mrs Gerda Mckinley</v>
      </c>
      <c r="H351" t="str">
        <f t="shared" si="10"/>
        <v>Mrs G.Mckinley</v>
      </c>
      <c r="I351" t="str">
        <f t="shared" si="11"/>
        <v>F</v>
      </c>
    </row>
    <row r="352" spans="1:9" x14ac:dyDescent="0.3">
      <c r="A352">
        <v>349</v>
      </c>
      <c r="B352" t="s">
        <v>1502</v>
      </c>
      <c r="C352" t="s">
        <v>390</v>
      </c>
      <c r="D352" t="s">
        <v>18</v>
      </c>
      <c r="E352" t="str">
        <f>Table1[[#This Row],[Abbreviations]]</f>
        <v>Fordwych Road</v>
      </c>
      <c r="F352" t="s">
        <v>1504</v>
      </c>
      <c r="G352" t="str">
        <f xml:space="preserve"> PROPER(_xlfn.CONCAT(Table13[[#This Row],[Title]]," ",Table13[[#This Row],[First Name]]," ",Table13[[#This Row],[Last Name]]))</f>
        <v>Miss Marisolm Cain</v>
      </c>
      <c r="H352" t="str">
        <f t="shared" si="10"/>
        <v>Miss m.Cain</v>
      </c>
      <c r="I352" t="str">
        <f t="shared" si="11"/>
        <v>F</v>
      </c>
    </row>
    <row r="353" spans="1:9" x14ac:dyDescent="0.3">
      <c r="A353">
        <v>350</v>
      </c>
      <c r="B353" t="s">
        <v>631</v>
      </c>
      <c r="C353" t="s">
        <v>1505</v>
      </c>
      <c r="D353" t="s">
        <v>7</v>
      </c>
      <c r="E353" t="str">
        <f>Table1[[#This Row],[Abbreviations]]</f>
        <v>Brydges Street</v>
      </c>
      <c r="F353" t="s">
        <v>1507</v>
      </c>
      <c r="G353" t="str">
        <f xml:space="preserve"> PROPER(_xlfn.CONCAT(Table13[[#This Row],[Title]]," ",Table13[[#This Row],[First Name]]," ",Table13[[#This Row],[Last Name]]))</f>
        <v>Mrs Ileana Fair</v>
      </c>
      <c r="H353" t="str">
        <f t="shared" si="10"/>
        <v>Mrs I.Fair</v>
      </c>
      <c r="I353" t="str">
        <f t="shared" si="11"/>
        <v>F</v>
      </c>
    </row>
    <row r="354" spans="1:9" x14ac:dyDescent="0.3">
      <c r="A354">
        <v>351</v>
      </c>
      <c r="B354" t="s">
        <v>1019</v>
      </c>
      <c r="C354" t="s">
        <v>1508</v>
      </c>
      <c r="D354" t="s">
        <v>71</v>
      </c>
      <c r="E354" t="str">
        <f>Table1[[#This Row],[Abbreviations]]</f>
        <v>Lime Street</v>
      </c>
      <c r="F354" t="s">
        <v>1510</v>
      </c>
      <c r="G354" t="str">
        <f xml:space="preserve"> PROPER(_xlfn.CONCAT(Table13[[#This Row],[Title]]," ",Table13[[#This Row],[First Name]]," ",Table13[[#This Row],[Last Name]]))</f>
        <v>Ms Yolanda Ibarra</v>
      </c>
      <c r="H354" t="str">
        <f t="shared" si="10"/>
        <v>Ms Y.Ibarra</v>
      </c>
      <c r="I354" t="str">
        <f t="shared" si="11"/>
        <v>F</v>
      </c>
    </row>
    <row r="355" spans="1:9" x14ac:dyDescent="0.3">
      <c r="A355">
        <v>352</v>
      </c>
      <c r="B355" t="s">
        <v>1511</v>
      </c>
      <c r="C355" t="s">
        <v>1512</v>
      </c>
      <c r="D355" t="s">
        <v>71</v>
      </c>
      <c r="E355" t="str">
        <f>Table1[[#This Row],[Abbreviations]]</f>
        <v>Cobdon Street</v>
      </c>
      <c r="F355" t="s">
        <v>671</v>
      </c>
      <c r="G355" t="str">
        <f xml:space="preserve"> PROPER(_xlfn.CONCAT(Table13[[#This Row],[Title]]," ",Table13[[#This Row],[First Name]]," ",Table13[[#This Row],[Last Name]]))</f>
        <v>Ms Kacie Colvin</v>
      </c>
      <c r="H355" t="str">
        <f t="shared" si="10"/>
        <v>Ms K.Colvin</v>
      </c>
      <c r="I355" t="str">
        <f t="shared" si="11"/>
        <v>F</v>
      </c>
    </row>
    <row r="356" spans="1:9" x14ac:dyDescent="0.3">
      <c r="A356">
        <v>353</v>
      </c>
      <c r="B356" t="s">
        <v>1514</v>
      </c>
      <c r="C356" t="s">
        <v>1515</v>
      </c>
      <c r="D356" t="s">
        <v>7</v>
      </c>
      <c r="E356" t="str">
        <f>Table1[[#This Row],[Abbreviations]]</f>
        <v>Fludyer Street</v>
      </c>
      <c r="F356" t="s">
        <v>713</v>
      </c>
      <c r="G356" t="str">
        <f xml:space="preserve"> PROPER(_xlfn.CONCAT(Table13[[#This Row],[Title]]," ",Table13[[#This Row],[First Name]]," ",Table13[[#This Row],[Last Name]]))</f>
        <v>Mrs Sang Prater</v>
      </c>
      <c r="H356" t="str">
        <f t="shared" si="10"/>
        <v>Mrs S.Prater</v>
      </c>
      <c r="I356" t="str">
        <f t="shared" si="11"/>
        <v>F</v>
      </c>
    </row>
    <row r="357" spans="1:9" x14ac:dyDescent="0.3">
      <c r="A357">
        <v>354</v>
      </c>
      <c r="B357" t="s">
        <v>1391</v>
      </c>
      <c r="C357" t="s">
        <v>1517</v>
      </c>
      <c r="D357" t="s">
        <v>318</v>
      </c>
      <c r="E357" t="str">
        <f>Table1[[#This Row],[Abbreviations]]</f>
        <v>Sailors Home</v>
      </c>
      <c r="F357" t="s">
        <v>1519</v>
      </c>
      <c r="G357" t="str">
        <f xml:space="preserve"> PROPER(_xlfn.CONCAT(Table13[[#This Row],[Title]]," ",Table13[[#This Row],[First Name]]," ",Table13[[#This Row],[Last Name]]))</f>
        <v>Dr Charity Bradshaw</v>
      </c>
      <c r="H357" t="str">
        <f t="shared" si="10"/>
        <v>Dr C.Bradshaw</v>
      </c>
      <c r="I357" t="str">
        <f t="shared" si="11"/>
        <v>F</v>
      </c>
    </row>
    <row r="358" spans="1:9" x14ac:dyDescent="0.3">
      <c r="A358">
        <v>355</v>
      </c>
      <c r="B358" t="s">
        <v>1520</v>
      </c>
      <c r="C358" t="s">
        <v>1521</v>
      </c>
      <c r="D358" t="s">
        <v>18</v>
      </c>
      <c r="E358" t="str">
        <f>Table1[[#This Row],[Abbreviations]]</f>
        <v>Leopold Street</v>
      </c>
      <c r="F358" t="s">
        <v>45</v>
      </c>
      <c r="G358" t="str">
        <f xml:space="preserve"> PROPER(_xlfn.CONCAT(Table13[[#This Row],[Title]]," ",Table13[[#This Row],[First Name]]," ",Table13[[#This Row],[Last Name]]))</f>
        <v>Miss Mark Sargent</v>
      </c>
      <c r="H358" t="str">
        <f t="shared" si="10"/>
        <v>Miss M.Sargent</v>
      </c>
      <c r="I358" t="str">
        <f t="shared" si="11"/>
        <v>F</v>
      </c>
    </row>
    <row r="359" spans="1:9" x14ac:dyDescent="0.3">
      <c r="A359">
        <v>356</v>
      </c>
      <c r="B359" t="s">
        <v>1523</v>
      </c>
      <c r="C359" t="s">
        <v>207</v>
      </c>
      <c r="D359" t="s">
        <v>18</v>
      </c>
      <c r="E359" t="str">
        <f>Table1[[#This Row],[Abbreviations]]</f>
        <v>Tyrawley Road</v>
      </c>
      <c r="F359" t="s">
        <v>1525</v>
      </c>
      <c r="G359" t="str">
        <f xml:space="preserve"> PROPER(_xlfn.CONCAT(Table13[[#This Row],[Title]]," ",Table13[[#This Row],[First Name]]," ",Table13[[#This Row],[Last Name]]))</f>
        <v>Miss Shellie Flores</v>
      </c>
      <c r="H359" t="str">
        <f t="shared" si="10"/>
        <v>Miss S.Flores</v>
      </c>
      <c r="I359" t="str">
        <f t="shared" si="11"/>
        <v>F</v>
      </c>
    </row>
    <row r="360" spans="1:9" x14ac:dyDescent="0.3">
      <c r="A360">
        <v>357</v>
      </c>
      <c r="B360" t="s">
        <v>710</v>
      </c>
      <c r="C360" t="s">
        <v>1526</v>
      </c>
      <c r="D360" t="s">
        <v>7</v>
      </c>
      <c r="E360" t="str">
        <f>Table1[[#This Row],[Abbreviations]]</f>
        <v>Falcon Place</v>
      </c>
      <c r="F360" t="s">
        <v>1135</v>
      </c>
      <c r="G360" t="str">
        <f xml:space="preserve"> PROPER(_xlfn.CONCAT(Table13[[#This Row],[Title]]," ",Table13[[#This Row],[First Name]]," ",Table13[[#This Row],[Last Name]]))</f>
        <v>Mrs Danna Stanley</v>
      </c>
      <c r="H360" t="str">
        <f t="shared" si="10"/>
        <v>Mrs D.Stanley</v>
      </c>
      <c r="I360" t="str">
        <f t="shared" si="11"/>
        <v>F</v>
      </c>
    </row>
    <row r="361" spans="1:9" x14ac:dyDescent="0.3">
      <c r="A361">
        <v>358</v>
      </c>
      <c r="B361" t="s">
        <v>1528</v>
      </c>
      <c r="C361" t="s">
        <v>1529</v>
      </c>
      <c r="D361" t="s">
        <v>18</v>
      </c>
      <c r="E361" t="str">
        <f>Table1[[#This Row],[Abbreviations]]</f>
        <v>Gentry Gardens</v>
      </c>
      <c r="F361" t="s">
        <v>1531</v>
      </c>
      <c r="G361" t="str">
        <f xml:space="preserve"> PROPER(_xlfn.CONCAT(Table13[[#This Row],[Title]]," ",Table13[[#This Row],[First Name]]," ",Table13[[#This Row],[Last Name]]))</f>
        <v>Miss Wesley Owens</v>
      </c>
      <c r="H361" t="str">
        <f t="shared" si="10"/>
        <v>Miss W.Owens</v>
      </c>
      <c r="I361" t="str">
        <f t="shared" si="11"/>
        <v>F</v>
      </c>
    </row>
    <row r="362" spans="1:9" x14ac:dyDescent="0.3">
      <c r="A362">
        <v>359</v>
      </c>
      <c r="B362" t="s">
        <v>573</v>
      </c>
      <c r="C362" t="s">
        <v>1532</v>
      </c>
      <c r="D362" t="s">
        <v>7</v>
      </c>
      <c r="E362" t="str">
        <f>Table1[[#This Row],[Abbreviations]]</f>
        <v>Redcross Square</v>
      </c>
      <c r="F362" t="s">
        <v>1534</v>
      </c>
      <c r="G362" t="str">
        <f xml:space="preserve"> PROPER(_xlfn.CONCAT(Table13[[#This Row],[Title]]," ",Table13[[#This Row],[First Name]]," ",Table13[[#This Row],[Last Name]]))</f>
        <v>Mrs Janie Quintana</v>
      </c>
      <c r="H362" t="str">
        <f t="shared" si="10"/>
        <v>Mrs J.Quintana</v>
      </c>
      <c r="I362" t="str">
        <f t="shared" si="11"/>
        <v>F</v>
      </c>
    </row>
    <row r="363" spans="1:9" x14ac:dyDescent="0.3">
      <c r="A363">
        <v>360</v>
      </c>
      <c r="B363" t="s">
        <v>1535</v>
      </c>
      <c r="C363" t="s">
        <v>1536</v>
      </c>
      <c r="D363" t="s">
        <v>18</v>
      </c>
      <c r="E363" t="str">
        <f>Table1[[#This Row],[Abbreviations]]</f>
        <v>Chapel Side</v>
      </c>
      <c r="F363" t="s">
        <v>1538</v>
      </c>
      <c r="G363" t="str">
        <f xml:space="preserve"> PROPER(_xlfn.CONCAT(Table13[[#This Row],[Title]]," ",Table13[[#This Row],[First Name]]," ",Table13[[#This Row],[Last Name]]))</f>
        <v>Miss Leilani Hoffman</v>
      </c>
      <c r="H363" t="str">
        <f t="shared" si="10"/>
        <v>Miss L.Hoffman</v>
      </c>
      <c r="I363" t="str">
        <f t="shared" si="11"/>
        <v>F</v>
      </c>
    </row>
    <row r="364" spans="1:9" x14ac:dyDescent="0.3">
      <c r="A364">
        <v>361</v>
      </c>
      <c r="B364" t="s">
        <v>1539</v>
      </c>
      <c r="C364" t="s">
        <v>1540</v>
      </c>
      <c r="D364" t="s">
        <v>7</v>
      </c>
      <c r="E364" t="str">
        <f>Table1[[#This Row],[Abbreviations]]</f>
        <v>Ferrestone Road</v>
      </c>
      <c r="F364" t="s">
        <v>1542</v>
      </c>
      <c r="G364" t="str">
        <f xml:space="preserve"> PROPER(_xlfn.CONCAT(Table13[[#This Row],[Title]]," ",Table13[[#This Row],[First Name]]," ",Table13[[#This Row],[Last Name]]))</f>
        <v>Mrs Janee Bruner</v>
      </c>
      <c r="H364" t="str">
        <f t="shared" si="10"/>
        <v>Mrs J.Bruner</v>
      </c>
      <c r="I364" t="str">
        <f t="shared" si="11"/>
        <v>F</v>
      </c>
    </row>
    <row r="365" spans="1:9" x14ac:dyDescent="0.3">
      <c r="A365">
        <v>362</v>
      </c>
      <c r="B365" t="s">
        <v>1543</v>
      </c>
      <c r="C365" t="s">
        <v>1544</v>
      </c>
      <c r="D365" t="s">
        <v>7</v>
      </c>
      <c r="E365" t="str">
        <f>Table1[[#This Row],[Abbreviations]]</f>
        <v>Hawthorne Street</v>
      </c>
      <c r="F365" t="s">
        <v>595</v>
      </c>
      <c r="G365" t="str">
        <f xml:space="preserve"> PROPER(_xlfn.CONCAT(Table13[[#This Row],[Title]]," ",Table13[[#This Row],[First Name]]," ",Table13[[#This Row],[Last Name]]))</f>
        <v>Mrs Luciana Grayson</v>
      </c>
      <c r="H365" t="str">
        <f t="shared" si="10"/>
        <v>Mrs L.Grayson</v>
      </c>
      <c r="I365" t="str">
        <f t="shared" si="11"/>
        <v>F</v>
      </c>
    </row>
    <row r="366" spans="1:9" x14ac:dyDescent="0.3">
      <c r="A366">
        <v>363</v>
      </c>
      <c r="B366" t="s">
        <v>659</v>
      </c>
      <c r="C366" t="s">
        <v>1546</v>
      </c>
      <c r="D366" t="s">
        <v>18</v>
      </c>
      <c r="E366" t="str">
        <f>Table1[[#This Row],[Abbreviations]]</f>
        <v>Basinghall Avenue</v>
      </c>
      <c r="F366" t="s">
        <v>1548</v>
      </c>
      <c r="G366" t="str">
        <f xml:space="preserve"> PROPER(_xlfn.CONCAT(Table13[[#This Row],[Title]]," ",Table13[[#This Row],[First Name]]," ",Table13[[#This Row],[Last Name]]))</f>
        <v>Miss Elise Porter</v>
      </c>
      <c r="H366" t="str">
        <f t="shared" si="10"/>
        <v>Miss E.Porter</v>
      </c>
      <c r="I366" t="str">
        <f t="shared" si="11"/>
        <v>F</v>
      </c>
    </row>
    <row r="367" spans="1:9" x14ac:dyDescent="0.3">
      <c r="A367">
        <v>364</v>
      </c>
      <c r="B367" t="s">
        <v>1549</v>
      </c>
      <c r="C367" t="s">
        <v>1550</v>
      </c>
      <c r="D367" t="s">
        <v>7</v>
      </c>
      <c r="E367" t="str">
        <f>Table1[[#This Row],[Abbreviations]]</f>
        <v>Featherstone Street</v>
      </c>
      <c r="F367" t="s">
        <v>451</v>
      </c>
      <c r="G367" t="str">
        <f xml:space="preserve"> PROPER(_xlfn.CONCAT(Table13[[#This Row],[Title]]," ",Table13[[#This Row],[First Name]]," ",Table13[[#This Row],[Last Name]]))</f>
        <v>Mrs Barbara Williamson</v>
      </c>
      <c r="H367" t="str">
        <f t="shared" si="10"/>
        <v>Mrs B.Williamson</v>
      </c>
      <c r="I367" t="str">
        <f t="shared" si="11"/>
        <v>F</v>
      </c>
    </row>
    <row r="368" spans="1:9" x14ac:dyDescent="0.3">
      <c r="A368">
        <v>365</v>
      </c>
      <c r="B368" t="s">
        <v>1552</v>
      </c>
      <c r="C368" t="s">
        <v>535</v>
      </c>
      <c r="D368" t="s">
        <v>18</v>
      </c>
      <c r="E368" t="str">
        <f>Table1[[#This Row],[Abbreviations]]</f>
        <v>Jersey Road</v>
      </c>
      <c r="F368" t="s">
        <v>619</v>
      </c>
      <c r="G368" t="str">
        <f xml:space="preserve"> PROPER(_xlfn.CONCAT(Table13[[#This Row],[Title]]," ",Table13[[#This Row],[First Name]]," ",Table13[[#This Row],[Last Name]]))</f>
        <v>Miss Rocio Gibbons</v>
      </c>
      <c r="H368" t="str">
        <f t="shared" si="10"/>
        <v>Miss R.Gibbons</v>
      </c>
      <c r="I368" t="str">
        <f t="shared" si="11"/>
        <v>F</v>
      </c>
    </row>
    <row r="369" spans="1:9" x14ac:dyDescent="0.3">
      <c r="A369">
        <v>366</v>
      </c>
      <c r="B369" t="s">
        <v>249</v>
      </c>
      <c r="C369" t="s">
        <v>1554</v>
      </c>
      <c r="D369" t="s">
        <v>7</v>
      </c>
      <c r="E369" t="str">
        <f>Table1[[#This Row],[Abbreviations]]</f>
        <v>Ida Street</v>
      </c>
      <c r="F369" t="s">
        <v>1556</v>
      </c>
      <c r="G369" t="str">
        <f xml:space="preserve"> PROPER(_xlfn.CONCAT(Table13[[#This Row],[Title]]," ",Table13[[#This Row],[First Name]]," ",Table13[[#This Row],[Last Name]]))</f>
        <v>Mrs Jeanetta Krause</v>
      </c>
      <c r="H369" t="str">
        <f t="shared" si="10"/>
        <v>Mrs J.Krause</v>
      </c>
      <c r="I369" t="str">
        <f t="shared" si="11"/>
        <v>F</v>
      </c>
    </row>
    <row r="370" spans="1:9" x14ac:dyDescent="0.3">
      <c r="A370">
        <v>367</v>
      </c>
      <c r="B370" t="s">
        <v>1557</v>
      </c>
      <c r="C370" t="s">
        <v>1558</v>
      </c>
      <c r="D370" t="s">
        <v>7</v>
      </c>
      <c r="E370" t="str">
        <f>Table1[[#This Row],[Abbreviations]]</f>
        <v>Cleveland Grove</v>
      </c>
      <c r="F370" t="s">
        <v>1560</v>
      </c>
      <c r="G370" t="str">
        <f xml:space="preserve"> PROPER(_xlfn.CONCAT(Table13[[#This Row],[Title]]," ",Table13[[#This Row],[First Name]]," ",Table13[[#This Row],[Last Name]]))</f>
        <v>Mrs Cindi Guidry</v>
      </c>
      <c r="H370" t="str">
        <f t="shared" si="10"/>
        <v>Mrs C.Guidry</v>
      </c>
      <c r="I370" t="str">
        <f t="shared" si="11"/>
        <v>F</v>
      </c>
    </row>
    <row r="371" spans="1:9" x14ac:dyDescent="0.3">
      <c r="A371">
        <v>368</v>
      </c>
      <c r="B371" t="s">
        <v>135</v>
      </c>
      <c r="C371" t="s">
        <v>1561</v>
      </c>
      <c r="D371" t="s">
        <v>18</v>
      </c>
      <c r="E371" t="str">
        <f>Table1[[#This Row],[Abbreviations]]</f>
        <v>Hannah Close</v>
      </c>
      <c r="F371" t="s">
        <v>690</v>
      </c>
      <c r="G371" t="str">
        <f xml:space="preserve"> PROPER(_xlfn.CONCAT(Table13[[#This Row],[Title]]," ",Table13[[#This Row],[First Name]]," ",Table13[[#This Row],[Last Name]]))</f>
        <v>Miss Margot Nguyen</v>
      </c>
      <c r="H371" t="str">
        <f t="shared" si="10"/>
        <v>Miss M.Nguyen</v>
      </c>
      <c r="I371" t="str">
        <f t="shared" si="11"/>
        <v>F</v>
      </c>
    </row>
    <row r="372" spans="1:9" x14ac:dyDescent="0.3">
      <c r="A372">
        <v>369</v>
      </c>
      <c r="B372" t="s">
        <v>1563</v>
      </c>
      <c r="C372" t="s">
        <v>1564</v>
      </c>
      <c r="D372" t="s">
        <v>7</v>
      </c>
      <c r="E372" t="str">
        <f>Table1[[#This Row],[Abbreviations]]</f>
        <v>Iris Place</v>
      </c>
      <c r="F372" t="s">
        <v>1566</v>
      </c>
      <c r="G372" t="str">
        <f xml:space="preserve"> PROPER(_xlfn.CONCAT(Table13[[#This Row],[Title]]," ",Table13[[#This Row],[First Name]]," ",Table13[[#This Row],[Last Name]]))</f>
        <v>Mrs Tarra Cody</v>
      </c>
      <c r="H372" t="str">
        <f t="shared" si="10"/>
        <v>Mrs T.Cody</v>
      </c>
      <c r="I372" t="str">
        <f t="shared" si="11"/>
        <v>F</v>
      </c>
    </row>
    <row r="373" spans="1:9" x14ac:dyDescent="0.3">
      <c r="A373">
        <v>370</v>
      </c>
      <c r="B373" t="s">
        <v>1567</v>
      </c>
      <c r="C373" t="s">
        <v>689</v>
      </c>
      <c r="D373" t="s">
        <v>7</v>
      </c>
      <c r="E373" t="str">
        <f>Table1[[#This Row],[Abbreviations]]</f>
        <v>Highland Avenue</v>
      </c>
      <c r="F373" t="s">
        <v>95</v>
      </c>
      <c r="G373" t="str">
        <f xml:space="preserve"> PROPER(_xlfn.CONCAT(Table13[[#This Row],[Title]]," ",Table13[[#This Row],[First Name]]," ",Table13[[#This Row],[Last Name]]))</f>
        <v>Mrs Sanjuana William</v>
      </c>
      <c r="H373" t="str">
        <f t="shared" si="10"/>
        <v>Mrs S.William</v>
      </c>
      <c r="I373" t="str">
        <f t="shared" si="11"/>
        <v>F</v>
      </c>
    </row>
    <row r="374" spans="1:9" x14ac:dyDescent="0.3">
      <c r="A374">
        <v>371</v>
      </c>
      <c r="B374" t="s">
        <v>1569</v>
      </c>
      <c r="C374" t="s">
        <v>390</v>
      </c>
      <c r="D374" t="s">
        <v>7</v>
      </c>
      <c r="E374" t="str">
        <f>Table1[[#This Row],[Abbreviations]]</f>
        <v>Como Road</v>
      </c>
      <c r="F374" t="s">
        <v>1571</v>
      </c>
      <c r="G374" t="str">
        <f xml:space="preserve"> PROPER(_xlfn.CONCAT(Table13[[#This Row],[Title]]," ",Table13[[#This Row],[First Name]]," ",Table13[[#This Row],[Last Name]]))</f>
        <v>Mrs Verdie Cain</v>
      </c>
      <c r="H374" t="str">
        <f t="shared" si="10"/>
        <v>Mrs V.Cain</v>
      </c>
      <c r="I374" t="str">
        <f t="shared" si="11"/>
        <v>F</v>
      </c>
    </row>
    <row r="375" spans="1:9" x14ac:dyDescent="0.3">
      <c r="A375">
        <v>372</v>
      </c>
      <c r="B375" t="s">
        <v>1572</v>
      </c>
      <c r="C375" t="s">
        <v>1573</v>
      </c>
      <c r="D375" t="s">
        <v>71</v>
      </c>
      <c r="E375" t="str">
        <f>Table1[[#This Row],[Abbreviations]]</f>
        <v>Oldfield Road</v>
      </c>
      <c r="F375" t="s">
        <v>1575</v>
      </c>
      <c r="G375" t="str">
        <f xml:space="preserve"> PROPER(_xlfn.CONCAT(Table13[[#This Row],[Title]]," ",Table13[[#This Row],[First Name]]," ",Table13[[#This Row],[Last Name]]))</f>
        <v>Ms Karie Rivera</v>
      </c>
      <c r="H375" t="str">
        <f t="shared" si="10"/>
        <v>Ms K.Rivera</v>
      </c>
      <c r="I375" t="str">
        <f t="shared" si="11"/>
        <v>F</v>
      </c>
    </row>
    <row r="376" spans="1:9" x14ac:dyDescent="0.3">
      <c r="A376">
        <v>373</v>
      </c>
      <c r="B376" t="s">
        <v>1576</v>
      </c>
      <c r="C376" t="s">
        <v>1343</v>
      </c>
      <c r="D376" t="s">
        <v>7</v>
      </c>
      <c r="E376" t="str">
        <f>Table1[[#This Row],[Abbreviations]]</f>
        <v>Bishopsgate</v>
      </c>
      <c r="F376" t="s">
        <v>850</v>
      </c>
      <c r="G376" t="str">
        <f xml:space="preserve"> PROPER(_xlfn.CONCAT(Table13[[#This Row],[Title]]," ",Table13[[#This Row],[First Name]]," ",Table13[[#This Row],[Last Name]]))</f>
        <v>Mrs An Harmon</v>
      </c>
      <c r="H376" t="str">
        <f t="shared" si="10"/>
        <v>Mrs A.Harmon</v>
      </c>
      <c r="I376" t="str">
        <f t="shared" si="11"/>
        <v>F</v>
      </c>
    </row>
    <row r="377" spans="1:9" x14ac:dyDescent="0.3">
      <c r="A377">
        <v>374</v>
      </c>
      <c r="B377" t="s">
        <v>107</v>
      </c>
      <c r="C377" t="s">
        <v>1528</v>
      </c>
      <c r="D377" t="s">
        <v>7</v>
      </c>
      <c r="E377" t="str">
        <f>Table1[[#This Row],[Abbreviations]]</f>
        <v>Darwin Road</v>
      </c>
      <c r="F377" t="s">
        <v>1579</v>
      </c>
      <c r="G377" t="str">
        <f xml:space="preserve"> PROPER(_xlfn.CONCAT(Table13[[#This Row],[Title]]," ",Table13[[#This Row],[First Name]]," ",Table13[[#This Row],[Last Name]]))</f>
        <v>Mrs Molly Wesley</v>
      </c>
      <c r="H377" t="str">
        <f t="shared" si="10"/>
        <v>Mrs M.Wesley</v>
      </c>
      <c r="I377" t="str">
        <f t="shared" si="11"/>
        <v>F</v>
      </c>
    </row>
    <row r="378" spans="1:9" x14ac:dyDescent="0.3">
      <c r="A378">
        <v>375</v>
      </c>
      <c r="B378" t="s">
        <v>1580</v>
      </c>
      <c r="C378" t="s">
        <v>1581</v>
      </c>
      <c r="D378" t="s">
        <v>7</v>
      </c>
      <c r="E378" t="str">
        <f>Table1[[#This Row],[Abbreviations]]</f>
        <v>Woodfield Lane</v>
      </c>
      <c r="F378" t="s">
        <v>1583</v>
      </c>
      <c r="G378" t="str">
        <f xml:space="preserve"> PROPER(_xlfn.CONCAT(Table13[[#This Row],[Title]]," ",Table13[[#This Row],[First Name]]," ",Table13[[#This Row],[Last Name]]))</f>
        <v>Mrs Marlana Wilkinson</v>
      </c>
      <c r="H378" t="str">
        <f t="shared" si="10"/>
        <v>Mrs M.Wilkinson</v>
      </c>
      <c r="I378" t="str">
        <f t="shared" si="11"/>
        <v>F</v>
      </c>
    </row>
    <row r="379" spans="1:9" x14ac:dyDescent="0.3">
      <c r="A379">
        <v>376</v>
      </c>
      <c r="B379" t="s">
        <v>1584</v>
      </c>
      <c r="C379" t="s">
        <v>997</v>
      </c>
      <c r="D379" t="s">
        <v>7</v>
      </c>
      <c r="E379" t="str">
        <f>Table1[[#This Row],[Abbreviations]]</f>
        <v>Arthur Road</v>
      </c>
      <c r="F379" t="s">
        <v>277</v>
      </c>
      <c r="G379" t="str">
        <f xml:space="preserve"> PROPER(_xlfn.CONCAT(Table13[[#This Row],[Title]]," ",Table13[[#This Row],[First Name]]," ",Table13[[#This Row],[Last Name]]))</f>
        <v>Mrs Maire Irwin</v>
      </c>
      <c r="H379" t="str">
        <f t="shared" si="10"/>
        <v>Mrs M.Irwin</v>
      </c>
      <c r="I379" t="str">
        <f t="shared" si="11"/>
        <v>F</v>
      </c>
    </row>
    <row r="380" spans="1:9" x14ac:dyDescent="0.3">
      <c r="A380">
        <v>377</v>
      </c>
      <c r="B380" t="s">
        <v>1586</v>
      </c>
      <c r="C380" t="s">
        <v>1587</v>
      </c>
      <c r="D380" t="s">
        <v>18</v>
      </c>
      <c r="E380" t="str">
        <f>Table1[[#This Row],[Abbreviations]]</f>
        <v>Ogle Street</v>
      </c>
      <c r="F380" t="s">
        <v>1589</v>
      </c>
      <c r="G380" t="str">
        <f xml:space="preserve"> PROPER(_xlfn.CONCAT(Table13[[#This Row],[Title]]," ",Table13[[#This Row],[First Name]]," ",Table13[[#This Row],[Last Name]]))</f>
        <v>Miss Brandi Pollard</v>
      </c>
      <c r="H380" t="str">
        <f t="shared" si="10"/>
        <v>Miss B.Pollard</v>
      </c>
      <c r="I380" t="str">
        <f t="shared" si="11"/>
        <v>F</v>
      </c>
    </row>
    <row r="381" spans="1:9" x14ac:dyDescent="0.3">
      <c r="A381">
        <v>378</v>
      </c>
      <c r="B381" t="s">
        <v>1590</v>
      </c>
      <c r="C381" t="s">
        <v>39</v>
      </c>
      <c r="D381" t="s">
        <v>18</v>
      </c>
      <c r="E381" t="str">
        <f>Table1[[#This Row],[Abbreviations]]</f>
        <v>Dane Street</v>
      </c>
      <c r="F381" t="s">
        <v>561</v>
      </c>
      <c r="G381" t="str">
        <f xml:space="preserve"> PROPER(_xlfn.CONCAT(Table13[[#This Row],[Title]]," ",Table13[[#This Row],[First Name]]," ",Table13[[#This Row],[Last Name]]))</f>
        <v>Miss Donya Anthony</v>
      </c>
      <c r="H381" t="str">
        <f t="shared" si="10"/>
        <v>Miss D.Anthony</v>
      </c>
      <c r="I381" t="str">
        <f t="shared" si="11"/>
        <v>F</v>
      </c>
    </row>
    <row r="382" spans="1:9" x14ac:dyDescent="0.3">
      <c r="A382">
        <v>379</v>
      </c>
      <c r="B382" t="s">
        <v>1592</v>
      </c>
      <c r="C382" t="s">
        <v>1593</v>
      </c>
      <c r="D382" t="s">
        <v>18</v>
      </c>
      <c r="E382" t="str">
        <f>Table1[[#This Row],[Abbreviations]]</f>
        <v>Pheonix Terrace</v>
      </c>
      <c r="F382" t="s">
        <v>1237</v>
      </c>
      <c r="G382" t="str">
        <f xml:space="preserve"> PROPER(_xlfn.CONCAT(Table13[[#This Row],[Title]]," ",Table13[[#This Row],[First Name]]," ",Table13[[#This Row],[Last Name]]))</f>
        <v>Miss Stasia Koehler</v>
      </c>
      <c r="H382" t="str">
        <f t="shared" si="10"/>
        <v>Miss S.Koehler</v>
      </c>
      <c r="I382" t="str">
        <f t="shared" si="11"/>
        <v>F</v>
      </c>
    </row>
    <row r="383" spans="1:9" x14ac:dyDescent="0.3">
      <c r="A383">
        <v>380</v>
      </c>
      <c r="B383" t="s">
        <v>1595</v>
      </c>
      <c r="C383" t="s">
        <v>1596</v>
      </c>
      <c r="D383" t="s">
        <v>7</v>
      </c>
      <c r="E383" t="str">
        <f>Table1[[#This Row],[Abbreviations]]</f>
        <v>North Park</v>
      </c>
      <c r="F383" t="s">
        <v>1598</v>
      </c>
      <c r="G383" t="str">
        <f xml:space="preserve"> PROPER(_xlfn.CONCAT(Table13[[#This Row],[Title]]," ",Table13[[#This Row],[First Name]]," ",Table13[[#This Row],[Last Name]]))</f>
        <v>Mrs Rebecka King</v>
      </c>
      <c r="H383" t="str">
        <f t="shared" si="10"/>
        <v>Mrs R.King</v>
      </c>
      <c r="I383" t="str">
        <f t="shared" si="11"/>
        <v>F</v>
      </c>
    </row>
    <row r="384" spans="1:9" x14ac:dyDescent="0.3">
      <c r="A384">
        <v>381</v>
      </c>
      <c r="B384" t="s">
        <v>1599</v>
      </c>
      <c r="C384" t="s">
        <v>1600</v>
      </c>
      <c r="D384" t="s">
        <v>7</v>
      </c>
      <c r="E384" t="str">
        <f>Table1[[#This Row],[Abbreviations]]</f>
        <v>New City</v>
      </c>
      <c r="F384" t="s">
        <v>512</v>
      </c>
      <c r="G384" t="str">
        <f xml:space="preserve"> PROPER(_xlfn.CONCAT(Table13[[#This Row],[Title]]," ",Table13[[#This Row],[First Name]]," ",Table13[[#This Row],[Last Name]]))</f>
        <v>Mrs Otelia Warren</v>
      </c>
      <c r="H384" t="str">
        <f t="shared" si="10"/>
        <v>Mrs O.Warren</v>
      </c>
      <c r="I384" t="str">
        <f t="shared" si="11"/>
        <v>F</v>
      </c>
    </row>
    <row r="385" spans="1:9" x14ac:dyDescent="0.3">
      <c r="A385">
        <v>382</v>
      </c>
      <c r="B385" t="s">
        <v>1602</v>
      </c>
      <c r="C385" t="s">
        <v>1603</v>
      </c>
      <c r="D385" t="s">
        <v>7</v>
      </c>
      <c r="E385" t="str">
        <f>Table1[[#This Row],[Abbreviations]]</f>
        <v>Revensdon Street</v>
      </c>
      <c r="F385" t="s">
        <v>1605</v>
      </c>
      <c r="G385" t="str">
        <f xml:space="preserve"> PROPER(_xlfn.CONCAT(Table13[[#This Row],[Title]]," ",Table13[[#This Row],[First Name]]," ",Table13[[#This Row],[Last Name]]))</f>
        <v>Mrs Alma Castaneda</v>
      </c>
      <c r="H385" t="str">
        <f t="shared" si="10"/>
        <v>Mrs A.Castaneda</v>
      </c>
      <c r="I385" t="str">
        <f t="shared" si="11"/>
        <v>F</v>
      </c>
    </row>
    <row r="386" spans="1:9" x14ac:dyDescent="0.3">
      <c r="A386">
        <v>383</v>
      </c>
      <c r="B386" t="s">
        <v>1606</v>
      </c>
      <c r="C386" t="s">
        <v>1607</v>
      </c>
      <c r="D386" t="s">
        <v>18</v>
      </c>
      <c r="E386" t="str">
        <f>Table1[[#This Row],[Abbreviations]]</f>
        <v>Hanging Sword</v>
      </c>
      <c r="F386" t="s">
        <v>1609</v>
      </c>
      <c r="G386" t="str">
        <f xml:space="preserve"> PROPER(_xlfn.CONCAT(Table13[[#This Row],[Title]]," ",Table13[[#This Row],[First Name]]," ",Table13[[#This Row],[Last Name]]))</f>
        <v>Miss Minnie Silva</v>
      </c>
      <c r="H386" t="str">
        <f t="shared" si="10"/>
        <v>Miss M.Silva</v>
      </c>
      <c r="I386" t="str">
        <f t="shared" si="11"/>
        <v>F</v>
      </c>
    </row>
    <row r="387" spans="1:9" x14ac:dyDescent="0.3">
      <c r="A387">
        <v>384</v>
      </c>
      <c r="B387" t="s">
        <v>1610</v>
      </c>
      <c r="C387" t="s">
        <v>1611</v>
      </c>
      <c r="D387" t="s">
        <v>7</v>
      </c>
      <c r="E387" t="str">
        <f>Table1[[#This Row],[Abbreviations]]</f>
        <v>Gordon Avenue</v>
      </c>
      <c r="F387" t="s">
        <v>1613</v>
      </c>
      <c r="G387" t="str">
        <f xml:space="preserve"> PROPER(_xlfn.CONCAT(Table13[[#This Row],[Title]]," ",Table13[[#This Row],[First Name]]," ",Table13[[#This Row],[Last Name]]))</f>
        <v>Mrs Keturah Penn</v>
      </c>
      <c r="H387" t="str">
        <f t="shared" si="10"/>
        <v>Mrs K.Penn</v>
      </c>
      <c r="I387" t="str">
        <f t="shared" si="11"/>
        <v>F</v>
      </c>
    </row>
    <row r="388" spans="1:9" x14ac:dyDescent="0.3">
      <c r="A388">
        <v>385</v>
      </c>
      <c r="B388" t="s">
        <v>1614</v>
      </c>
      <c r="C388" t="s">
        <v>1615</v>
      </c>
      <c r="D388" t="s">
        <v>18</v>
      </c>
      <c r="E388" t="str">
        <f>Table1[[#This Row],[Abbreviations]]</f>
        <v>Archway Road</v>
      </c>
      <c r="F388" t="s">
        <v>1283</v>
      </c>
      <c r="G388" t="str">
        <f xml:space="preserve"> PROPER(_xlfn.CONCAT(Table13[[#This Row],[Title]]," ",Table13[[#This Row],[First Name]]," ",Table13[[#This Row],[Last Name]]))</f>
        <v>Miss Melynda Everett</v>
      </c>
      <c r="H388" t="str">
        <f t="shared" ref="H388:H451" si="12">_xlfn.CONCAT(D388)&amp;" "&amp; LEFT(B388,1)&amp;"."&amp;C388</f>
        <v>Miss M.Everett</v>
      </c>
      <c r="I388" t="str">
        <f t="shared" ref="I388:I451" si="13">IF(LEFT(D388,3)="Mr","M","F")</f>
        <v>F</v>
      </c>
    </row>
    <row r="389" spans="1:9" x14ac:dyDescent="0.3">
      <c r="A389">
        <v>386</v>
      </c>
      <c r="B389" t="s">
        <v>1617</v>
      </c>
      <c r="C389" t="s">
        <v>265</v>
      </c>
      <c r="D389" t="s">
        <v>7</v>
      </c>
      <c r="E389" t="str">
        <f>Table1[[#This Row],[Abbreviations]]</f>
        <v>Knaresborough Place</v>
      </c>
      <c r="F389" t="s">
        <v>585</v>
      </c>
      <c r="G389" t="str">
        <f xml:space="preserve"> PROPER(_xlfn.CONCAT(Table13[[#This Row],[Title]]," ",Table13[[#This Row],[First Name]]," ",Table13[[#This Row],[Last Name]]))</f>
        <v>Mrs Dortha Abel</v>
      </c>
      <c r="H389" t="str">
        <f t="shared" si="12"/>
        <v>Mrs D.Abel</v>
      </c>
      <c r="I389" t="str">
        <f t="shared" si="13"/>
        <v>F</v>
      </c>
    </row>
    <row r="390" spans="1:9" x14ac:dyDescent="0.3">
      <c r="A390">
        <v>387</v>
      </c>
      <c r="B390" t="s">
        <v>1619</v>
      </c>
      <c r="C390" t="s">
        <v>650</v>
      </c>
      <c r="D390" t="s">
        <v>7</v>
      </c>
      <c r="E390" t="str">
        <f>Table1[[#This Row],[Abbreviations]]</f>
        <v>Hythe Road</v>
      </c>
      <c r="F390" t="s">
        <v>1230</v>
      </c>
      <c r="G390" t="str">
        <f xml:space="preserve"> PROPER(_xlfn.CONCAT(Table13[[#This Row],[Title]]," ",Table13[[#This Row],[First Name]]," ",Table13[[#This Row],[Last Name]]))</f>
        <v>Mrs Karissa Hyde</v>
      </c>
      <c r="H390" t="str">
        <f t="shared" si="12"/>
        <v>Mrs K.Hyde</v>
      </c>
      <c r="I390" t="str">
        <f t="shared" si="13"/>
        <v>F</v>
      </c>
    </row>
    <row r="391" spans="1:9" x14ac:dyDescent="0.3">
      <c r="A391">
        <v>388</v>
      </c>
      <c r="B391" t="s">
        <v>775</v>
      </c>
      <c r="C391" t="s">
        <v>1621</v>
      </c>
      <c r="D391" t="s">
        <v>18</v>
      </c>
      <c r="E391" t="str">
        <f>Table1[[#This Row],[Abbreviations]]</f>
        <v>Dilke Street</v>
      </c>
      <c r="F391" t="s">
        <v>1623</v>
      </c>
      <c r="G391" t="str">
        <f xml:space="preserve"> PROPER(_xlfn.CONCAT(Table13[[#This Row],[Title]]," ",Table13[[#This Row],[First Name]]," ",Table13[[#This Row],[Last Name]]))</f>
        <v>Miss Lurlene Bassett</v>
      </c>
      <c r="H391" t="str">
        <f t="shared" si="12"/>
        <v>Miss L.Bassett</v>
      </c>
      <c r="I391" t="str">
        <f t="shared" si="13"/>
        <v>F</v>
      </c>
    </row>
    <row r="392" spans="1:9" x14ac:dyDescent="0.3">
      <c r="A392">
        <v>389</v>
      </c>
      <c r="B392" t="s">
        <v>200</v>
      </c>
      <c r="C392" t="s">
        <v>1624</v>
      </c>
      <c r="D392" t="s">
        <v>7</v>
      </c>
      <c r="E392" t="str">
        <f>Table1[[#This Row],[Abbreviations]]</f>
        <v>Tylney Avenue</v>
      </c>
      <c r="F392" t="s">
        <v>1626</v>
      </c>
      <c r="G392" t="str">
        <f xml:space="preserve"> PROPER(_xlfn.CONCAT(Table13[[#This Row],[Title]]," ",Table13[[#This Row],[First Name]]," ",Table13[[#This Row],[Last Name]]))</f>
        <v>Mrs Fredricka Barrera</v>
      </c>
      <c r="H392" t="str">
        <f t="shared" si="12"/>
        <v>Mrs F.Barrera</v>
      </c>
      <c r="I392" t="str">
        <f t="shared" si="13"/>
        <v>F</v>
      </c>
    </row>
    <row r="393" spans="1:9" x14ac:dyDescent="0.3">
      <c r="A393">
        <v>390</v>
      </c>
      <c r="B393" t="s">
        <v>1627</v>
      </c>
      <c r="C393" t="s">
        <v>772</v>
      </c>
      <c r="D393" t="s">
        <v>18</v>
      </c>
      <c r="E393" t="str">
        <f>Table1[[#This Row],[Abbreviations]]</f>
        <v>Dalemain Mews</v>
      </c>
      <c r="F393" t="s">
        <v>1629</v>
      </c>
      <c r="G393" t="str">
        <f xml:space="preserve"> PROPER(_xlfn.CONCAT(Table13[[#This Row],[Title]]," ",Table13[[#This Row],[First Name]]," ",Table13[[#This Row],[Last Name]]))</f>
        <v>Miss Gail Puckett</v>
      </c>
      <c r="H393" t="str">
        <f t="shared" si="12"/>
        <v>Miss G.Puckett</v>
      </c>
      <c r="I393" t="str">
        <f t="shared" si="13"/>
        <v>F</v>
      </c>
    </row>
    <row r="394" spans="1:9" x14ac:dyDescent="0.3">
      <c r="A394">
        <v>391</v>
      </c>
      <c r="B394" t="s">
        <v>1630</v>
      </c>
      <c r="C394" t="s">
        <v>665</v>
      </c>
      <c r="D394" t="s">
        <v>18</v>
      </c>
      <c r="E394" t="str">
        <f>Table1[[#This Row],[Abbreviations]]</f>
        <v>Bellendon Road</v>
      </c>
      <c r="F394" t="s">
        <v>1632</v>
      </c>
      <c r="G394" t="str">
        <f xml:space="preserve"> PROPER(_xlfn.CONCAT(Table13[[#This Row],[Title]]," ",Table13[[#This Row],[First Name]]," ",Table13[[#This Row],[Last Name]]))</f>
        <v>Miss Cristine Reyes</v>
      </c>
      <c r="H394" t="str">
        <f t="shared" si="12"/>
        <v>Miss C.Reyes</v>
      </c>
      <c r="I394" t="str">
        <f t="shared" si="13"/>
        <v>F</v>
      </c>
    </row>
    <row r="395" spans="1:9" x14ac:dyDescent="0.3">
      <c r="A395">
        <v>392</v>
      </c>
      <c r="B395" t="s">
        <v>1633</v>
      </c>
      <c r="C395" t="s">
        <v>1634</v>
      </c>
      <c r="D395" t="s">
        <v>7</v>
      </c>
      <c r="E395" t="str">
        <f>Table1[[#This Row],[Abbreviations]]</f>
        <v>Beech Street</v>
      </c>
      <c r="F395" t="s">
        <v>1635</v>
      </c>
      <c r="G395" t="str">
        <f xml:space="preserve"> PROPER(_xlfn.CONCAT(Table13[[#This Row],[Title]]," ",Table13[[#This Row],[First Name]]," ",Table13[[#This Row],[Last Name]]))</f>
        <v>Mrs Shawnna Hurt</v>
      </c>
      <c r="H395" t="str">
        <f t="shared" si="12"/>
        <v>Mrs S.Hurt</v>
      </c>
      <c r="I395" t="str">
        <f t="shared" si="13"/>
        <v>F</v>
      </c>
    </row>
    <row r="396" spans="1:9" x14ac:dyDescent="0.3">
      <c r="A396">
        <v>393</v>
      </c>
      <c r="B396" t="s">
        <v>1614</v>
      </c>
      <c r="C396" t="s">
        <v>1636</v>
      </c>
      <c r="D396" t="s">
        <v>7</v>
      </c>
      <c r="E396" t="str">
        <f>Table1[[#This Row],[Abbreviations]]</f>
        <v>Westbourne Park</v>
      </c>
      <c r="F396" t="s">
        <v>1638</v>
      </c>
      <c r="G396" t="str">
        <f xml:space="preserve"> PROPER(_xlfn.CONCAT(Table13[[#This Row],[Title]]," ",Table13[[#This Row],[First Name]]," ",Table13[[#This Row],[Last Name]]))</f>
        <v>Mrs Melynda Ali</v>
      </c>
      <c r="H396" t="str">
        <f t="shared" si="12"/>
        <v>Mrs M.Ali</v>
      </c>
      <c r="I396" t="str">
        <f t="shared" si="13"/>
        <v>F</v>
      </c>
    </row>
    <row r="397" spans="1:9" x14ac:dyDescent="0.3">
      <c r="A397">
        <v>394</v>
      </c>
      <c r="B397" t="s">
        <v>1639</v>
      </c>
      <c r="C397" t="s">
        <v>652</v>
      </c>
      <c r="D397" t="s">
        <v>7</v>
      </c>
      <c r="E397" t="str">
        <f>Table1[[#This Row],[Abbreviations]]</f>
        <v>Burtonhole Close</v>
      </c>
      <c r="F397" t="s">
        <v>1641</v>
      </c>
      <c r="G397" t="str">
        <f xml:space="preserve"> PROPER(_xlfn.CONCAT(Table13[[#This Row],[Title]]," ",Table13[[#This Row],[First Name]]," ",Table13[[#This Row],[Last Name]]))</f>
        <v>Mrs Maurine Clay</v>
      </c>
      <c r="H397" t="str">
        <f t="shared" si="12"/>
        <v>Mrs M.Clay</v>
      </c>
      <c r="I397" t="str">
        <f t="shared" si="13"/>
        <v>F</v>
      </c>
    </row>
    <row r="398" spans="1:9" x14ac:dyDescent="0.3">
      <c r="A398">
        <v>395</v>
      </c>
      <c r="B398" t="s">
        <v>1642</v>
      </c>
      <c r="C398" t="s">
        <v>1643</v>
      </c>
      <c r="D398" t="s">
        <v>18</v>
      </c>
      <c r="E398" t="str">
        <f>Table1[[#This Row],[Abbreviations]]</f>
        <v>Pritchard Place</v>
      </c>
      <c r="F398" t="s">
        <v>1645</v>
      </c>
      <c r="G398" t="str">
        <f xml:space="preserve"> PROPER(_xlfn.CONCAT(Table13[[#This Row],[Title]]," ",Table13[[#This Row],[First Name]]," ",Table13[[#This Row],[Last Name]]))</f>
        <v>Miss Towanda Dooley</v>
      </c>
      <c r="H398" t="str">
        <f t="shared" si="12"/>
        <v>Miss T.Dooley</v>
      </c>
      <c r="I398" t="str">
        <f t="shared" si="13"/>
        <v>F</v>
      </c>
    </row>
    <row r="399" spans="1:9" x14ac:dyDescent="0.3">
      <c r="A399">
        <v>396</v>
      </c>
      <c r="B399" t="s">
        <v>1646</v>
      </c>
      <c r="C399" t="s">
        <v>457</v>
      </c>
      <c r="D399" t="s">
        <v>7</v>
      </c>
      <c r="E399" t="str">
        <f>Table1[[#This Row],[Abbreviations]]</f>
        <v>Raymond Avenue</v>
      </c>
      <c r="F399" t="s">
        <v>1648</v>
      </c>
      <c r="G399" t="str">
        <f xml:space="preserve"> PROPER(_xlfn.CONCAT(Table13[[#This Row],[Title]]," ",Table13[[#This Row],[First Name]]," ",Table13[[#This Row],[Last Name]]))</f>
        <v>Mrs Signe Ross</v>
      </c>
      <c r="H399" t="str">
        <f t="shared" si="12"/>
        <v>Mrs S.Ross</v>
      </c>
      <c r="I399" t="str">
        <f t="shared" si="13"/>
        <v>F</v>
      </c>
    </row>
    <row r="400" spans="1:9" x14ac:dyDescent="0.3">
      <c r="A400">
        <v>397</v>
      </c>
      <c r="B400" t="s">
        <v>1649</v>
      </c>
      <c r="C400" t="s">
        <v>1005</v>
      </c>
      <c r="D400" t="s">
        <v>7</v>
      </c>
      <c r="E400" t="str">
        <f>Table1[[#This Row],[Abbreviations]]</f>
        <v>Truman Place</v>
      </c>
      <c r="F400" t="s">
        <v>1651</v>
      </c>
      <c r="G400" t="str">
        <f xml:space="preserve"> PROPER(_xlfn.CONCAT(Table13[[#This Row],[Title]]," ",Table13[[#This Row],[First Name]]," ",Table13[[#This Row],[Last Name]]))</f>
        <v>Mrs Hedy Hansen</v>
      </c>
      <c r="H400" t="str">
        <f t="shared" si="12"/>
        <v>Mrs H.Hansen</v>
      </c>
      <c r="I400" t="str">
        <f t="shared" si="13"/>
        <v>F</v>
      </c>
    </row>
    <row r="401" spans="1:9" x14ac:dyDescent="0.3">
      <c r="A401">
        <v>398</v>
      </c>
      <c r="B401" t="s">
        <v>1652</v>
      </c>
      <c r="C401" t="s">
        <v>1653</v>
      </c>
      <c r="D401" t="s">
        <v>18</v>
      </c>
      <c r="E401" t="str">
        <f>Table1[[#This Row],[Abbreviations]]</f>
        <v>Elgin Chambers</v>
      </c>
      <c r="F401" t="s">
        <v>186</v>
      </c>
      <c r="G401" t="str">
        <f xml:space="preserve"> PROPER(_xlfn.CONCAT(Table13[[#This Row],[Title]]," ",Table13[[#This Row],[First Name]]," ",Table13[[#This Row],[Last Name]]))</f>
        <v>Miss Myrtis Sams</v>
      </c>
      <c r="H401" t="str">
        <f t="shared" si="12"/>
        <v>Miss M.Sams</v>
      </c>
      <c r="I401" t="str">
        <f t="shared" si="13"/>
        <v>F</v>
      </c>
    </row>
    <row r="402" spans="1:9" x14ac:dyDescent="0.3">
      <c r="A402">
        <v>399</v>
      </c>
      <c r="B402" t="s">
        <v>1655</v>
      </c>
      <c r="C402" t="s">
        <v>1276</v>
      </c>
      <c r="D402" t="s">
        <v>18</v>
      </c>
      <c r="E402" t="str">
        <f>Table1[[#This Row],[Abbreviations]]</f>
        <v>Ryecotes Mead</v>
      </c>
      <c r="F402" t="s">
        <v>1657</v>
      </c>
      <c r="G402" t="str">
        <f xml:space="preserve"> PROPER(_xlfn.CONCAT(Table13[[#This Row],[Title]]," ",Table13[[#This Row],[First Name]]," ",Table13[[#This Row],[Last Name]]))</f>
        <v>Miss Liliana Dillard</v>
      </c>
      <c r="H402" t="str">
        <f t="shared" si="12"/>
        <v>Miss L.Dillard</v>
      </c>
      <c r="I402" t="str">
        <f t="shared" si="13"/>
        <v>F</v>
      </c>
    </row>
    <row r="403" spans="1:9" x14ac:dyDescent="0.3">
      <c r="A403">
        <v>400</v>
      </c>
      <c r="B403" t="s">
        <v>1658</v>
      </c>
      <c r="C403" t="s">
        <v>1659</v>
      </c>
      <c r="D403" t="s">
        <v>18</v>
      </c>
      <c r="E403" t="str">
        <f>Table1[[#This Row],[Abbreviations]]</f>
        <v>Wellington Cottages</v>
      </c>
      <c r="F403" t="s">
        <v>1661</v>
      </c>
      <c r="G403" t="str">
        <f xml:space="preserve"> PROPER(_xlfn.CONCAT(Table13[[#This Row],[Title]]," ",Table13[[#This Row],[First Name]]," ",Table13[[#This Row],[Last Name]]))</f>
        <v>Miss Florrie Dumas</v>
      </c>
      <c r="H403" t="str">
        <f t="shared" si="12"/>
        <v>Miss F.Dumas</v>
      </c>
      <c r="I403" t="str">
        <f t="shared" si="13"/>
        <v>F</v>
      </c>
    </row>
    <row r="404" spans="1:9" x14ac:dyDescent="0.3">
      <c r="A404">
        <v>401</v>
      </c>
      <c r="B404" t="s">
        <v>663</v>
      </c>
      <c r="C404" t="s">
        <v>610</v>
      </c>
      <c r="D404" t="s">
        <v>18</v>
      </c>
      <c r="E404" t="str">
        <f>Table1[[#This Row],[Abbreviations]]</f>
        <v>Bethel Mews</v>
      </c>
      <c r="F404" t="s">
        <v>1663</v>
      </c>
      <c r="G404" t="str">
        <f xml:space="preserve"> PROPER(_xlfn.CONCAT(Table13[[#This Row],[Title]]," ",Table13[[#This Row],[First Name]]," ",Table13[[#This Row],[Last Name]]))</f>
        <v>Miss Anya Mcelroy</v>
      </c>
      <c r="H404" t="str">
        <f t="shared" si="12"/>
        <v>Miss A.Mcelroy</v>
      </c>
      <c r="I404" t="str">
        <f t="shared" si="13"/>
        <v>F</v>
      </c>
    </row>
    <row r="405" spans="1:9" x14ac:dyDescent="0.3">
      <c r="A405">
        <v>402</v>
      </c>
      <c r="B405" t="s">
        <v>1664</v>
      </c>
      <c r="C405" t="s">
        <v>1665</v>
      </c>
      <c r="D405" t="s">
        <v>18</v>
      </c>
      <c r="E405" t="str">
        <f>Table1[[#This Row],[Abbreviations]]</f>
        <v>Emgah Square</v>
      </c>
      <c r="F405" t="s">
        <v>1667</v>
      </c>
      <c r="G405" t="str">
        <f xml:space="preserve"> PROPER(_xlfn.CONCAT(Table13[[#This Row],[Title]]," ",Table13[[#This Row],[First Name]]," ",Table13[[#This Row],[Last Name]]))</f>
        <v>Miss Dorcas Belcher</v>
      </c>
      <c r="H405" t="str">
        <f t="shared" si="12"/>
        <v>Miss D.Belcher</v>
      </c>
      <c r="I405" t="str">
        <f t="shared" si="13"/>
        <v>F</v>
      </c>
    </row>
    <row r="406" spans="1:9" x14ac:dyDescent="0.3">
      <c r="A406">
        <v>403</v>
      </c>
      <c r="B406" t="s">
        <v>362</v>
      </c>
      <c r="C406" t="s">
        <v>1054</v>
      </c>
      <c r="D406" t="s">
        <v>18</v>
      </c>
      <c r="E406" t="str">
        <f>Table1[[#This Row],[Abbreviations]]</f>
        <v>Tunworth Close</v>
      </c>
      <c r="F406" t="s">
        <v>45</v>
      </c>
      <c r="G406" t="str">
        <f xml:space="preserve"> PROPER(_xlfn.CONCAT(Table13[[#This Row],[Title]]," ",Table13[[#This Row],[First Name]]," ",Table13[[#This Row],[Last Name]]))</f>
        <v>Miss Phylis Rosales</v>
      </c>
      <c r="H406" t="str">
        <f t="shared" si="12"/>
        <v>Miss P.Rosales</v>
      </c>
      <c r="I406" t="str">
        <f t="shared" si="13"/>
        <v>F</v>
      </c>
    </row>
    <row r="407" spans="1:9" x14ac:dyDescent="0.3">
      <c r="A407">
        <v>404</v>
      </c>
      <c r="B407" t="s">
        <v>1669</v>
      </c>
      <c r="C407" t="s">
        <v>1670</v>
      </c>
      <c r="D407" t="s">
        <v>18</v>
      </c>
      <c r="E407" t="str">
        <f>Table1[[#This Row],[Abbreviations]]</f>
        <v>Lodge Avenue</v>
      </c>
      <c r="F407" t="s">
        <v>1672</v>
      </c>
      <c r="G407" t="str">
        <f xml:space="preserve"> PROPER(_xlfn.CONCAT(Table13[[#This Row],[Title]]," ",Table13[[#This Row],[First Name]]," ",Table13[[#This Row],[Last Name]]))</f>
        <v>Miss Freeda Reynolds</v>
      </c>
      <c r="H407" t="str">
        <f t="shared" si="12"/>
        <v>Miss F.Reynolds</v>
      </c>
      <c r="I407" t="str">
        <f t="shared" si="13"/>
        <v>F</v>
      </c>
    </row>
    <row r="408" spans="1:9" x14ac:dyDescent="0.3">
      <c r="A408">
        <v>405</v>
      </c>
      <c r="B408" t="s">
        <v>1673</v>
      </c>
      <c r="C408" t="s">
        <v>143</v>
      </c>
      <c r="D408" t="s">
        <v>18</v>
      </c>
      <c r="E408" t="str">
        <f>Table1[[#This Row],[Abbreviations]]</f>
        <v>Thornsett Terrace</v>
      </c>
      <c r="F408" t="s">
        <v>548</v>
      </c>
      <c r="G408" t="str">
        <f xml:space="preserve"> PROPER(_xlfn.CONCAT(Table13[[#This Row],[Title]]," ",Table13[[#This Row],[First Name]]," ",Table13[[#This Row],[Last Name]]))</f>
        <v>Miss Argentina Jack</v>
      </c>
      <c r="H408" t="str">
        <f t="shared" si="12"/>
        <v>Miss A.Jack</v>
      </c>
      <c r="I408" t="str">
        <f t="shared" si="13"/>
        <v>F</v>
      </c>
    </row>
    <row r="409" spans="1:9" x14ac:dyDescent="0.3">
      <c r="A409">
        <v>406</v>
      </c>
      <c r="B409" t="s">
        <v>1675</v>
      </c>
      <c r="C409" t="s">
        <v>1596</v>
      </c>
      <c r="D409" t="s">
        <v>18</v>
      </c>
      <c r="E409" t="str">
        <f>Table1[[#This Row],[Abbreviations]]</f>
        <v>Pell Street</v>
      </c>
      <c r="F409" t="s">
        <v>579</v>
      </c>
      <c r="G409" t="str">
        <f xml:space="preserve"> PROPER(_xlfn.CONCAT(Table13[[#This Row],[Title]]," ",Table13[[#This Row],[First Name]]," ",Table13[[#This Row],[Last Name]]))</f>
        <v>Miss Wava King</v>
      </c>
      <c r="H409" t="str">
        <f t="shared" si="12"/>
        <v>Miss W.King</v>
      </c>
      <c r="I409" t="str">
        <f t="shared" si="13"/>
        <v>F</v>
      </c>
    </row>
    <row r="410" spans="1:9" x14ac:dyDescent="0.3">
      <c r="A410">
        <v>407</v>
      </c>
      <c r="B410" t="s">
        <v>1677</v>
      </c>
      <c r="C410" t="s">
        <v>1678</v>
      </c>
      <c r="D410" t="s">
        <v>7</v>
      </c>
      <c r="E410" t="str">
        <f>Table1[[#This Row],[Abbreviations]]</f>
        <v>Mews Gleagall</v>
      </c>
      <c r="F410" t="s">
        <v>725</v>
      </c>
      <c r="G410" t="str">
        <f xml:space="preserve"> PROPER(_xlfn.CONCAT(Table13[[#This Row],[Title]]," ",Table13[[#This Row],[First Name]]," ",Table13[[#This Row],[Last Name]]))</f>
        <v>Mrs Deanna Rasmussen</v>
      </c>
      <c r="H410" t="str">
        <f t="shared" si="12"/>
        <v>Mrs D.Rasmussen</v>
      </c>
      <c r="I410" t="str">
        <f t="shared" si="13"/>
        <v>F</v>
      </c>
    </row>
    <row r="411" spans="1:9" x14ac:dyDescent="0.3">
      <c r="A411">
        <v>408</v>
      </c>
      <c r="B411" t="s">
        <v>1680</v>
      </c>
      <c r="C411" t="s">
        <v>455</v>
      </c>
      <c r="D411" t="s">
        <v>18</v>
      </c>
      <c r="E411" t="str">
        <f>Table1[[#This Row],[Abbreviations]]</f>
        <v>Broomfield Street</v>
      </c>
      <c r="F411" t="s">
        <v>1682</v>
      </c>
      <c r="G411" t="str">
        <f xml:space="preserve"> PROPER(_xlfn.CONCAT(Table13[[#This Row],[Title]]," ",Table13[[#This Row],[First Name]]," ",Table13[[#This Row],[Last Name]]))</f>
        <v>Miss Casandra Jolly</v>
      </c>
      <c r="H411" t="str">
        <f t="shared" si="12"/>
        <v>Miss C.Jolly</v>
      </c>
      <c r="I411" t="str">
        <f t="shared" si="13"/>
        <v>F</v>
      </c>
    </row>
    <row r="412" spans="1:9" x14ac:dyDescent="0.3">
      <c r="A412">
        <v>409</v>
      </c>
      <c r="B412" t="s">
        <v>1096</v>
      </c>
      <c r="C412" t="s">
        <v>540</v>
      </c>
      <c r="D412" t="s">
        <v>7</v>
      </c>
      <c r="E412" t="str">
        <f>Table1[[#This Row],[Abbreviations]]</f>
        <v>Edenbridge Close</v>
      </c>
      <c r="F412" t="s">
        <v>1635</v>
      </c>
      <c r="G412" t="str">
        <f xml:space="preserve"> PROPER(_xlfn.CONCAT(Table13[[#This Row],[Title]]," ",Table13[[#This Row],[First Name]]," ",Table13[[#This Row],[Last Name]]))</f>
        <v>Mrs Christi Stephens</v>
      </c>
      <c r="H412" t="str">
        <f t="shared" si="12"/>
        <v>Mrs C.Stephens</v>
      </c>
      <c r="I412" t="str">
        <f t="shared" si="13"/>
        <v>F</v>
      </c>
    </row>
    <row r="413" spans="1:9" x14ac:dyDescent="0.3">
      <c r="A413">
        <v>410</v>
      </c>
      <c r="B413" t="s">
        <v>1684</v>
      </c>
      <c r="C413" t="s">
        <v>1685</v>
      </c>
      <c r="D413" t="s">
        <v>7</v>
      </c>
      <c r="E413" t="str">
        <f>Table1[[#This Row],[Abbreviations]]</f>
        <v>Hemingford Terrace</v>
      </c>
      <c r="F413" t="s">
        <v>1687</v>
      </c>
      <c r="G413" t="str">
        <f xml:space="preserve"> PROPER(_xlfn.CONCAT(Table13[[#This Row],[Title]]," ",Table13[[#This Row],[First Name]]," ",Table13[[#This Row],[Last Name]]))</f>
        <v>Mrs Dorene Polk</v>
      </c>
      <c r="H413" t="str">
        <f t="shared" si="12"/>
        <v>Mrs D.Polk</v>
      </c>
      <c r="I413" t="str">
        <f t="shared" si="13"/>
        <v>F</v>
      </c>
    </row>
    <row r="414" spans="1:9" x14ac:dyDescent="0.3">
      <c r="A414">
        <v>411</v>
      </c>
      <c r="B414" t="s">
        <v>1688</v>
      </c>
      <c r="C414" t="s">
        <v>1689</v>
      </c>
      <c r="D414" t="s">
        <v>55</v>
      </c>
      <c r="E414" t="str">
        <f>Table1[[#This Row],[Abbreviations]]</f>
        <v>Porters Place</v>
      </c>
      <c r="F414" t="s">
        <v>1031</v>
      </c>
      <c r="G414" t="str">
        <f xml:space="preserve"> PROPER(_xlfn.CONCAT(Table13[[#This Row],[Title]]," ",Table13[[#This Row],[First Name]]," ",Table13[[#This Row],[Last Name]]))</f>
        <v>Prof Christeen Ferreira</v>
      </c>
      <c r="H414" t="str">
        <f t="shared" si="12"/>
        <v>Prof C.Ferreira</v>
      </c>
      <c r="I414" t="str">
        <f t="shared" si="13"/>
        <v>F</v>
      </c>
    </row>
    <row r="415" spans="1:9" x14ac:dyDescent="0.3">
      <c r="A415">
        <v>412</v>
      </c>
      <c r="B415" t="s">
        <v>807</v>
      </c>
      <c r="C415" t="s">
        <v>1691</v>
      </c>
      <c r="D415" t="s">
        <v>7</v>
      </c>
      <c r="E415" t="str">
        <f>Table1[[#This Row],[Abbreviations]]</f>
        <v>Hendre Cottages</v>
      </c>
      <c r="F415" t="s">
        <v>890</v>
      </c>
      <c r="G415" t="str">
        <f xml:space="preserve"> PROPER(_xlfn.CONCAT(Table13[[#This Row],[Title]]," ",Table13[[#This Row],[First Name]]," ",Table13[[#This Row],[Last Name]]))</f>
        <v>Mrs Antonette Pierce</v>
      </c>
      <c r="H415" t="str">
        <f t="shared" si="12"/>
        <v>Mrs A.Pierce</v>
      </c>
      <c r="I415" t="str">
        <f t="shared" si="13"/>
        <v>F</v>
      </c>
    </row>
    <row r="416" spans="1:9" x14ac:dyDescent="0.3">
      <c r="A416">
        <v>413</v>
      </c>
      <c r="B416" t="s">
        <v>1693</v>
      </c>
      <c r="C416" t="s">
        <v>440</v>
      </c>
      <c r="D416" t="s">
        <v>7</v>
      </c>
      <c r="E416" t="str">
        <f>Table1[[#This Row],[Abbreviations]]</f>
        <v>Gerry Raffles</v>
      </c>
      <c r="F416" t="s">
        <v>1695</v>
      </c>
      <c r="G416" t="str">
        <f xml:space="preserve"> PROPER(_xlfn.CONCAT(Table13[[#This Row],[Title]]," ",Table13[[#This Row],[First Name]]," ",Table13[[#This Row],[Last Name]]))</f>
        <v>Mrs Reda Kent</v>
      </c>
      <c r="H416" t="str">
        <f t="shared" si="12"/>
        <v>Mrs R.Kent</v>
      </c>
      <c r="I416" t="str">
        <f t="shared" si="13"/>
        <v>F</v>
      </c>
    </row>
    <row r="417" spans="1:9" x14ac:dyDescent="0.3">
      <c r="A417">
        <v>414</v>
      </c>
      <c r="B417" t="s">
        <v>1696</v>
      </c>
      <c r="C417" t="s">
        <v>1697</v>
      </c>
      <c r="D417" t="s">
        <v>18</v>
      </c>
      <c r="E417" t="str">
        <f>Table1[[#This Row],[Abbreviations]]</f>
        <v>Hyndewood</v>
      </c>
      <c r="F417" t="s">
        <v>655</v>
      </c>
      <c r="G417" t="str">
        <f xml:space="preserve"> PROPER(_xlfn.CONCAT(Table13[[#This Row],[Title]]," ",Table13[[#This Row],[First Name]]," ",Table13[[#This Row],[Last Name]]))</f>
        <v>Miss Chiquita Mclain</v>
      </c>
      <c r="H417" t="str">
        <f t="shared" si="12"/>
        <v>Miss C.Mclain</v>
      </c>
      <c r="I417" t="str">
        <f t="shared" si="13"/>
        <v>F</v>
      </c>
    </row>
    <row r="418" spans="1:9" x14ac:dyDescent="0.3">
      <c r="A418">
        <v>415</v>
      </c>
      <c r="B418" t="s">
        <v>1699</v>
      </c>
      <c r="C418" t="s">
        <v>1700</v>
      </c>
      <c r="D418" t="s">
        <v>7</v>
      </c>
      <c r="E418" t="str">
        <f>Table1[[#This Row],[Abbreviations]]</f>
        <v>Thrale Almshouses</v>
      </c>
      <c r="F418" t="s">
        <v>1702</v>
      </c>
      <c r="G418" t="str">
        <f xml:space="preserve"> PROPER(_xlfn.CONCAT(Table13[[#This Row],[Title]]," ",Table13[[#This Row],[First Name]]," ",Table13[[#This Row],[Last Name]]))</f>
        <v>Mrs Barb Caron</v>
      </c>
      <c r="H418" t="str">
        <f t="shared" si="12"/>
        <v>Mrs B.Caron</v>
      </c>
      <c r="I418" t="str">
        <f t="shared" si="13"/>
        <v>F</v>
      </c>
    </row>
    <row r="419" spans="1:9" x14ac:dyDescent="0.3">
      <c r="A419">
        <v>416</v>
      </c>
      <c r="B419" t="s">
        <v>1703</v>
      </c>
      <c r="C419" t="s">
        <v>1704</v>
      </c>
      <c r="D419" t="s">
        <v>71</v>
      </c>
      <c r="E419" t="str">
        <f>Table1[[#This Row],[Abbreviations]]</f>
        <v>White Church</v>
      </c>
      <c r="F419" t="s">
        <v>1251</v>
      </c>
      <c r="G419" t="str">
        <f xml:space="preserve"> PROPER(_xlfn.CONCAT(Table13[[#This Row],[Title]]," ",Table13[[#This Row],[First Name]]," ",Table13[[#This Row],[Last Name]]))</f>
        <v>Ms Madelyn Esparza</v>
      </c>
      <c r="H419" t="str">
        <f t="shared" si="12"/>
        <v>Ms M.Esparza</v>
      </c>
      <c r="I419" t="str">
        <f t="shared" si="13"/>
        <v>F</v>
      </c>
    </row>
    <row r="420" spans="1:9" x14ac:dyDescent="0.3">
      <c r="A420">
        <v>417</v>
      </c>
      <c r="B420" t="s">
        <v>1706</v>
      </c>
      <c r="C420" t="s">
        <v>1707</v>
      </c>
      <c r="D420" t="s">
        <v>71</v>
      </c>
      <c r="E420" t="str">
        <f>Table1[[#This Row],[Abbreviations]]</f>
        <v>Radcliffe Avenue</v>
      </c>
      <c r="F420" t="s">
        <v>1709</v>
      </c>
      <c r="G420" t="str">
        <f xml:space="preserve"> PROPER(_xlfn.CONCAT(Table13[[#This Row],[Title]]," ",Table13[[#This Row],[First Name]]," ",Table13[[#This Row],[Last Name]]))</f>
        <v>Ms Dinah Sullivan</v>
      </c>
      <c r="H420" t="str">
        <f t="shared" si="12"/>
        <v>Ms D.Sullivan</v>
      </c>
      <c r="I420" t="str">
        <f t="shared" si="13"/>
        <v>F</v>
      </c>
    </row>
    <row r="421" spans="1:9" x14ac:dyDescent="0.3">
      <c r="A421">
        <v>418</v>
      </c>
      <c r="B421" t="s">
        <v>1710</v>
      </c>
      <c r="C421" t="s">
        <v>1711</v>
      </c>
      <c r="D421" t="s">
        <v>7</v>
      </c>
      <c r="E421" t="str">
        <f>Table1[[#This Row],[Abbreviations]]</f>
        <v>Churston Mansions</v>
      </c>
      <c r="F421" t="s">
        <v>1713</v>
      </c>
      <c r="G421" t="str">
        <f xml:space="preserve"> PROPER(_xlfn.CONCAT(Table13[[#This Row],[Title]]," ",Table13[[#This Row],[First Name]]," ",Table13[[#This Row],[Last Name]]))</f>
        <v>Mrs Shawnta Higgins</v>
      </c>
      <c r="H421" t="str">
        <f t="shared" si="12"/>
        <v>Mrs S.Higgins</v>
      </c>
      <c r="I421" t="str">
        <f t="shared" si="13"/>
        <v>F</v>
      </c>
    </row>
    <row r="422" spans="1:9" x14ac:dyDescent="0.3">
      <c r="A422">
        <v>419</v>
      </c>
      <c r="B422" t="s">
        <v>1714</v>
      </c>
      <c r="C422" t="s">
        <v>1715</v>
      </c>
      <c r="D422" t="s">
        <v>18</v>
      </c>
      <c r="E422" t="str">
        <f>Table1[[#This Row],[Abbreviations]]</f>
        <v>Bowness Crescent</v>
      </c>
      <c r="F422" t="s">
        <v>1651</v>
      </c>
      <c r="G422" t="str">
        <f xml:space="preserve"> PROPER(_xlfn.CONCAT(Table13[[#This Row],[Title]]," ",Table13[[#This Row],[First Name]]," ",Table13[[#This Row],[Last Name]]))</f>
        <v>Miss Melida Cartwright</v>
      </c>
      <c r="H422" t="str">
        <f t="shared" si="12"/>
        <v>Miss M.Cartwright</v>
      </c>
      <c r="I422" t="str">
        <f t="shared" si="13"/>
        <v>F</v>
      </c>
    </row>
    <row r="423" spans="1:9" x14ac:dyDescent="0.3">
      <c r="A423">
        <v>420</v>
      </c>
      <c r="B423" t="s">
        <v>1717</v>
      </c>
      <c r="C423" t="s">
        <v>398</v>
      </c>
      <c r="D423" t="s">
        <v>18</v>
      </c>
      <c r="E423" t="str">
        <f>Table1[[#This Row],[Abbreviations]]</f>
        <v>Gleneagles Close</v>
      </c>
      <c r="F423" t="s">
        <v>1247</v>
      </c>
      <c r="G423" t="str">
        <f xml:space="preserve"> PROPER(_xlfn.CONCAT(Table13[[#This Row],[Title]]," ",Table13[[#This Row],[First Name]]," ",Table13[[#This Row],[Last Name]]))</f>
        <v>Miss Vickie Barrow</v>
      </c>
      <c r="H423" t="str">
        <f t="shared" si="12"/>
        <v>Miss V.Barrow</v>
      </c>
      <c r="I423" t="str">
        <f t="shared" si="13"/>
        <v>F</v>
      </c>
    </row>
    <row r="424" spans="1:9" x14ac:dyDescent="0.3">
      <c r="A424">
        <v>421</v>
      </c>
      <c r="B424" t="s">
        <v>1719</v>
      </c>
      <c r="C424" t="s">
        <v>1720</v>
      </c>
      <c r="D424" t="s">
        <v>18</v>
      </c>
      <c r="E424" t="str">
        <f>Table1[[#This Row],[Abbreviations]]</f>
        <v>Brailsford Villas</v>
      </c>
      <c r="F424" t="s">
        <v>1722</v>
      </c>
      <c r="G424" t="str">
        <f xml:space="preserve"> PROPER(_xlfn.CONCAT(Table13[[#This Row],[Title]]," ",Table13[[#This Row],[First Name]]," ",Table13[[#This Row],[Last Name]]))</f>
        <v>Miss Keri Kearney</v>
      </c>
      <c r="H424" t="str">
        <f t="shared" si="12"/>
        <v>Miss K.Kearney</v>
      </c>
      <c r="I424" t="str">
        <f t="shared" si="13"/>
        <v>F</v>
      </c>
    </row>
    <row r="425" spans="1:9" x14ac:dyDescent="0.3">
      <c r="A425">
        <v>422</v>
      </c>
      <c r="B425" t="s">
        <v>1723</v>
      </c>
      <c r="C425" t="s">
        <v>597</v>
      </c>
      <c r="D425" t="s">
        <v>7</v>
      </c>
      <c r="E425" t="str">
        <f>Table1[[#This Row],[Abbreviations]]</f>
        <v>Voluntary Place</v>
      </c>
      <c r="F425" t="s">
        <v>579</v>
      </c>
      <c r="G425" t="str">
        <f xml:space="preserve"> PROPER(_xlfn.CONCAT(Table13[[#This Row],[Title]]," ",Table13[[#This Row],[First Name]]," ",Table13[[#This Row],[Last Name]]))</f>
        <v>Mrs Zandra Bass</v>
      </c>
      <c r="H425" t="str">
        <f t="shared" si="12"/>
        <v>Mrs Z.Bass</v>
      </c>
      <c r="I425" t="str">
        <f t="shared" si="13"/>
        <v>F</v>
      </c>
    </row>
    <row r="426" spans="1:9" x14ac:dyDescent="0.3">
      <c r="A426">
        <v>423</v>
      </c>
      <c r="B426" t="s">
        <v>1725</v>
      </c>
      <c r="C426" t="s">
        <v>1517</v>
      </c>
      <c r="D426" t="s">
        <v>18</v>
      </c>
      <c r="E426" t="str">
        <f>Table1[[#This Row],[Abbreviations]]</f>
        <v>Childs Cottages</v>
      </c>
      <c r="F426" t="s">
        <v>1727</v>
      </c>
      <c r="G426" t="str">
        <f xml:space="preserve"> PROPER(_xlfn.CONCAT(Table13[[#This Row],[Title]]," ",Table13[[#This Row],[First Name]]," ",Table13[[#This Row],[Last Name]]))</f>
        <v>Miss Brianne Bradshaw</v>
      </c>
      <c r="H426" t="str">
        <f t="shared" si="12"/>
        <v>Miss B.Bradshaw</v>
      </c>
      <c r="I426" t="str">
        <f t="shared" si="13"/>
        <v>F</v>
      </c>
    </row>
    <row r="427" spans="1:9" x14ac:dyDescent="0.3">
      <c r="A427">
        <v>424</v>
      </c>
      <c r="B427" t="s">
        <v>1728</v>
      </c>
      <c r="C427" t="s">
        <v>895</v>
      </c>
      <c r="D427" t="s">
        <v>71</v>
      </c>
      <c r="E427" t="str">
        <f>Table1[[#This Row],[Abbreviations]]</f>
        <v>Barnabas Road</v>
      </c>
      <c r="F427" t="s">
        <v>1730</v>
      </c>
      <c r="G427" t="str">
        <f xml:space="preserve"> PROPER(_xlfn.CONCAT(Table13[[#This Row],[Title]]," ",Table13[[#This Row],[First Name]]," ",Table13[[#This Row],[Last Name]]))</f>
        <v>Ms Mamie Marion</v>
      </c>
      <c r="H427" t="str">
        <f t="shared" si="12"/>
        <v>Ms M.Marion</v>
      </c>
      <c r="I427" t="str">
        <f t="shared" si="13"/>
        <v>F</v>
      </c>
    </row>
    <row r="428" spans="1:9" x14ac:dyDescent="0.3">
      <c r="A428">
        <v>425</v>
      </c>
      <c r="B428" t="s">
        <v>1731</v>
      </c>
      <c r="C428" t="s">
        <v>1732</v>
      </c>
      <c r="D428" t="s">
        <v>7</v>
      </c>
      <c r="E428" t="str">
        <f>Table1[[#This Row],[Abbreviations]]</f>
        <v>Salvin Road</v>
      </c>
      <c r="F428" t="s">
        <v>562</v>
      </c>
      <c r="G428" t="str">
        <f xml:space="preserve"> PROPER(_xlfn.CONCAT(Table13[[#This Row],[Title]]," ",Table13[[#This Row],[First Name]]," ",Table13[[#This Row],[Last Name]]))</f>
        <v>Mrs Tami Powers</v>
      </c>
      <c r="H428" t="str">
        <f t="shared" si="12"/>
        <v>Mrs T.Powers</v>
      </c>
      <c r="I428" t="str">
        <f t="shared" si="13"/>
        <v>F</v>
      </c>
    </row>
    <row r="429" spans="1:9" x14ac:dyDescent="0.3">
      <c r="A429">
        <v>426</v>
      </c>
      <c r="B429" t="s">
        <v>1734</v>
      </c>
      <c r="C429" t="s">
        <v>1735</v>
      </c>
      <c r="D429" t="s">
        <v>18</v>
      </c>
      <c r="E429" t="str">
        <f>Table1[[#This Row],[Abbreviations]]</f>
        <v>Johns Street</v>
      </c>
      <c r="F429" t="s">
        <v>1737</v>
      </c>
      <c r="G429" t="str">
        <f xml:space="preserve"> PROPER(_xlfn.CONCAT(Table13[[#This Row],[Title]]," ",Table13[[#This Row],[First Name]]," ",Table13[[#This Row],[Last Name]]))</f>
        <v>Miss Micki Matthews</v>
      </c>
      <c r="H429" t="str">
        <f t="shared" si="12"/>
        <v>Miss M.Matthews</v>
      </c>
      <c r="I429" t="str">
        <f t="shared" si="13"/>
        <v>F</v>
      </c>
    </row>
    <row r="430" spans="1:9" x14ac:dyDescent="0.3">
      <c r="A430">
        <v>427</v>
      </c>
      <c r="B430" t="s">
        <v>1738</v>
      </c>
      <c r="C430" t="s">
        <v>1739</v>
      </c>
      <c r="D430" t="s">
        <v>7</v>
      </c>
      <c r="E430" t="str">
        <f>Table1[[#This Row],[Abbreviations]]</f>
        <v>Dolman Close</v>
      </c>
      <c r="F430" t="s">
        <v>1598</v>
      </c>
      <c r="G430" t="str">
        <f xml:space="preserve"> PROPER(_xlfn.CONCAT(Table13[[#This Row],[Title]]," ",Table13[[#This Row],[First Name]]," ",Table13[[#This Row],[Last Name]]))</f>
        <v>Mrs Laticia Norwood</v>
      </c>
      <c r="H430" t="str">
        <f t="shared" si="12"/>
        <v>Mrs L.Norwood</v>
      </c>
      <c r="I430" t="str">
        <f t="shared" si="13"/>
        <v>F</v>
      </c>
    </row>
    <row r="431" spans="1:9" x14ac:dyDescent="0.3">
      <c r="A431">
        <v>428</v>
      </c>
      <c r="B431" t="s">
        <v>1741</v>
      </c>
      <c r="C431" t="s">
        <v>1742</v>
      </c>
      <c r="D431" t="s">
        <v>18</v>
      </c>
      <c r="E431" t="str">
        <f>Table1[[#This Row],[Abbreviations]]</f>
        <v>Marlborough Place</v>
      </c>
      <c r="F431" t="s">
        <v>1744</v>
      </c>
      <c r="G431" t="str">
        <f xml:space="preserve"> PROPER(_xlfn.CONCAT(Table13[[#This Row],[Title]]," ",Table13[[#This Row],[First Name]]," ",Table13[[#This Row],[Last Name]]))</f>
        <v>Miss Erna Harrell</v>
      </c>
      <c r="H431" t="str">
        <f t="shared" si="12"/>
        <v>Miss E.Harrell</v>
      </c>
      <c r="I431" t="str">
        <f t="shared" si="13"/>
        <v>F</v>
      </c>
    </row>
    <row r="432" spans="1:9" x14ac:dyDescent="0.3">
      <c r="A432">
        <v>429</v>
      </c>
      <c r="B432" t="s">
        <v>1745</v>
      </c>
      <c r="C432" t="s">
        <v>746</v>
      </c>
      <c r="D432" t="s">
        <v>7</v>
      </c>
      <c r="E432" t="str">
        <f>Table1[[#This Row],[Abbreviations]]</f>
        <v>Brockwell Park</v>
      </c>
      <c r="F432" t="s">
        <v>700</v>
      </c>
      <c r="G432" t="str">
        <f xml:space="preserve"> PROPER(_xlfn.CONCAT(Table13[[#This Row],[Title]]," ",Table13[[#This Row],[First Name]]," ",Table13[[#This Row],[Last Name]]))</f>
        <v>Mrs Gricelda Gunn</v>
      </c>
      <c r="H432" t="str">
        <f t="shared" si="12"/>
        <v>Mrs G.Gunn</v>
      </c>
      <c r="I432" t="str">
        <f t="shared" si="13"/>
        <v>F</v>
      </c>
    </row>
    <row r="433" spans="1:9" x14ac:dyDescent="0.3">
      <c r="A433">
        <v>430</v>
      </c>
      <c r="B433" t="s">
        <v>1747</v>
      </c>
      <c r="C433" t="s">
        <v>1748</v>
      </c>
      <c r="D433" t="s">
        <v>18</v>
      </c>
      <c r="E433" t="str">
        <f>Table1[[#This Row],[Abbreviations]]</f>
        <v>Middlesex Place</v>
      </c>
      <c r="F433" t="s">
        <v>1750</v>
      </c>
      <c r="G433" t="str">
        <f xml:space="preserve"> PROPER(_xlfn.CONCAT(Table13[[#This Row],[Title]]," ",Table13[[#This Row],[First Name]]," ",Table13[[#This Row],[Last Name]]))</f>
        <v>Miss Jacquline Mccray</v>
      </c>
      <c r="H433" t="str">
        <f t="shared" si="12"/>
        <v>Miss J.Mccray</v>
      </c>
      <c r="I433" t="str">
        <f t="shared" si="13"/>
        <v>F</v>
      </c>
    </row>
    <row r="434" spans="1:9" x14ac:dyDescent="0.3">
      <c r="A434">
        <v>431</v>
      </c>
      <c r="B434" t="s">
        <v>1751</v>
      </c>
      <c r="C434" t="s">
        <v>1752</v>
      </c>
      <c r="D434" t="s">
        <v>7</v>
      </c>
      <c r="E434" t="str">
        <f>Table1[[#This Row],[Abbreviations]]</f>
        <v>Fenchurch Avenue</v>
      </c>
      <c r="F434" t="s">
        <v>1754</v>
      </c>
      <c r="G434" t="str">
        <f xml:space="preserve"> PROPER(_xlfn.CONCAT(Table13[[#This Row],[Title]]," ",Table13[[#This Row],[First Name]]," ",Table13[[#This Row],[Last Name]]))</f>
        <v>Mrs Portia Bergman</v>
      </c>
      <c r="H434" t="str">
        <f t="shared" si="12"/>
        <v>Mrs P.Bergman</v>
      </c>
      <c r="I434" t="str">
        <f t="shared" si="13"/>
        <v>F</v>
      </c>
    </row>
    <row r="435" spans="1:9" x14ac:dyDescent="0.3">
      <c r="A435">
        <v>432</v>
      </c>
      <c r="B435" t="s">
        <v>1419</v>
      </c>
      <c r="C435" t="s">
        <v>420</v>
      </c>
      <c r="D435" t="s">
        <v>7</v>
      </c>
      <c r="E435" t="str">
        <f>Table1[[#This Row],[Abbreviations]]</f>
        <v>Denham Yard</v>
      </c>
      <c r="F435" t="s">
        <v>1756</v>
      </c>
      <c r="G435" t="str">
        <f xml:space="preserve"> PROPER(_xlfn.CONCAT(Table13[[#This Row],[Title]]," ",Table13[[#This Row],[First Name]]," ",Table13[[#This Row],[Last Name]]))</f>
        <v>Mrs Carlyn Dickerson</v>
      </c>
      <c r="H435" t="str">
        <f t="shared" si="12"/>
        <v>Mrs C.Dickerson</v>
      </c>
      <c r="I435" t="str">
        <f t="shared" si="13"/>
        <v>F</v>
      </c>
    </row>
    <row r="436" spans="1:9" x14ac:dyDescent="0.3">
      <c r="A436">
        <v>433</v>
      </c>
      <c r="B436" t="s">
        <v>1757</v>
      </c>
      <c r="C436" t="s">
        <v>1758</v>
      </c>
      <c r="D436" t="s">
        <v>18</v>
      </c>
      <c r="E436" t="str">
        <f>Table1[[#This Row],[Abbreviations]]</f>
        <v>Bermondsey Trading</v>
      </c>
      <c r="F436" t="s">
        <v>633</v>
      </c>
      <c r="G436" t="str">
        <f xml:space="preserve"> PROPER(_xlfn.CONCAT(Table13[[#This Row],[Title]]," ",Table13[[#This Row],[First Name]]," ",Table13[[#This Row],[Last Name]]))</f>
        <v>Miss Masako Mckee</v>
      </c>
      <c r="H436" t="str">
        <f t="shared" si="12"/>
        <v>Miss M.Mckee</v>
      </c>
      <c r="I436" t="str">
        <f t="shared" si="13"/>
        <v>F</v>
      </c>
    </row>
    <row r="437" spans="1:9" x14ac:dyDescent="0.3">
      <c r="A437">
        <v>434</v>
      </c>
      <c r="B437" t="s">
        <v>1760</v>
      </c>
      <c r="C437" t="s">
        <v>1761</v>
      </c>
      <c r="D437" t="s">
        <v>7</v>
      </c>
      <c r="E437" t="str">
        <f>Table1[[#This Row],[Abbreviations]]</f>
        <v>Kensington Palace</v>
      </c>
      <c r="F437" t="s">
        <v>1763</v>
      </c>
      <c r="G437" t="str">
        <f xml:space="preserve"> PROPER(_xlfn.CONCAT(Table13[[#This Row],[Title]]," ",Table13[[#This Row],[First Name]]," ",Table13[[#This Row],[Last Name]]))</f>
        <v>Mrs Gita Chacon</v>
      </c>
      <c r="H437" t="str">
        <f t="shared" si="12"/>
        <v>Mrs G.Chacon</v>
      </c>
      <c r="I437" t="str">
        <f t="shared" si="13"/>
        <v>F</v>
      </c>
    </row>
    <row r="438" spans="1:9" x14ac:dyDescent="0.3">
      <c r="A438">
        <v>435</v>
      </c>
      <c r="B438" t="s">
        <v>1764</v>
      </c>
      <c r="C438" t="s">
        <v>1765</v>
      </c>
      <c r="D438" t="s">
        <v>7</v>
      </c>
      <c r="E438" t="str">
        <f>Table1[[#This Row],[Abbreviations]]</f>
        <v>Offenham Road</v>
      </c>
      <c r="F438" t="s">
        <v>1767</v>
      </c>
      <c r="G438" t="str">
        <f xml:space="preserve"> PROPER(_xlfn.CONCAT(Table13[[#This Row],[Title]]," ",Table13[[#This Row],[First Name]]," ",Table13[[#This Row],[Last Name]]))</f>
        <v>Mrs Ericka Curran</v>
      </c>
      <c r="H438" t="str">
        <f t="shared" si="12"/>
        <v>Mrs E.Curran</v>
      </c>
      <c r="I438" t="str">
        <f t="shared" si="13"/>
        <v>F</v>
      </c>
    </row>
    <row r="439" spans="1:9" x14ac:dyDescent="0.3">
      <c r="A439">
        <v>436</v>
      </c>
      <c r="B439" t="s">
        <v>1768</v>
      </c>
      <c r="C439" t="s">
        <v>603</v>
      </c>
      <c r="D439" t="s">
        <v>71</v>
      </c>
      <c r="E439" t="str">
        <f>Table1[[#This Row],[Abbreviations]]</f>
        <v>Lower Tyler</v>
      </c>
      <c r="F439" t="s">
        <v>1148</v>
      </c>
      <c r="G439" t="str">
        <f xml:space="preserve"> PROPER(_xlfn.CONCAT(Table13[[#This Row],[Title]]," ",Table13[[#This Row],[First Name]]," ",Table13[[#This Row],[Last Name]]))</f>
        <v>Ms Billy John</v>
      </c>
      <c r="H439" t="str">
        <f t="shared" si="12"/>
        <v>Ms B.John</v>
      </c>
      <c r="I439" t="str">
        <f t="shared" si="13"/>
        <v>F</v>
      </c>
    </row>
    <row r="440" spans="1:9" x14ac:dyDescent="0.3">
      <c r="A440">
        <v>437</v>
      </c>
      <c r="B440" t="s">
        <v>1770</v>
      </c>
      <c r="C440" t="s">
        <v>1771</v>
      </c>
      <c r="D440" t="s">
        <v>18</v>
      </c>
      <c r="E440" t="str">
        <f>Table1[[#This Row],[Abbreviations]]</f>
        <v>Oronsay Walk</v>
      </c>
      <c r="F440" t="s">
        <v>509</v>
      </c>
      <c r="G440" t="str">
        <f xml:space="preserve"> PROPER(_xlfn.CONCAT(Table13[[#This Row],[Title]]," ",Table13[[#This Row],[First Name]]," ",Table13[[#This Row],[Last Name]]))</f>
        <v>Miss Candis Parham</v>
      </c>
      <c r="H440" t="str">
        <f t="shared" si="12"/>
        <v>Miss C.Parham</v>
      </c>
      <c r="I440" t="str">
        <f t="shared" si="13"/>
        <v>F</v>
      </c>
    </row>
    <row r="441" spans="1:9" x14ac:dyDescent="0.3">
      <c r="A441">
        <v>438</v>
      </c>
      <c r="B441" t="s">
        <v>1773</v>
      </c>
      <c r="C441" t="s">
        <v>1774</v>
      </c>
      <c r="D441" t="s">
        <v>18</v>
      </c>
      <c r="E441" t="str">
        <f>Table1[[#This Row],[Abbreviations]]</f>
        <v>Ellerslie Gardens</v>
      </c>
      <c r="F441" t="s">
        <v>995</v>
      </c>
      <c r="G441" t="str">
        <f xml:space="preserve"> PROPER(_xlfn.CONCAT(Table13[[#This Row],[Title]]," ",Table13[[#This Row],[First Name]]," ",Table13[[#This Row],[Last Name]]))</f>
        <v>Miss Zaida Decker</v>
      </c>
      <c r="H441" t="str">
        <f t="shared" si="12"/>
        <v>Miss Z.Decker</v>
      </c>
      <c r="I441" t="str">
        <f t="shared" si="13"/>
        <v>F</v>
      </c>
    </row>
    <row r="442" spans="1:9" x14ac:dyDescent="0.3">
      <c r="A442">
        <v>439</v>
      </c>
      <c r="B442" t="s">
        <v>1776</v>
      </c>
      <c r="C442" t="s">
        <v>1777</v>
      </c>
      <c r="D442" t="s">
        <v>7</v>
      </c>
      <c r="E442" t="str">
        <f>Table1[[#This Row],[Abbreviations]]</f>
        <v>Greet Street</v>
      </c>
      <c r="F442" t="s">
        <v>1779</v>
      </c>
      <c r="G442" t="str">
        <f xml:space="preserve"> PROPER(_xlfn.CONCAT(Table13[[#This Row],[Title]]," ",Table13[[#This Row],[First Name]]," ",Table13[[#This Row],[Last Name]]))</f>
        <v>Mrs Lan Metcalf</v>
      </c>
      <c r="H442" t="str">
        <f t="shared" si="12"/>
        <v>Mrs L.Metcalf</v>
      </c>
      <c r="I442" t="str">
        <f t="shared" si="13"/>
        <v>F</v>
      </c>
    </row>
    <row r="443" spans="1:9" x14ac:dyDescent="0.3">
      <c r="A443">
        <v>440</v>
      </c>
      <c r="B443" t="s">
        <v>1780</v>
      </c>
      <c r="C443" t="s">
        <v>1781</v>
      </c>
      <c r="D443" t="s">
        <v>7</v>
      </c>
      <c r="E443" t="str">
        <f>Table1[[#This Row],[Abbreviations]]</f>
        <v>Paul'S Court</v>
      </c>
      <c r="F443" t="s">
        <v>1783</v>
      </c>
      <c r="G443" t="str">
        <f xml:space="preserve"> PROPER(_xlfn.CONCAT(Table13[[#This Row],[Title]]," ",Table13[[#This Row],[First Name]]," ",Table13[[#This Row],[Last Name]]))</f>
        <v>Mrs Micah Lockhart</v>
      </c>
      <c r="H443" t="str">
        <f t="shared" si="12"/>
        <v>Mrs M.Lockhart</v>
      </c>
      <c r="I443" t="str">
        <f t="shared" si="13"/>
        <v>F</v>
      </c>
    </row>
    <row r="444" spans="1:9" x14ac:dyDescent="0.3">
      <c r="A444">
        <v>441</v>
      </c>
      <c r="B444" t="s">
        <v>1784</v>
      </c>
      <c r="C444" t="s">
        <v>1785</v>
      </c>
      <c r="D444" t="s">
        <v>7</v>
      </c>
      <c r="E444" t="str">
        <f>Table1[[#This Row],[Abbreviations]]</f>
        <v>Kirby Estate</v>
      </c>
      <c r="F444" t="s">
        <v>1787</v>
      </c>
      <c r="G444" t="str">
        <f xml:space="preserve"> PROPER(_xlfn.CONCAT(Table13[[#This Row],[Title]]," ",Table13[[#This Row],[First Name]]," ",Table13[[#This Row],[Last Name]]))</f>
        <v>Mrs Jennefer Hopper</v>
      </c>
      <c r="H444" t="str">
        <f t="shared" si="12"/>
        <v>Mrs J.Hopper</v>
      </c>
      <c r="I444" t="str">
        <f t="shared" si="13"/>
        <v>F</v>
      </c>
    </row>
    <row r="445" spans="1:9" x14ac:dyDescent="0.3">
      <c r="A445">
        <v>442</v>
      </c>
      <c r="B445" t="s">
        <v>1788</v>
      </c>
      <c r="C445" t="s">
        <v>702</v>
      </c>
      <c r="D445" t="s">
        <v>18</v>
      </c>
      <c r="E445" t="str">
        <f>Table1[[#This Row],[Abbreviations]]</f>
        <v>Napoleon Court</v>
      </c>
      <c r="F445" t="s">
        <v>395</v>
      </c>
      <c r="G445" t="str">
        <f xml:space="preserve"> PROPER(_xlfn.CONCAT(Table13[[#This Row],[Title]]," ",Table13[[#This Row],[First Name]]," ",Table13[[#This Row],[Last Name]]))</f>
        <v>Miss Steffanie Lyons</v>
      </c>
      <c r="H445" t="str">
        <f t="shared" si="12"/>
        <v>Miss S.Lyons</v>
      </c>
      <c r="I445" t="str">
        <f t="shared" si="13"/>
        <v>F</v>
      </c>
    </row>
    <row r="446" spans="1:9" x14ac:dyDescent="0.3">
      <c r="A446">
        <v>443</v>
      </c>
      <c r="B446" t="s">
        <v>126</v>
      </c>
      <c r="C446" t="s">
        <v>228</v>
      </c>
      <c r="D446" t="s">
        <v>18</v>
      </c>
      <c r="E446" t="str">
        <f>Table1[[#This Row],[Abbreviations]]</f>
        <v>Woodlawn Close</v>
      </c>
      <c r="F446" t="s">
        <v>1791</v>
      </c>
      <c r="G446" t="str">
        <f xml:space="preserve"> PROPER(_xlfn.CONCAT(Table13[[#This Row],[Title]]," ",Table13[[#This Row],[First Name]]," ",Table13[[#This Row],[Last Name]]))</f>
        <v>Miss Donella England</v>
      </c>
      <c r="H446" t="str">
        <f t="shared" si="12"/>
        <v>Miss D.England</v>
      </c>
      <c r="I446" t="str">
        <f t="shared" si="13"/>
        <v>F</v>
      </c>
    </row>
    <row r="447" spans="1:9" x14ac:dyDescent="0.3">
      <c r="A447">
        <v>444</v>
      </c>
      <c r="B447" t="s">
        <v>1792</v>
      </c>
      <c r="C447" t="s">
        <v>1793</v>
      </c>
      <c r="D447" t="s">
        <v>18</v>
      </c>
      <c r="E447" t="str">
        <f>Table1[[#This Row],[Abbreviations]]</f>
        <v>Ashbourne Villas</v>
      </c>
      <c r="F447" t="s">
        <v>1795</v>
      </c>
      <c r="G447" t="str">
        <f xml:space="preserve"> PROPER(_xlfn.CONCAT(Table13[[#This Row],[Title]]," ",Table13[[#This Row],[First Name]]," ",Table13[[#This Row],[Last Name]]))</f>
        <v>Miss Refugio Willis</v>
      </c>
      <c r="H447" t="str">
        <f t="shared" si="12"/>
        <v>Miss R.Willis</v>
      </c>
      <c r="I447" t="str">
        <f t="shared" si="13"/>
        <v>F</v>
      </c>
    </row>
    <row r="448" spans="1:9" x14ac:dyDescent="0.3">
      <c r="A448">
        <v>445</v>
      </c>
      <c r="B448" t="s">
        <v>1796</v>
      </c>
      <c r="C448" t="s">
        <v>1797</v>
      </c>
      <c r="D448" t="s">
        <v>18</v>
      </c>
      <c r="E448" t="str">
        <f>Table1[[#This Row],[Abbreviations]]</f>
        <v>Dimson Crescent</v>
      </c>
      <c r="F448" t="s">
        <v>1799</v>
      </c>
      <c r="G448" t="str">
        <f xml:space="preserve"> PROPER(_xlfn.CONCAT(Table13[[#This Row],[Title]]," ",Table13[[#This Row],[First Name]]," ",Table13[[#This Row],[Last Name]]))</f>
        <v>Miss Nelle Miles</v>
      </c>
      <c r="H448" t="str">
        <f t="shared" si="12"/>
        <v>Miss N.Miles</v>
      </c>
      <c r="I448" t="str">
        <f t="shared" si="13"/>
        <v>F</v>
      </c>
    </row>
    <row r="449" spans="1:9" x14ac:dyDescent="0.3">
      <c r="A449">
        <v>446</v>
      </c>
      <c r="B449" t="s">
        <v>1800</v>
      </c>
      <c r="C449" t="s">
        <v>1801</v>
      </c>
      <c r="D449" t="s">
        <v>18</v>
      </c>
      <c r="E449" t="str">
        <f>Table1[[#This Row],[Abbreviations]]</f>
        <v>Barnes Alley</v>
      </c>
      <c r="F449" t="s">
        <v>1803</v>
      </c>
      <c r="G449" t="str">
        <f xml:space="preserve"> PROPER(_xlfn.CONCAT(Table13[[#This Row],[Title]]," ",Table13[[#This Row],[First Name]]," ",Table13[[#This Row],[Last Name]]))</f>
        <v>Miss Marge Sprague</v>
      </c>
      <c r="H449" t="str">
        <f t="shared" si="12"/>
        <v>Miss M.Sprague</v>
      </c>
      <c r="I449" t="str">
        <f t="shared" si="13"/>
        <v>F</v>
      </c>
    </row>
    <row r="450" spans="1:9" x14ac:dyDescent="0.3">
      <c r="A450">
        <v>447</v>
      </c>
      <c r="B450" t="s">
        <v>1804</v>
      </c>
      <c r="C450" t="s">
        <v>1805</v>
      </c>
      <c r="D450" t="s">
        <v>18</v>
      </c>
      <c r="E450" t="str">
        <f>Table1[[#This Row],[Abbreviations]]</f>
        <v>Pilsdon Close</v>
      </c>
      <c r="F450" t="s">
        <v>878</v>
      </c>
      <c r="G450" t="str">
        <f xml:space="preserve"> PROPER(_xlfn.CONCAT(Table13[[#This Row],[Title]]," ",Table13[[#This Row],[First Name]]," ",Table13[[#This Row],[Last Name]]))</f>
        <v>Miss Ingrid Flowers</v>
      </c>
      <c r="H450" t="str">
        <f t="shared" si="12"/>
        <v>Miss I.Flowers</v>
      </c>
      <c r="I450" t="str">
        <f t="shared" si="13"/>
        <v>F</v>
      </c>
    </row>
    <row r="451" spans="1:9" x14ac:dyDescent="0.3">
      <c r="A451">
        <v>448</v>
      </c>
      <c r="B451" t="s">
        <v>1807</v>
      </c>
      <c r="C451" t="s">
        <v>1808</v>
      </c>
      <c r="D451" t="s">
        <v>18</v>
      </c>
      <c r="E451" t="str">
        <f>Table1[[#This Row],[Abbreviations]]</f>
        <v>Pekin Place</v>
      </c>
      <c r="F451" t="s">
        <v>277</v>
      </c>
      <c r="G451" t="str">
        <f xml:space="preserve"> PROPER(_xlfn.CONCAT(Table13[[#This Row],[Title]]," ",Table13[[#This Row],[First Name]]," ",Table13[[#This Row],[Last Name]]))</f>
        <v>Miss Suzie Potts</v>
      </c>
      <c r="H451" t="str">
        <f t="shared" si="12"/>
        <v>Miss S.Potts</v>
      </c>
      <c r="I451" t="str">
        <f t="shared" si="13"/>
        <v>F</v>
      </c>
    </row>
    <row r="452" spans="1:9" x14ac:dyDescent="0.3">
      <c r="A452">
        <v>449</v>
      </c>
      <c r="B452" t="s">
        <v>1810</v>
      </c>
      <c r="C452" t="s">
        <v>769</v>
      </c>
      <c r="D452" t="s">
        <v>7</v>
      </c>
      <c r="E452" t="str">
        <f>Table1[[#This Row],[Abbreviations]]</f>
        <v>College Mews</v>
      </c>
      <c r="F452" t="s">
        <v>478</v>
      </c>
      <c r="G452" t="str">
        <f xml:space="preserve"> PROPER(_xlfn.CONCAT(Table13[[#This Row],[Title]]," ",Table13[[#This Row],[First Name]]," ",Table13[[#This Row],[Last Name]]))</f>
        <v>Mrs Yoko Holden</v>
      </c>
      <c r="H452" t="str">
        <f t="shared" ref="H452:H515" si="14">_xlfn.CONCAT(D452)&amp;" "&amp; LEFT(B452,1)&amp;"."&amp;C452</f>
        <v>Mrs y.Holden</v>
      </c>
      <c r="I452" t="str">
        <f t="shared" ref="I452:I515" si="15">IF(LEFT(D452,3)="Mr","M","F")</f>
        <v>F</v>
      </c>
    </row>
    <row r="453" spans="1:9" x14ac:dyDescent="0.3">
      <c r="A453">
        <v>450</v>
      </c>
      <c r="B453" t="s">
        <v>1812</v>
      </c>
      <c r="C453" t="s">
        <v>1813</v>
      </c>
      <c r="D453" t="s">
        <v>7</v>
      </c>
      <c r="E453" t="str">
        <f>Table1[[#This Row],[Abbreviations]]</f>
        <v>Mabley Street</v>
      </c>
      <c r="F453" t="s">
        <v>1815</v>
      </c>
      <c r="G453" t="str">
        <f xml:space="preserve"> PROPER(_xlfn.CONCAT(Table13[[#This Row],[Title]]," ",Table13[[#This Row],[First Name]]," ",Table13[[#This Row],[Last Name]]))</f>
        <v>Mrs Elvina Mcbride</v>
      </c>
      <c r="H453" t="str">
        <f t="shared" si="14"/>
        <v>Mrs E.Mcbride</v>
      </c>
      <c r="I453" t="str">
        <f t="shared" si="15"/>
        <v>F</v>
      </c>
    </row>
    <row r="454" spans="1:9" x14ac:dyDescent="0.3">
      <c r="A454">
        <v>451</v>
      </c>
      <c r="B454" t="s">
        <v>1816</v>
      </c>
      <c r="C454" t="s">
        <v>1817</v>
      </c>
      <c r="D454" t="s">
        <v>7</v>
      </c>
      <c r="E454" t="str">
        <f>Table1[[#This Row],[Abbreviations]]</f>
        <v>Chase Gardens</v>
      </c>
      <c r="F454" t="s">
        <v>903</v>
      </c>
      <c r="G454" t="str">
        <f xml:space="preserve"> PROPER(_xlfn.CONCAT(Table13[[#This Row],[Title]]," ",Table13[[#This Row],[First Name]]," ",Table13[[#This Row],[Last Name]]))</f>
        <v>Mrs Vernita Messer</v>
      </c>
      <c r="H454" t="str">
        <f t="shared" si="14"/>
        <v>Mrs V.Messer</v>
      </c>
      <c r="I454" t="str">
        <f t="shared" si="15"/>
        <v>F</v>
      </c>
    </row>
    <row r="455" spans="1:9" x14ac:dyDescent="0.3">
      <c r="A455">
        <v>452</v>
      </c>
      <c r="B455" t="s">
        <v>217</v>
      </c>
      <c r="C455" t="s">
        <v>1819</v>
      </c>
      <c r="D455" t="s">
        <v>7</v>
      </c>
      <c r="E455" t="str">
        <f>Table1[[#This Row],[Abbreviations]]</f>
        <v>Windus Road</v>
      </c>
      <c r="F455" t="s">
        <v>1302</v>
      </c>
      <c r="G455" t="str">
        <f xml:space="preserve"> PROPER(_xlfn.CONCAT(Table13[[#This Row],[Title]]," ",Table13[[#This Row],[First Name]]," ",Table13[[#This Row],[Last Name]]))</f>
        <v>Mrs Lea Weston</v>
      </c>
      <c r="H455" t="str">
        <f t="shared" si="14"/>
        <v>Mrs L.Weston</v>
      </c>
      <c r="I455" t="str">
        <f t="shared" si="15"/>
        <v>F</v>
      </c>
    </row>
    <row r="456" spans="1:9" x14ac:dyDescent="0.3">
      <c r="A456">
        <v>453</v>
      </c>
      <c r="B456" t="s">
        <v>1821</v>
      </c>
      <c r="C456" t="s">
        <v>1822</v>
      </c>
      <c r="D456" t="s">
        <v>18</v>
      </c>
      <c r="E456" t="str">
        <f>Table1[[#This Row],[Abbreviations]]</f>
        <v>Orleston Mews</v>
      </c>
      <c r="F456" t="s">
        <v>1824</v>
      </c>
      <c r="G456" t="str">
        <f xml:space="preserve"> PROPER(_xlfn.CONCAT(Table13[[#This Row],[Title]]," ",Table13[[#This Row],[First Name]]," ",Table13[[#This Row],[Last Name]]))</f>
        <v>Miss Mildred Nieves</v>
      </c>
      <c r="H456" t="str">
        <f t="shared" si="14"/>
        <v>Miss M.Nieves</v>
      </c>
      <c r="I456" t="str">
        <f t="shared" si="15"/>
        <v>F</v>
      </c>
    </row>
    <row r="457" spans="1:9" x14ac:dyDescent="0.3">
      <c r="A457">
        <v>454</v>
      </c>
      <c r="B457" t="s">
        <v>481</v>
      </c>
      <c r="C457" t="s">
        <v>1825</v>
      </c>
      <c r="D457" t="s">
        <v>18</v>
      </c>
      <c r="E457" t="str">
        <f>Table1[[#This Row],[Abbreviations]]</f>
        <v>Capitol Way</v>
      </c>
      <c r="F457" t="s">
        <v>1827</v>
      </c>
      <c r="G457" t="str">
        <f xml:space="preserve"> PROPER(_xlfn.CONCAT(Table13[[#This Row],[Title]]," ",Table13[[#This Row],[First Name]]," ",Table13[[#This Row],[Last Name]]))</f>
        <v>Miss Shakira Major</v>
      </c>
      <c r="H457" t="str">
        <f t="shared" si="14"/>
        <v>Miss S.Major</v>
      </c>
      <c r="I457" t="str">
        <f t="shared" si="15"/>
        <v>F</v>
      </c>
    </row>
    <row r="458" spans="1:9" x14ac:dyDescent="0.3">
      <c r="A458">
        <v>455</v>
      </c>
      <c r="B458" t="s">
        <v>1828</v>
      </c>
      <c r="C458" t="s">
        <v>594</v>
      </c>
      <c r="D458" t="s">
        <v>18</v>
      </c>
      <c r="E458" t="str">
        <f>Table1[[#This Row],[Abbreviations]]</f>
        <v>Stalham Street</v>
      </c>
      <c r="F458" t="s">
        <v>491</v>
      </c>
      <c r="G458" t="str">
        <f xml:space="preserve"> PROPER(_xlfn.CONCAT(Table13[[#This Row],[Title]]," ",Table13[[#This Row],[First Name]]," ",Table13[[#This Row],[Last Name]]))</f>
        <v>Miss Harold Boykin</v>
      </c>
      <c r="H458" t="str">
        <f t="shared" si="14"/>
        <v>Miss H.Boykin</v>
      </c>
      <c r="I458" t="str">
        <f t="shared" si="15"/>
        <v>F</v>
      </c>
    </row>
    <row r="459" spans="1:9" x14ac:dyDescent="0.3">
      <c r="A459">
        <v>456</v>
      </c>
      <c r="B459" t="s">
        <v>1830</v>
      </c>
      <c r="C459" t="s">
        <v>1831</v>
      </c>
      <c r="D459" t="s">
        <v>7</v>
      </c>
      <c r="E459" t="str">
        <f>Table1[[#This Row],[Abbreviations]]</f>
        <v>The Sandhills</v>
      </c>
      <c r="F459" t="s">
        <v>410</v>
      </c>
      <c r="G459" t="str">
        <f xml:space="preserve"> PROPER(_xlfn.CONCAT(Table13[[#This Row],[Title]]," ",Table13[[#This Row],[First Name]]," ",Table13[[#This Row],[Last Name]]))</f>
        <v>Mrs Velma Mcdonough</v>
      </c>
      <c r="H459" t="str">
        <f t="shared" si="14"/>
        <v>Mrs V.Mcdonough</v>
      </c>
      <c r="I459" t="str">
        <f t="shared" si="15"/>
        <v>F</v>
      </c>
    </row>
    <row r="460" spans="1:9" x14ac:dyDescent="0.3">
      <c r="A460">
        <v>457</v>
      </c>
      <c r="B460" t="s">
        <v>565</v>
      </c>
      <c r="C460" t="s">
        <v>1833</v>
      </c>
      <c r="D460" t="s">
        <v>18</v>
      </c>
      <c r="E460" t="str">
        <f>Table1[[#This Row],[Abbreviations]]</f>
        <v>Lydden Grove</v>
      </c>
      <c r="F460" t="s">
        <v>418</v>
      </c>
      <c r="G460" t="str">
        <f xml:space="preserve"> PROPER(_xlfn.CONCAT(Table13[[#This Row],[Title]]," ",Table13[[#This Row],[First Name]]," ",Table13[[#This Row],[Last Name]]))</f>
        <v>Miss Lecia Ewing</v>
      </c>
      <c r="H460" t="str">
        <f t="shared" si="14"/>
        <v>Miss L.Ewing</v>
      </c>
      <c r="I460" t="str">
        <f t="shared" si="15"/>
        <v>F</v>
      </c>
    </row>
    <row r="461" spans="1:9" x14ac:dyDescent="0.3">
      <c r="A461">
        <v>458</v>
      </c>
      <c r="B461" t="s">
        <v>1835</v>
      </c>
      <c r="C461" t="s">
        <v>1836</v>
      </c>
      <c r="D461" t="s">
        <v>18</v>
      </c>
      <c r="E461" t="str">
        <f>Table1[[#This Row],[Abbreviations]]</f>
        <v>Cornflower Terrace</v>
      </c>
      <c r="F461" t="s">
        <v>1838</v>
      </c>
      <c r="G461" t="str">
        <f xml:space="preserve"> PROPER(_xlfn.CONCAT(Table13[[#This Row],[Title]]," ",Table13[[#This Row],[First Name]]," ",Table13[[#This Row],[Last Name]]))</f>
        <v>Miss Adelia Kirk</v>
      </c>
      <c r="H461" t="str">
        <f t="shared" si="14"/>
        <v>Miss A.Kirk</v>
      </c>
      <c r="I461" t="str">
        <f t="shared" si="15"/>
        <v>F</v>
      </c>
    </row>
    <row r="462" spans="1:9" x14ac:dyDescent="0.3">
      <c r="A462">
        <v>459</v>
      </c>
      <c r="B462" t="s">
        <v>1839</v>
      </c>
      <c r="C462" t="s">
        <v>1840</v>
      </c>
      <c r="D462" t="s">
        <v>7</v>
      </c>
      <c r="E462" t="str">
        <f>Table1[[#This Row],[Abbreviations]]</f>
        <v>Highbury Crescent</v>
      </c>
      <c r="F462" t="s">
        <v>1842</v>
      </c>
      <c r="G462" t="str">
        <f xml:space="preserve"> PROPER(_xlfn.CONCAT(Table13[[#This Row],[Title]]," ",Table13[[#This Row],[First Name]]," ",Table13[[#This Row],[Last Name]]))</f>
        <v>Mrs Rebeca Begay</v>
      </c>
      <c r="H462" t="str">
        <f t="shared" si="14"/>
        <v>Mrs R.Begay</v>
      </c>
      <c r="I462" t="str">
        <f t="shared" si="15"/>
        <v>F</v>
      </c>
    </row>
    <row r="463" spans="1:9" x14ac:dyDescent="0.3">
      <c r="A463">
        <v>460</v>
      </c>
      <c r="B463" t="s">
        <v>1843</v>
      </c>
      <c r="C463" t="s">
        <v>1844</v>
      </c>
      <c r="D463" t="s">
        <v>7</v>
      </c>
      <c r="E463" t="str">
        <f>Table1[[#This Row],[Abbreviations]]</f>
        <v>Molesford Road</v>
      </c>
      <c r="F463" t="s">
        <v>358</v>
      </c>
      <c r="G463" t="str">
        <f xml:space="preserve"> PROPER(_xlfn.CONCAT(Table13[[#This Row],[Title]]," ",Table13[[#This Row],[First Name]]," ",Table13[[#This Row],[Last Name]]))</f>
        <v>Mrs Vanna Franklin</v>
      </c>
      <c r="H463" t="str">
        <f t="shared" si="14"/>
        <v>Mrs v.Franklin</v>
      </c>
      <c r="I463" t="str">
        <f t="shared" si="15"/>
        <v>F</v>
      </c>
    </row>
    <row r="464" spans="1:9" x14ac:dyDescent="0.3">
      <c r="A464">
        <v>461</v>
      </c>
      <c r="B464" t="s">
        <v>1846</v>
      </c>
      <c r="C464" t="s">
        <v>1847</v>
      </c>
      <c r="D464" t="s">
        <v>7</v>
      </c>
      <c r="E464" t="str">
        <f>Table1[[#This Row],[Abbreviations]]</f>
        <v>Torriano Terrace</v>
      </c>
      <c r="F464" t="s">
        <v>95</v>
      </c>
      <c r="G464" t="str">
        <f xml:space="preserve"> PROPER(_xlfn.CONCAT(Table13[[#This Row],[Title]]," ",Table13[[#This Row],[First Name]]," ",Table13[[#This Row],[Last Name]]))</f>
        <v>Mrs Octavia Collier</v>
      </c>
      <c r="H464" t="str">
        <f t="shared" si="14"/>
        <v>Mrs O.Collier</v>
      </c>
      <c r="I464" t="str">
        <f t="shared" si="15"/>
        <v>F</v>
      </c>
    </row>
    <row r="465" spans="1:9" x14ac:dyDescent="0.3">
      <c r="A465">
        <v>462</v>
      </c>
      <c r="B465" t="s">
        <v>1849</v>
      </c>
      <c r="C465" t="s">
        <v>1850</v>
      </c>
      <c r="D465" t="s">
        <v>318</v>
      </c>
      <c r="E465" t="str">
        <f>Table1[[#This Row],[Abbreviations]]</f>
        <v>Camden School</v>
      </c>
      <c r="F465" t="s">
        <v>1852</v>
      </c>
      <c r="G465" t="str">
        <f xml:space="preserve"> PROPER(_xlfn.CONCAT(Table13[[#This Row],[Title]]," ",Table13[[#This Row],[First Name]]," ",Table13[[#This Row],[Last Name]]))</f>
        <v>Dr Gertie Duffy</v>
      </c>
      <c r="H465" t="str">
        <f t="shared" si="14"/>
        <v>Dr G.Duffy</v>
      </c>
      <c r="I465" t="str">
        <f t="shared" si="15"/>
        <v>F</v>
      </c>
    </row>
    <row r="466" spans="1:9" x14ac:dyDescent="0.3">
      <c r="A466">
        <v>463</v>
      </c>
      <c r="B466" t="s">
        <v>474</v>
      </c>
      <c r="C466" t="s">
        <v>1853</v>
      </c>
      <c r="D466" t="s">
        <v>7</v>
      </c>
      <c r="E466" t="str">
        <f>Table1[[#This Row],[Abbreviations]]</f>
        <v>Merrow Street</v>
      </c>
      <c r="F466" t="s">
        <v>1855</v>
      </c>
      <c r="G466" t="str">
        <f xml:space="preserve"> PROPER(_xlfn.CONCAT(Table13[[#This Row],[Title]]," ",Table13[[#This Row],[First Name]]," ",Table13[[#This Row],[Last Name]]))</f>
        <v>Mrs Wanetta Tuttle</v>
      </c>
      <c r="H466" t="str">
        <f t="shared" si="14"/>
        <v>Mrs W.Tuttle</v>
      </c>
      <c r="I466" t="str">
        <f t="shared" si="15"/>
        <v>F</v>
      </c>
    </row>
    <row r="467" spans="1:9" x14ac:dyDescent="0.3">
      <c r="A467">
        <v>464</v>
      </c>
      <c r="B467" t="s">
        <v>444</v>
      </c>
      <c r="C467" t="s">
        <v>1856</v>
      </c>
      <c r="D467" t="s">
        <v>71</v>
      </c>
      <c r="E467" t="str">
        <f>Table1[[#This Row],[Abbreviations]]</f>
        <v>Bovay Place</v>
      </c>
      <c r="F467" t="s">
        <v>1415</v>
      </c>
      <c r="G467" t="str">
        <f xml:space="preserve"> PROPER(_xlfn.CONCAT(Table13[[#This Row],[Title]]," ",Table13[[#This Row],[First Name]]," ",Table13[[#This Row],[Last Name]]))</f>
        <v>Ms Charles Benton</v>
      </c>
      <c r="H467" t="str">
        <f t="shared" si="14"/>
        <v>Ms C.Benton</v>
      </c>
      <c r="I467" t="str">
        <f t="shared" si="15"/>
        <v>F</v>
      </c>
    </row>
    <row r="468" spans="1:9" x14ac:dyDescent="0.3">
      <c r="A468">
        <v>465</v>
      </c>
      <c r="B468" t="s">
        <v>1857</v>
      </c>
      <c r="C468" t="s">
        <v>435</v>
      </c>
      <c r="D468" t="s">
        <v>18</v>
      </c>
      <c r="E468" t="str">
        <f>Table1[[#This Row],[Abbreviations]]</f>
        <v>Coppetts Close</v>
      </c>
      <c r="F468" t="s">
        <v>451</v>
      </c>
      <c r="G468" t="str">
        <f xml:space="preserve"> PROPER(_xlfn.CONCAT(Table13[[#This Row],[Title]]," ",Table13[[#This Row],[First Name]]," ",Table13[[#This Row],[Last Name]]))</f>
        <v>Miss Cinda Blue</v>
      </c>
      <c r="H468" t="str">
        <f t="shared" si="14"/>
        <v>Miss C.Blue</v>
      </c>
      <c r="I468" t="str">
        <f t="shared" si="15"/>
        <v>F</v>
      </c>
    </row>
    <row r="469" spans="1:9" x14ac:dyDescent="0.3">
      <c r="A469">
        <v>466</v>
      </c>
      <c r="B469" t="s">
        <v>1859</v>
      </c>
      <c r="C469" t="s">
        <v>1860</v>
      </c>
      <c r="D469" t="s">
        <v>7</v>
      </c>
      <c r="E469" t="str">
        <f>Table1[[#This Row],[Abbreviations]]</f>
        <v>Rockingham Street</v>
      </c>
      <c r="F469" t="s">
        <v>1862</v>
      </c>
      <c r="G469" t="str">
        <f xml:space="preserve"> PROPER(_xlfn.CONCAT(Table13[[#This Row],[Title]]," ",Table13[[#This Row],[First Name]]," ",Table13[[#This Row],[Last Name]]))</f>
        <v>Mrs Juli Britton</v>
      </c>
      <c r="H469" t="str">
        <f t="shared" si="14"/>
        <v>Mrs J.Britton</v>
      </c>
      <c r="I469" t="str">
        <f t="shared" si="15"/>
        <v>F</v>
      </c>
    </row>
    <row r="470" spans="1:9" x14ac:dyDescent="0.3">
      <c r="A470">
        <v>467</v>
      </c>
      <c r="B470" t="s">
        <v>1863</v>
      </c>
      <c r="C470" t="s">
        <v>1864</v>
      </c>
      <c r="D470" t="s">
        <v>18</v>
      </c>
      <c r="E470" t="str">
        <f>Table1[[#This Row],[Abbreviations]]</f>
        <v>Cromer Road</v>
      </c>
      <c r="F470" t="s">
        <v>1415</v>
      </c>
      <c r="G470" t="str">
        <f xml:space="preserve"> PROPER(_xlfn.CONCAT(Table13[[#This Row],[Title]]," ",Table13[[#This Row],[First Name]]," ",Table13[[#This Row],[Last Name]]))</f>
        <v>Miss Ellan Healy</v>
      </c>
      <c r="H470" t="str">
        <f t="shared" si="14"/>
        <v>Miss E.Healy</v>
      </c>
      <c r="I470" t="str">
        <f t="shared" si="15"/>
        <v>F</v>
      </c>
    </row>
    <row r="471" spans="1:9" x14ac:dyDescent="0.3">
      <c r="A471">
        <v>468</v>
      </c>
      <c r="B471" t="s">
        <v>396</v>
      </c>
      <c r="C471" t="s">
        <v>471</v>
      </c>
      <c r="D471" t="s">
        <v>7</v>
      </c>
      <c r="E471" t="str">
        <f>Table1[[#This Row],[Abbreviations]]</f>
        <v>High View</v>
      </c>
      <c r="F471" t="s">
        <v>1867</v>
      </c>
      <c r="G471" t="str">
        <f xml:space="preserve"> PROPER(_xlfn.CONCAT(Table13[[#This Row],[Title]]," ",Table13[[#This Row],[First Name]]," ",Table13[[#This Row],[Last Name]]))</f>
        <v>Mrs In Samuel</v>
      </c>
      <c r="H471" t="str">
        <f t="shared" si="14"/>
        <v>Mrs I.Samuel</v>
      </c>
      <c r="I471" t="str">
        <f t="shared" si="15"/>
        <v>F</v>
      </c>
    </row>
    <row r="472" spans="1:9" x14ac:dyDescent="0.3">
      <c r="A472">
        <v>469</v>
      </c>
      <c r="B472" t="s">
        <v>1868</v>
      </c>
      <c r="C472" t="s">
        <v>1869</v>
      </c>
      <c r="D472" t="s">
        <v>71</v>
      </c>
      <c r="E472" t="str">
        <f>Table1[[#This Row],[Abbreviations]]</f>
        <v>Clerkenwell Close</v>
      </c>
      <c r="F472" t="s">
        <v>49</v>
      </c>
      <c r="G472" t="str">
        <f xml:space="preserve"> PROPER(_xlfn.CONCAT(Table13[[#This Row],[Title]]," ",Table13[[#This Row],[First Name]]," ",Table13[[#This Row],[Last Name]]))</f>
        <v>Ms Constance Jacobsen</v>
      </c>
      <c r="H472" t="str">
        <f t="shared" si="14"/>
        <v>Ms C.Jacobsen</v>
      </c>
      <c r="I472" t="str">
        <f t="shared" si="15"/>
        <v>F</v>
      </c>
    </row>
    <row r="473" spans="1:9" x14ac:dyDescent="0.3">
      <c r="A473">
        <v>470</v>
      </c>
      <c r="B473" t="s">
        <v>1871</v>
      </c>
      <c r="C473" t="s">
        <v>1872</v>
      </c>
      <c r="D473" t="s">
        <v>18</v>
      </c>
      <c r="E473" t="str">
        <f>Table1[[#This Row],[Abbreviations]]</f>
        <v>St Gabriels</v>
      </c>
      <c r="F473" t="s">
        <v>222</v>
      </c>
      <c r="G473" t="str">
        <f xml:space="preserve"> PROPER(_xlfn.CONCAT(Table13[[#This Row],[Title]]," ",Table13[[#This Row],[First Name]]," ",Table13[[#This Row],[Last Name]]))</f>
        <v>Miss Lyndia Reid</v>
      </c>
      <c r="H473" t="str">
        <f t="shared" si="14"/>
        <v>Miss L.Reid</v>
      </c>
      <c r="I473" t="str">
        <f t="shared" si="15"/>
        <v>F</v>
      </c>
    </row>
    <row r="474" spans="1:9" x14ac:dyDescent="0.3">
      <c r="A474">
        <v>471</v>
      </c>
      <c r="B474" t="s">
        <v>1839</v>
      </c>
      <c r="C474" t="s">
        <v>1874</v>
      </c>
      <c r="D474" t="s">
        <v>7</v>
      </c>
      <c r="E474" t="str">
        <f>Table1[[#This Row],[Abbreviations]]</f>
        <v>Bobeys Cottages</v>
      </c>
      <c r="F474" t="s">
        <v>1876</v>
      </c>
      <c r="G474" t="str">
        <f xml:space="preserve"> PROPER(_xlfn.CONCAT(Table13[[#This Row],[Title]]," ",Table13[[#This Row],[First Name]]," ",Table13[[#This Row],[Last Name]]))</f>
        <v>Mrs Rebeca Leblanc</v>
      </c>
      <c r="H474" t="str">
        <f t="shared" si="14"/>
        <v>Mrs R.Leblanc</v>
      </c>
      <c r="I474" t="str">
        <f t="shared" si="15"/>
        <v>F</v>
      </c>
    </row>
    <row r="475" spans="1:9" x14ac:dyDescent="0.3">
      <c r="A475">
        <v>472</v>
      </c>
      <c r="B475" t="s">
        <v>1877</v>
      </c>
      <c r="C475" t="s">
        <v>665</v>
      </c>
      <c r="D475" t="s">
        <v>7</v>
      </c>
      <c r="E475" t="str">
        <f>Table1[[#This Row],[Abbreviations]]</f>
        <v>Howland Street</v>
      </c>
      <c r="F475" t="s">
        <v>1274</v>
      </c>
      <c r="G475" t="str">
        <f xml:space="preserve"> PROPER(_xlfn.CONCAT(Table13[[#This Row],[Title]]," ",Table13[[#This Row],[First Name]]," ",Table13[[#This Row],[Last Name]]))</f>
        <v>Mrs Georgianna Reyes</v>
      </c>
      <c r="H475" t="str">
        <f t="shared" si="14"/>
        <v>Mrs G.Reyes</v>
      </c>
      <c r="I475" t="str">
        <f t="shared" si="15"/>
        <v>F</v>
      </c>
    </row>
    <row r="476" spans="1:9" x14ac:dyDescent="0.3">
      <c r="A476">
        <v>473</v>
      </c>
      <c r="B476" t="s">
        <v>1879</v>
      </c>
      <c r="C476" t="s">
        <v>150</v>
      </c>
      <c r="D476" t="s">
        <v>7</v>
      </c>
      <c r="E476" t="str">
        <f>Table1[[#This Row],[Abbreviations]]</f>
        <v>Barnwood Close</v>
      </c>
      <c r="F476" t="s">
        <v>375</v>
      </c>
      <c r="G476" t="str">
        <f xml:space="preserve"> PROPER(_xlfn.CONCAT(Table13[[#This Row],[Title]]," ",Table13[[#This Row],[First Name]]," ",Table13[[#This Row],[Last Name]]))</f>
        <v>Mrs Genoveva Baker</v>
      </c>
      <c r="H476" t="str">
        <f t="shared" si="14"/>
        <v>Mrs G.Baker</v>
      </c>
      <c r="I476" t="str">
        <f t="shared" si="15"/>
        <v>F</v>
      </c>
    </row>
    <row r="477" spans="1:9" x14ac:dyDescent="0.3">
      <c r="A477">
        <v>474</v>
      </c>
      <c r="B477" t="s">
        <v>1881</v>
      </c>
      <c r="C477" t="s">
        <v>1882</v>
      </c>
      <c r="D477" t="s">
        <v>7</v>
      </c>
      <c r="E477" t="str">
        <f>Table1[[#This Row],[Abbreviations]]</f>
        <v>Maverton Road</v>
      </c>
      <c r="F477" t="s">
        <v>1884</v>
      </c>
      <c r="G477" t="str">
        <f xml:space="preserve"> PROPER(_xlfn.CONCAT(Table13[[#This Row],[Title]]," ",Table13[[#This Row],[First Name]]," ",Table13[[#This Row],[Last Name]]))</f>
        <v>Mrs Kathryn Vargas</v>
      </c>
      <c r="H477" t="str">
        <f t="shared" si="14"/>
        <v>Mrs K.Vargas</v>
      </c>
      <c r="I477" t="str">
        <f t="shared" si="15"/>
        <v>F</v>
      </c>
    </row>
    <row r="478" spans="1:9" x14ac:dyDescent="0.3">
      <c r="A478">
        <v>475</v>
      </c>
      <c r="B478" t="s">
        <v>1885</v>
      </c>
      <c r="C478" t="s">
        <v>567</v>
      </c>
      <c r="D478" t="s">
        <v>18</v>
      </c>
      <c r="E478" t="str">
        <f>Table1[[#This Row],[Abbreviations]]</f>
        <v>Daubeney Gardens</v>
      </c>
      <c r="F478" t="s">
        <v>1887</v>
      </c>
      <c r="G478" t="str">
        <f xml:space="preserve"> PROPER(_xlfn.CONCAT(Table13[[#This Row],[Title]]," ",Table13[[#This Row],[First Name]]," ",Table13[[#This Row],[Last Name]]))</f>
        <v>Miss Shanda Staples</v>
      </c>
      <c r="H478" t="str">
        <f t="shared" si="14"/>
        <v>Miss S.Staples</v>
      </c>
      <c r="I478" t="str">
        <f t="shared" si="15"/>
        <v>F</v>
      </c>
    </row>
    <row r="479" spans="1:9" x14ac:dyDescent="0.3">
      <c r="A479">
        <v>476</v>
      </c>
      <c r="B479" t="s">
        <v>1888</v>
      </c>
      <c r="C479" t="s">
        <v>1889</v>
      </c>
      <c r="D479" t="s">
        <v>7</v>
      </c>
      <c r="E479" t="str">
        <f>Table1[[#This Row],[Abbreviations]]</f>
        <v>Cholmondeley Avenue</v>
      </c>
      <c r="F479" t="s">
        <v>470</v>
      </c>
      <c r="G479" t="str">
        <f xml:space="preserve"> PROPER(_xlfn.CONCAT(Table13[[#This Row],[Title]]," ",Table13[[#This Row],[First Name]]," ",Table13[[#This Row],[Last Name]]))</f>
        <v>Mrs Lashawn Clarke</v>
      </c>
      <c r="H479" t="str">
        <f t="shared" si="14"/>
        <v>Mrs L.Clarke</v>
      </c>
      <c r="I479" t="str">
        <f t="shared" si="15"/>
        <v>F</v>
      </c>
    </row>
    <row r="480" spans="1:9" x14ac:dyDescent="0.3">
      <c r="A480">
        <v>477</v>
      </c>
      <c r="B480" t="s">
        <v>1891</v>
      </c>
      <c r="C480" t="s">
        <v>1364</v>
      </c>
      <c r="D480" t="s">
        <v>18</v>
      </c>
      <c r="E480" t="str">
        <f>Table1[[#This Row],[Abbreviations]]</f>
        <v>Bolingbroke Grove</v>
      </c>
      <c r="F480" t="s">
        <v>516</v>
      </c>
      <c r="G480" t="str">
        <f xml:space="preserve"> PROPER(_xlfn.CONCAT(Table13[[#This Row],[Title]]," ",Table13[[#This Row],[First Name]]," ",Table13[[#This Row],[Last Name]]))</f>
        <v>Miss Larue Cramer</v>
      </c>
      <c r="H480" t="str">
        <f t="shared" si="14"/>
        <v>Miss L.Cramer</v>
      </c>
      <c r="I480" t="str">
        <f t="shared" si="15"/>
        <v>F</v>
      </c>
    </row>
    <row r="481" spans="1:9" x14ac:dyDescent="0.3">
      <c r="A481">
        <v>478</v>
      </c>
      <c r="B481" t="s">
        <v>1893</v>
      </c>
      <c r="C481" t="s">
        <v>1894</v>
      </c>
      <c r="D481" t="s">
        <v>7</v>
      </c>
      <c r="E481" t="str">
        <f>Table1[[#This Row],[Abbreviations]]</f>
        <v>Cross Road</v>
      </c>
      <c r="F481" t="s">
        <v>1896</v>
      </c>
      <c r="G481" t="str">
        <f xml:space="preserve"> PROPER(_xlfn.CONCAT(Table13[[#This Row],[Title]]," ",Table13[[#This Row],[First Name]]," ",Table13[[#This Row],[Last Name]]))</f>
        <v>Mrs Edra Cline</v>
      </c>
      <c r="H481" t="str">
        <f t="shared" si="14"/>
        <v>Mrs E.Cline</v>
      </c>
      <c r="I481" t="str">
        <f t="shared" si="15"/>
        <v>F</v>
      </c>
    </row>
    <row r="482" spans="1:9" x14ac:dyDescent="0.3">
      <c r="A482">
        <v>479</v>
      </c>
      <c r="B482" t="s">
        <v>1897</v>
      </c>
      <c r="C482" t="s">
        <v>477</v>
      </c>
      <c r="D482" t="s">
        <v>7</v>
      </c>
      <c r="E482" t="str">
        <f>Table1[[#This Row],[Abbreviations]]</f>
        <v>Morland Road</v>
      </c>
      <c r="F482" t="s">
        <v>428</v>
      </c>
      <c r="G482" t="str">
        <f xml:space="preserve"> PROPER(_xlfn.CONCAT(Table13[[#This Row],[Title]]," ",Table13[[#This Row],[First Name]]," ",Table13[[#This Row],[Last Name]]))</f>
        <v>Mrs Sallie Middleton</v>
      </c>
      <c r="H482" t="str">
        <f t="shared" si="14"/>
        <v>Mrs S.Middleton</v>
      </c>
      <c r="I482" t="str">
        <f t="shared" si="15"/>
        <v>F</v>
      </c>
    </row>
    <row r="483" spans="1:9" x14ac:dyDescent="0.3">
      <c r="A483">
        <v>480</v>
      </c>
      <c r="B483" t="s">
        <v>1899</v>
      </c>
      <c r="C483" t="s">
        <v>1900</v>
      </c>
      <c r="D483" t="s">
        <v>18</v>
      </c>
      <c r="E483" t="str">
        <f>Table1[[#This Row],[Abbreviations]]</f>
        <v>Felton Street</v>
      </c>
      <c r="F483" t="s">
        <v>1902</v>
      </c>
      <c r="G483" t="str">
        <f xml:space="preserve"> PROPER(_xlfn.CONCAT(Table13[[#This Row],[Title]]," ",Table13[[#This Row],[First Name]]," ",Table13[[#This Row],[Last Name]]))</f>
        <v>Miss Joannie Kessler</v>
      </c>
      <c r="H483" t="str">
        <f t="shared" si="14"/>
        <v>Miss J.Kessler</v>
      </c>
      <c r="I483" t="str">
        <f t="shared" si="15"/>
        <v>F</v>
      </c>
    </row>
    <row r="484" spans="1:9" x14ac:dyDescent="0.3">
      <c r="A484">
        <v>481</v>
      </c>
      <c r="B484" t="s">
        <v>1903</v>
      </c>
      <c r="C484" t="s">
        <v>1904</v>
      </c>
      <c r="D484" t="s">
        <v>71</v>
      </c>
      <c r="E484" t="str">
        <f>Table1[[#This Row],[Abbreviations]]</f>
        <v>Cold Street</v>
      </c>
      <c r="F484" t="s">
        <v>882</v>
      </c>
      <c r="G484" t="str">
        <f xml:space="preserve"> PROPER(_xlfn.CONCAT(Table13[[#This Row],[Title]]," ",Table13[[#This Row],[First Name]]," ",Table13[[#This Row],[Last Name]]))</f>
        <v>Ms Ivette Ramsey</v>
      </c>
      <c r="H484" t="str">
        <f t="shared" si="14"/>
        <v>Ms I.Ramsey</v>
      </c>
      <c r="I484" t="str">
        <f t="shared" si="15"/>
        <v>F</v>
      </c>
    </row>
    <row r="485" spans="1:9" x14ac:dyDescent="0.3">
      <c r="A485">
        <v>482</v>
      </c>
      <c r="B485" t="s">
        <v>1906</v>
      </c>
      <c r="C485" t="s">
        <v>1907</v>
      </c>
      <c r="D485" t="s">
        <v>7</v>
      </c>
      <c r="E485" t="str">
        <f>Table1[[#This Row],[Abbreviations]]</f>
        <v>Guildhouse Street</v>
      </c>
      <c r="F485" t="s">
        <v>1283</v>
      </c>
      <c r="G485" t="str">
        <f xml:space="preserve"> PROPER(_xlfn.CONCAT(Table13[[#This Row],[Title]]," ",Table13[[#This Row],[First Name]]," ",Table13[[#This Row],[Last Name]]))</f>
        <v>Mrs Tamisha Lassiter</v>
      </c>
      <c r="H485" t="str">
        <f t="shared" si="14"/>
        <v>Mrs T.Lassiter</v>
      </c>
      <c r="I485" t="str">
        <f t="shared" si="15"/>
        <v>F</v>
      </c>
    </row>
    <row r="486" spans="1:9" x14ac:dyDescent="0.3">
      <c r="A486">
        <v>483</v>
      </c>
      <c r="B486" t="s">
        <v>1909</v>
      </c>
      <c r="C486" t="s">
        <v>1910</v>
      </c>
      <c r="D486" t="s">
        <v>18</v>
      </c>
      <c r="E486" t="str">
        <f>Table1[[#This Row],[Abbreviations]]</f>
        <v>Hersham Close</v>
      </c>
      <c r="F486" t="s">
        <v>148</v>
      </c>
      <c r="G486" t="str">
        <f xml:space="preserve"> PROPER(_xlfn.CONCAT(Table13[[#This Row],[Title]]," ",Table13[[#This Row],[First Name]]," ",Table13[[#This Row],[Last Name]]))</f>
        <v>Miss Ashlie Amos</v>
      </c>
      <c r="H486" t="str">
        <f t="shared" si="14"/>
        <v>Miss A.Amos</v>
      </c>
      <c r="I486" t="str">
        <f t="shared" si="15"/>
        <v>F</v>
      </c>
    </row>
    <row r="487" spans="1:9" x14ac:dyDescent="0.3">
      <c r="A487">
        <v>484</v>
      </c>
      <c r="B487" t="s">
        <v>1912</v>
      </c>
      <c r="C487" t="s">
        <v>1913</v>
      </c>
      <c r="D487" t="s">
        <v>7</v>
      </c>
      <c r="E487" t="str">
        <f>Table1[[#This Row],[Abbreviations]]</f>
        <v>Spaniards Close</v>
      </c>
      <c r="F487" t="s">
        <v>1548</v>
      </c>
      <c r="G487" t="str">
        <f xml:space="preserve"> PROPER(_xlfn.CONCAT(Table13[[#This Row],[Title]]," ",Table13[[#This Row],[First Name]]," ",Table13[[#This Row],[Last Name]]))</f>
        <v>Mrs Tobie Sherman</v>
      </c>
      <c r="H487" t="str">
        <f t="shared" si="14"/>
        <v>Mrs T.SHERMAN</v>
      </c>
      <c r="I487" t="str">
        <f t="shared" si="15"/>
        <v>F</v>
      </c>
    </row>
    <row r="488" spans="1:9" x14ac:dyDescent="0.3">
      <c r="A488">
        <v>485</v>
      </c>
      <c r="B488" t="s">
        <v>1915</v>
      </c>
      <c r="C488" t="s">
        <v>1856</v>
      </c>
      <c r="D488" t="s">
        <v>18</v>
      </c>
      <c r="E488" t="str">
        <f>Table1[[#This Row],[Abbreviations]]</f>
        <v>Frankland Road</v>
      </c>
      <c r="F488" t="s">
        <v>426</v>
      </c>
      <c r="G488" t="str">
        <f xml:space="preserve"> PROPER(_xlfn.CONCAT(Table13[[#This Row],[Title]]," ",Table13[[#This Row],[First Name]]," ",Table13[[#This Row],[Last Name]]))</f>
        <v>Miss Sindy Benton</v>
      </c>
      <c r="H488" t="str">
        <f t="shared" si="14"/>
        <v>Miss S.Benton</v>
      </c>
      <c r="I488" t="str">
        <f t="shared" si="15"/>
        <v>F</v>
      </c>
    </row>
    <row r="489" spans="1:9" x14ac:dyDescent="0.3">
      <c r="A489">
        <v>486</v>
      </c>
      <c r="B489" t="s">
        <v>1917</v>
      </c>
      <c r="C489" t="s">
        <v>1276</v>
      </c>
      <c r="D489" t="s">
        <v>7</v>
      </c>
      <c r="E489" t="str">
        <f>Table1[[#This Row],[Abbreviations]]</f>
        <v>Osier Street</v>
      </c>
      <c r="F489" t="s">
        <v>713</v>
      </c>
      <c r="G489" t="str">
        <f xml:space="preserve"> PROPER(_xlfn.CONCAT(Table13[[#This Row],[Title]]," ",Table13[[#This Row],[First Name]]," ",Table13[[#This Row],[Last Name]]))</f>
        <v>Mrs Melisa Dillard</v>
      </c>
      <c r="H489" t="str">
        <f t="shared" si="14"/>
        <v>Mrs M.Dillard</v>
      </c>
      <c r="I489" t="str">
        <f t="shared" si="15"/>
        <v>F</v>
      </c>
    </row>
    <row r="490" spans="1:9" x14ac:dyDescent="0.3">
      <c r="A490">
        <v>487</v>
      </c>
      <c r="B490" t="s">
        <v>1919</v>
      </c>
      <c r="C490" t="s">
        <v>1920</v>
      </c>
      <c r="D490" t="s">
        <v>18</v>
      </c>
      <c r="E490" t="str">
        <f>Table1[[#This Row],[Abbreviations]]</f>
        <v>Roy Place</v>
      </c>
      <c r="F490" t="s">
        <v>1922</v>
      </c>
      <c r="G490" t="str">
        <f xml:space="preserve"> PROPER(_xlfn.CONCAT(Table13[[#This Row],[Title]]," ",Table13[[#This Row],[First Name]]," ",Table13[[#This Row],[Last Name]]))</f>
        <v>Miss Christiana Ogden</v>
      </c>
      <c r="H490" t="str">
        <f t="shared" si="14"/>
        <v>Miss C.Ogden</v>
      </c>
      <c r="I490" t="str">
        <f t="shared" si="15"/>
        <v>F</v>
      </c>
    </row>
    <row r="491" spans="1:9" x14ac:dyDescent="0.3">
      <c r="A491">
        <v>488</v>
      </c>
      <c r="B491" t="s">
        <v>1923</v>
      </c>
      <c r="C491" t="s">
        <v>1924</v>
      </c>
      <c r="D491" t="s">
        <v>7</v>
      </c>
      <c r="E491" t="str">
        <f>Table1[[#This Row],[Abbreviations]]</f>
        <v>Edna Street</v>
      </c>
      <c r="F491" t="s">
        <v>365</v>
      </c>
      <c r="G491" t="str">
        <f xml:space="preserve"> PROPER(_xlfn.CONCAT(Table13[[#This Row],[Title]]," ",Table13[[#This Row],[First Name]]," ",Table13[[#This Row],[Last Name]]))</f>
        <v>Mrs Velia Whitt</v>
      </c>
      <c r="H491" t="str">
        <f t="shared" si="14"/>
        <v>Mrs V.Whitt</v>
      </c>
      <c r="I491" t="str">
        <f t="shared" si="15"/>
        <v>F</v>
      </c>
    </row>
    <row r="492" spans="1:9" x14ac:dyDescent="0.3">
      <c r="A492">
        <v>489</v>
      </c>
      <c r="B492" t="s">
        <v>1926</v>
      </c>
      <c r="C492" t="s">
        <v>1927</v>
      </c>
      <c r="D492" t="s">
        <v>7</v>
      </c>
      <c r="E492" t="str">
        <f>Table1[[#This Row],[Abbreviations]]</f>
        <v>Beachfield Road</v>
      </c>
      <c r="F492" t="s">
        <v>421</v>
      </c>
      <c r="G492" t="str">
        <f xml:space="preserve"> PROPER(_xlfn.CONCAT(Table13[[#This Row],[Title]]," ",Table13[[#This Row],[First Name]]," ",Table13[[#This Row],[Last Name]]))</f>
        <v>Mrs Bernardine Molina</v>
      </c>
      <c r="H492" t="str">
        <f t="shared" si="14"/>
        <v>Mrs B.Molina</v>
      </c>
      <c r="I492" t="str">
        <f t="shared" si="15"/>
        <v>F</v>
      </c>
    </row>
    <row r="493" spans="1:9" x14ac:dyDescent="0.3">
      <c r="A493">
        <v>490</v>
      </c>
      <c r="B493" t="s">
        <v>1929</v>
      </c>
      <c r="C493" t="s">
        <v>394</v>
      </c>
      <c r="D493" t="s">
        <v>7</v>
      </c>
      <c r="E493" t="str">
        <f>Table1[[#This Row],[Abbreviations]]</f>
        <v>Bolwell Street</v>
      </c>
      <c r="F493" t="s">
        <v>1931</v>
      </c>
      <c r="G493" t="str">
        <f xml:space="preserve"> PROPER(_xlfn.CONCAT(Table13[[#This Row],[Title]]," ",Table13[[#This Row],[First Name]]," ",Table13[[#This Row],[Last Name]]))</f>
        <v>Mrs Vivian Marcum</v>
      </c>
      <c r="H493" t="str">
        <f t="shared" si="14"/>
        <v>Mrs V.Marcum</v>
      </c>
      <c r="I493" t="str">
        <f t="shared" si="15"/>
        <v>F</v>
      </c>
    </row>
    <row r="494" spans="1:9" x14ac:dyDescent="0.3">
      <c r="A494">
        <v>491</v>
      </c>
      <c r="B494" t="s">
        <v>1932</v>
      </c>
      <c r="C494" t="s">
        <v>1933</v>
      </c>
      <c r="D494" t="s">
        <v>18</v>
      </c>
      <c r="E494" t="str">
        <f>Table1[[#This Row],[Abbreviations]]</f>
        <v>Admiral Walk</v>
      </c>
      <c r="F494" t="s">
        <v>463</v>
      </c>
      <c r="G494" t="str">
        <f xml:space="preserve"> PROPER(_xlfn.CONCAT(Table13[[#This Row],[Title]]," ",Table13[[#This Row],[First Name]]," ",Table13[[#This Row],[Last Name]]))</f>
        <v>Miss Ira Dillon</v>
      </c>
      <c r="H494" t="str">
        <f t="shared" si="14"/>
        <v>Miss I.Dillon</v>
      </c>
      <c r="I494" t="str">
        <f t="shared" si="15"/>
        <v>F</v>
      </c>
    </row>
    <row r="495" spans="1:9" x14ac:dyDescent="0.3">
      <c r="A495">
        <v>492</v>
      </c>
      <c r="B495" t="s">
        <v>190</v>
      </c>
      <c r="C495" t="s">
        <v>1935</v>
      </c>
      <c r="D495" t="s">
        <v>7</v>
      </c>
      <c r="E495" t="str">
        <f>Table1[[#This Row],[Abbreviations]]</f>
        <v>Mardyke Street</v>
      </c>
      <c r="F495" t="s">
        <v>1937</v>
      </c>
      <c r="G495" t="str">
        <f xml:space="preserve"> PROPER(_xlfn.CONCAT(Table13[[#This Row],[Title]]," ",Table13[[#This Row],[First Name]]," ",Table13[[#This Row],[Last Name]]))</f>
        <v>Mrs Josefina Crocker</v>
      </c>
      <c r="H495" t="str">
        <f t="shared" si="14"/>
        <v>Mrs J.Crocker</v>
      </c>
      <c r="I495" t="str">
        <f t="shared" si="15"/>
        <v>F</v>
      </c>
    </row>
    <row r="496" spans="1:9" x14ac:dyDescent="0.3">
      <c r="A496">
        <v>493</v>
      </c>
      <c r="B496" t="s">
        <v>1938</v>
      </c>
      <c r="C496" t="s">
        <v>1573</v>
      </c>
      <c r="D496" t="s">
        <v>18</v>
      </c>
      <c r="E496" t="str">
        <f>Table1[[#This Row],[Abbreviations]]</f>
        <v>William Barefoot</v>
      </c>
      <c r="F496" t="s">
        <v>1940</v>
      </c>
      <c r="G496" t="str">
        <f xml:space="preserve"> PROPER(_xlfn.CONCAT(Table13[[#This Row],[Title]]," ",Table13[[#This Row],[First Name]]," ",Table13[[#This Row],[Last Name]]))</f>
        <v>Miss Karly Rivera</v>
      </c>
      <c r="H496" t="str">
        <f t="shared" si="14"/>
        <v>Miss K.Rivera</v>
      </c>
      <c r="I496" t="str">
        <f t="shared" si="15"/>
        <v>F</v>
      </c>
    </row>
    <row r="497" spans="1:9" x14ac:dyDescent="0.3">
      <c r="A497">
        <v>494</v>
      </c>
      <c r="B497" t="s">
        <v>1303</v>
      </c>
      <c r="C497" t="s">
        <v>1941</v>
      </c>
      <c r="D497" t="s">
        <v>55</v>
      </c>
      <c r="E497" t="str">
        <f>Table1[[#This Row],[Abbreviations]]</f>
        <v>Orleans Road</v>
      </c>
      <c r="F497" t="s">
        <v>1943</v>
      </c>
      <c r="G497" t="str">
        <f xml:space="preserve"> PROPER(_xlfn.CONCAT(Table13[[#This Row],[Title]]," ",Table13[[#This Row],[First Name]]," ",Table13[[#This Row],[Last Name]]))</f>
        <v>Prof Ida Hebert</v>
      </c>
      <c r="H497" t="str">
        <f t="shared" si="14"/>
        <v>Prof I.Hebert</v>
      </c>
      <c r="I497" t="str">
        <f t="shared" si="15"/>
        <v>F</v>
      </c>
    </row>
    <row r="498" spans="1:9" x14ac:dyDescent="0.3">
      <c r="A498">
        <v>495</v>
      </c>
      <c r="B498" t="s">
        <v>1944</v>
      </c>
      <c r="C498" t="s">
        <v>1945</v>
      </c>
      <c r="D498" t="s">
        <v>18</v>
      </c>
      <c r="E498" t="str">
        <f>Table1[[#This Row],[Abbreviations]]</f>
        <v>Gaitskell Road</v>
      </c>
      <c r="F498" t="s">
        <v>1947</v>
      </c>
      <c r="G498" t="str">
        <f xml:space="preserve"> PROPER(_xlfn.CONCAT(Table13[[#This Row],[Title]]," ",Table13[[#This Row],[First Name]]," ",Table13[[#This Row],[Last Name]]))</f>
        <v>Miss Jessica Youngblood</v>
      </c>
      <c r="H498" t="str">
        <f t="shared" si="14"/>
        <v>Miss J.Youngblood</v>
      </c>
      <c r="I498" t="str">
        <f t="shared" si="15"/>
        <v>F</v>
      </c>
    </row>
    <row r="499" spans="1:9" x14ac:dyDescent="0.3">
      <c r="A499">
        <v>496</v>
      </c>
      <c r="B499" t="s">
        <v>1028</v>
      </c>
      <c r="C499" t="s">
        <v>1074</v>
      </c>
      <c r="D499" t="s">
        <v>18</v>
      </c>
      <c r="E499" t="str">
        <f>Table1[[#This Row],[Abbreviations]]</f>
        <v>Coralline Walk</v>
      </c>
      <c r="F499" t="s">
        <v>1949</v>
      </c>
      <c r="G499" t="str">
        <f xml:space="preserve"> PROPER(_xlfn.CONCAT(Table13[[#This Row],[Title]]," ",Table13[[#This Row],[First Name]]," ",Table13[[#This Row],[Last Name]]))</f>
        <v>Miss Kelsey Stacy</v>
      </c>
      <c r="H499" t="str">
        <f t="shared" si="14"/>
        <v>Miss K.Stacy</v>
      </c>
      <c r="I499" t="str">
        <f t="shared" si="15"/>
        <v>F</v>
      </c>
    </row>
    <row r="500" spans="1:9" x14ac:dyDescent="0.3">
      <c r="A500">
        <v>497</v>
      </c>
      <c r="B500" t="s">
        <v>1950</v>
      </c>
      <c r="C500" t="s">
        <v>1951</v>
      </c>
      <c r="D500" t="s">
        <v>18</v>
      </c>
      <c r="E500" t="str">
        <f>Table1[[#This Row],[Abbreviations]]</f>
        <v>Delamere Terrace</v>
      </c>
      <c r="F500" t="s">
        <v>534</v>
      </c>
      <c r="G500" t="str">
        <f xml:space="preserve"> PROPER(_xlfn.CONCAT(Table13[[#This Row],[Title]]," ",Table13[[#This Row],[First Name]]," ",Table13[[#This Row],[Last Name]]))</f>
        <v>Miss Audry Munson</v>
      </c>
      <c r="H500" t="str">
        <f t="shared" si="14"/>
        <v>Miss A.Munson</v>
      </c>
      <c r="I500" t="str">
        <f t="shared" si="15"/>
        <v>F</v>
      </c>
    </row>
    <row r="501" spans="1:9" x14ac:dyDescent="0.3">
      <c r="A501">
        <v>498</v>
      </c>
      <c r="B501" t="s">
        <v>1953</v>
      </c>
      <c r="C501" t="s">
        <v>1954</v>
      </c>
      <c r="D501" t="s">
        <v>7</v>
      </c>
      <c r="E501" t="str">
        <f>Table1[[#This Row],[Abbreviations]]</f>
        <v>Strachan Place</v>
      </c>
      <c r="F501" t="s">
        <v>1956</v>
      </c>
      <c r="G501" t="str">
        <f xml:space="preserve"> PROPER(_xlfn.CONCAT(Table13[[#This Row],[Title]]," ",Table13[[#This Row],[First Name]]," ",Table13[[#This Row],[Last Name]]))</f>
        <v>Mrs Terina Farley</v>
      </c>
      <c r="H501" t="str">
        <f t="shared" si="14"/>
        <v>Mrs T.Farley</v>
      </c>
      <c r="I501" t="str">
        <f t="shared" si="15"/>
        <v>F</v>
      </c>
    </row>
    <row r="502" spans="1:9" x14ac:dyDescent="0.3">
      <c r="A502">
        <v>499</v>
      </c>
      <c r="B502" t="s">
        <v>1899</v>
      </c>
      <c r="C502" t="s">
        <v>1957</v>
      </c>
      <c r="D502" t="s">
        <v>18</v>
      </c>
      <c r="E502" t="str">
        <f>Table1[[#This Row],[Abbreviations]]</f>
        <v>Gosterwood Street</v>
      </c>
      <c r="F502" t="s">
        <v>897</v>
      </c>
      <c r="G502" t="str">
        <f xml:space="preserve"> PROPER(_xlfn.CONCAT(Table13[[#This Row],[Title]]," ",Table13[[#This Row],[First Name]]," ",Table13[[#This Row],[Last Name]]))</f>
        <v>Miss Joannie Biggs</v>
      </c>
      <c r="H502" t="str">
        <f t="shared" si="14"/>
        <v>Miss J.Biggs</v>
      </c>
      <c r="I502" t="str">
        <f t="shared" si="15"/>
        <v>F</v>
      </c>
    </row>
    <row r="503" spans="1:9" x14ac:dyDescent="0.3">
      <c r="A503">
        <v>500</v>
      </c>
      <c r="B503" t="s">
        <v>1959</v>
      </c>
      <c r="C503" t="s">
        <v>1960</v>
      </c>
      <c r="D503" t="s">
        <v>18</v>
      </c>
      <c r="E503" t="str">
        <f>Table1[[#This Row],[Abbreviations]]</f>
        <v>Wemyss Road</v>
      </c>
      <c r="F503" t="s">
        <v>1962</v>
      </c>
      <c r="G503" t="str">
        <f xml:space="preserve"> PROPER(_xlfn.CONCAT(Table13[[#This Row],[Title]]," ",Table13[[#This Row],[First Name]]," ",Table13[[#This Row],[Last Name]]))</f>
        <v>Miss Rachelle Howard</v>
      </c>
      <c r="H503" t="str">
        <f t="shared" si="14"/>
        <v>Miss R.Howard</v>
      </c>
      <c r="I503" t="str">
        <f t="shared" si="15"/>
        <v>F</v>
      </c>
    </row>
    <row r="504" spans="1:9" x14ac:dyDescent="0.3">
      <c r="A504">
        <v>501</v>
      </c>
      <c r="B504" t="s">
        <v>1963</v>
      </c>
      <c r="C504" t="s">
        <v>477</v>
      </c>
      <c r="D504" t="s">
        <v>71</v>
      </c>
      <c r="E504" t="str">
        <f>Table1[[#This Row],[Abbreviations]]</f>
        <v>Commonwealth Avenue</v>
      </c>
      <c r="F504" t="s">
        <v>514</v>
      </c>
      <c r="G504" t="str">
        <f xml:space="preserve"> PROPER(_xlfn.CONCAT(Table13[[#This Row],[Title]]," ",Table13[[#This Row],[First Name]]," ",Table13[[#This Row],[Last Name]]))</f>
        <v>Ms Deloras Middleton</v>
      </c>
      <c r="H504" t="str">
        <f t="shared" si="14"/>
        <v>Ms D.Middleton</v>
      </c>
      <c r="I504" t="str">
        <f t="shared" si="15"/>
        <v>F</v>
      </c>
    </row>
    <row r="505" spans="1:9" x14ac:dyDescent="0.3">
      <c r="A505">
        <v>502</v>
      </c>
      <c r="B505" t="s">
        <v>1965</v>
      </c>
      <c r="C505" t="s">
        <v>933</v>
      </c>
      <c r="D505" t="s">
        <v>18</v>
      </c>
      <c r="E505" t="str">
        <f>Table1[[#This Row],[Abbreviations]]</f>
        <v>Ardent Close</v>
      </c>
      <c r="F505" t="s">
        <v>1967</v>
      </c>
      <c r="G505" t="str">
        <f xml:space="preserve"> PROPER(_xlfn.CONCAT(Table13[[#This Row],[Title]]," ",Table13[[#This Row],[First Name]]," ",Table13[[#This Row],[Last Name]]))</f>
        <v>Miss Mariella Crenshaw</v>
      </c>
      <c r="H505" t="str">
        <f t="shared" si="14"/>
        <v>Miss M.Crenshaw</v>
      </c>
      <c r="I505" t="str">
        <f t="shared" si="15"/>
        <v>F</v>
      </c>
    </row>
    <row r="506" spans="1:9" x14ac:dyDescent="0.3">
      <c r="A506">
        <v>503</v>
      </c>
      <c r="B506" t="s">
        <v>1968</v>
      </c>
      <c r="C506" t="s">
        <v>1969</v>
      </c>
      <c r="D506" t="s">
        <v>7</v>
      </c>
      <c r="E506" t="str">
        <f>Table1[[#This Row],[Abbreviations]]</f>
        <v>Hollingbourne Road</v>
      </c>
      <c r="F506" t="s">
        <v>1971</v>
      </c>
      <c r="G506" t="str">
        <f xml:space="preserve"> PROPER(_xlfn.CONCAT(Table13[[#This Row],[Title]]," ",Table13[[#This Row],[First Name]]," ",Table13[[#This Row],[Last Name]]))</f>
        <v>Mrs Cristen Gustafson</v>
      </c>
      <c r="H506" t="str">
        <f t="shared" si="14"/>
        <v>Mrs C.Gustafson</v>
      </c>
      <c r="I506" t="str">
        <f t="shared" si="15"/>
        <v>F</v>
      </c>
    </row>
    <row r="507" spans="1:9" x14ac:dyDescent="0.3">
      <c r="A507">
        <v>504</v>
      </c>
      <c r="B507" t="s">
        <v>1972</v>
      </c>
      <c r="C507" t="s">
        <v>1017</v>
      </c>
      <c r="D507" t="s">
        <v>7</v>
      </c>
      <c r="E507" t="str">
        <f>Table1[[#This Row],[Abbreviations]]</f>
        <v>Collyer Collages</v>
      </c>
      <c r="F507" t="s">
        <v>1974</v>
      </c>
      <c r="G507" t="str">
        <f xml:space="preserve"> PROPER(_xlfn.CONCAT(Table13[[#This Row],[Title]]," ",Table13[[#This Row],[First Name]]," ",Table13[[#This Row],[Last Name]]))</f>
        <v>Mrs Dalene Jefferson</v>
      </c>
      <c r="H507" t="str">
        <f t="shared" si="14"/>
        <v>Mrs D.Jefferson</v>
      </c>
      <c r="I507" t="str">
        <f t="shared" si="15"/>
        <v>F</v>
      </c>
    </row>
    <row r="508" spans="1:9" x14ac:dyDescent="0.3">
      <c r="A508">
        <v>505</v>
      </c>
      <c r="B508" t="s">
        <v>1975</v>
      </c>
      <c r="C508" t="s">
        <v>1976</v>
      </c>
      <c r="D508" t="s">
        <v>7</v>
      </c>
      <c r="E508" t="str">
        <f>Table1[[#This Row],[Abbreviations]]</f>
        <v>Parker'S Buildings</v>
      </c>
      <c r="F508" t="s">
        <v>550</v>
      </c>
      <c r="G508" t="str">
        <f xml:space="preserve"> PROPER(_xlfn.CONCAT(Table13[[#This Row],[Title]]," ",Table13[[#This Row],[First Name]]," ",Table13[[#This Row],[Last Name]]))</f>
        <v>Mrs Hsiu Wooten</v>
      </c>
      <c r="H508" t="str">
        <f t="shared" si="14"/>
        <v>Mrs H.Wooten</v>
      </c>
      <c r="I508" t="str">
        <f t="shared" si="15"/>
        <v>F</v>
      </c>
    </row>
    <row r="509" spans="1:9" x14ac:dyDescent="0.3">
      <c r="A509">
        <v>506</v>
      </c>
      <c r="B509" t="s">
        <v>347</v>
      </c>
      <c r="C509" t="s">
        <v>1978</v>
      </c>
      <c r="D509" t="s">
        <v>318</v>
      </c>
      <c r="E509" t="str">
        <f>Table1[[#This Row],[Abbreviations]]</f>
        <v>Belfour Street</v>
      </c>
      <c r="F509" t="s">
        <v>1971</v>
      </c>
      <c r="G509" t="str">
        <f xml:space="preserve"> PROPER(_xlfn.CONCAT(Table13[[#This Row],[Title]]," ",Table13[[#This Row],[First Name]]," ",Table13[[#This Row],[Last Name]]))</f>
        <v>Dr Jadwiga Gamble</v>
      </c>
      <c r="H509" t="str">
        <f t="shared" si="14"/>
        <v>Dr J.Gamble</v>
      </c>
      <c r="I509" t="str">
        <f t="shared" si="15"/>
        <v>F</v>
      </c>
    </row>
    <row r="510" spans="1:9" x14ac:dyDescent="0.3">
      <c r="A510">
        <v>507</v>
      </c>
      <c r="B510" t="s">
        <v>1980</v>
      </c>
      <c r="C510" t="s">
        <v>1981</v>
      </c>
      <c r="D510" t="s">
        <v>18</v>
      </c>
      <c r="E510" t="str">
        <f>Table1[[#This Row],[Abbreviations]]</f>
        <v>Dulwich Hill</v>
      </c>
      <c r="F510" t="s">
        <v>615</v>
      </c>
      <c r="G510" t="str">
        <f xml:space="preserve"> PROPER(_xlfn.CONCAT(Table13[[#This Row],[Title]]," ",Table13[[#This Row],[First Name]]," ",Table13[[#This Row],[Last Name]]))</f>
        <v>Miss Marline Shaver</v>
      </c>
      <c r="H510" t="str">
        <f t="shared" si="14"/>
        <v>Miss M.Shaver</v>
      </c>
      <c r="I510" t="str">
        <f t="shared" si="15"/>
        <v>F</v>
      </c>
    </row>
    <row r="511" spans="1:9" x14ac:dyDescent="0.3">
      <c r="A511">
        <v>508</v>
      </c>
      <c r="B511" t="s">
        <v>1983</v>
      </c>
      <c r="C511" t="s">
        <v>1984</v>
      </c>
      <c r="D511" t="s">
        <v>18</v>
      </c>
      <c r="E511" t="str">
        <f>Table1[[#This Row],[Abbreviations]]</f>
        <v>Norris Street</v>
      </c>
      <c r="F511" t="s">
        <v>1560</v>
      </c>
      <c r="G511" t="str">
        <f xml:space="preserve"> PROPER(_xlfn.CONCAT(Table13[[#This Row],[Title]]," ",Table13[[#This Row],[First Name]]," ",Table13[[#This Row],[Last Name]]))</f>
        <v>Miss Tatum Posey</v>
      </c>
      <c r="H511" t="str">
        <f t="shared" si="14"/>
        <v>Miss t.Posey</v>
      </c>
      <c r="I511" t="str">
        <f t="shared" si="15"/>
        <v>F</v>
      </c>
    </row>
    <row r="512" spans="1:9" x14ac:dyDescent="0.3">
      <c r="A512">
        <v>509</v>
      </c>
      <c r="B512" t="s">
        <v>625</v>
      </c>
      <c r="C512" t="s">
        <v>539</v>
      </c>
      <c r="D512" t="s">
        <v>7</v>
      </c>
      <c r="E512" t="str">
        <f>Table1[[#This Row],[Abbreviations]]</f>
        <v>Medcroft Gardens</v>
      </c>
      <c r="F512" t="s">
        <v>1987</v>
      </c>
      <c r="G512" t="str">
        <f xml:space="preserve"> PROPER(_xlfn.CONCAT(Table13[[#This Row],[Title]]," ",Table13[[#This Row],[First Name]]," ",Table13[[#This Row],[Last Name]]))</f>
        <v>Mrs Cleotilde Thomson</v>
      </c>
      <c r="H512" t="str">
        <f t="shared" si="14"/>
        <v>Mrs C.Thomson</v>
      </c>
      <c r="I512" t="str">
        <f t="shared" si="15"/>
        <v>F</v>
      </c>
    </row>
    <row r="513" spans="1:9" x14ac:dyDescent="0.3">
      <c r="A513">
        <v>510</v>
      </c>
      <c r="B513" t="s">
        <v>1988</v>
      </c>
      <c r="C513" t="s">
        <v>1989</v>
      </c>
      <c r="D513" t="s">
        <v>18</v>
      </c>
      <c r="E513" t="str">
        <f>Table1[[#This Row],[Abbreviations]]</f>
        <v>Sandringham Flats</v>
      </c>
      <c r="F513" t="s">
        <v>1376</v>
      </c>
      <c r="G513" t="str">
        <f xml:space="preserve"> PROPER(_xlfn.CONCAT(Table13[[#This Row],[Title]]," ",Table13[[#This Row],[First Name]]," ",Table13[[#This Row],[Last Name]]))</f>
        <v>Miss Tena Morgan</v>
      </c>
      <c r="H513" t="str">
        <f t="shared" si="14"/>
        <v>Miss T.Morgan</v>
      </c>
      <c r="I513" t="str">
        <f t="shared" si="15"/>
        <v>F</v>
      </c>
    </row>
    <row r="514" spans="1:9" x14ac:dyDescent="0.3">
      <c r="A514">
        <v>511</v>
      </c>
      <c r="B514" t="s">
        <v>875</v>
      </c>
      <c r="C514" t="s">
        <v>1991</v>
      </c>
      <c r="D514" t="s">
        <v>18</v>
      </c>
      <c r="E514" t="str">
        <f>Table1[[#This Row],[Abbreviations]]</f>
        <v>Greenacre Gardens</v>
      </c>
      <c r="F514" t="s">
        <v>1993</v>
      </c>
      <c r="G514" t="str">
        <f xml:space="preserve"> PROPER(_xlfn.CONCAT(Table13[[#This Row],[Title]]," ",Table13[[#This Row],[First Name]]," ",Table13[[#This Row],[Last Name]]))</f>
        <v>Miss Luba Heller</v>
      </c>
      <c r="H514" t="str">
        <f t="shared" si="14"/>
        <v>Miss L.Heller</v>
      </c>
      <c r="I514" t="str">
        <f t="shared" si="15"/>
        <v>F</v>
      </c>
    </row>
    <row r="515" spans="1:9" x14ac:dyDescent="0.3">
      <c r="A515">
        <v>512</v>
      </c>
      <c r="B515" t="s">
        <v>1994</v>
      </c>
      <c r="C515" t="s">
        <v>589</v>
      </c>
      <c r="D515" t="s">
        <v>7</v>
      </c>
      <c r="E515" t="str">
        <f>Table1[[#This Row],[Abbreviations]]</f>
        <v>Monster Square</v>
      </c>
      <c r="F515" t="s">
        <v>1996</v>
      </c>
      <c r="G515" t="str">
        <f xml:space="preserve"> PROPER(_xlfn.CONCAT(Table13[[#This Row],[Title]]," ",Table13[[#This Row],[First Name]]," ",Table13[[#This Row],[Last Name]]))</f>
        <v>Mrs Georgene Askew</v>
      </c>
      <c r="H515" t="str">
        <f t="shared" si="14"/>
        <v>Mrs G.Askew</v>
      </c>
      <c r="I515" t="str">
        <f t="shared" si="15"/>
        <v>F</v>
      </c>
    </row>
    <row r="516" spans="1:9" x14ac:dyDescent="0.3">
      <c r="A516">
        <v>513</v>
      </c>
      <c r="B516" t="s">
        <v>1997</v>
      </c>
      <c r="C516" t="s">
        <v>394</v>
      </c>
      <c r="D516" t="s">
        <v>7</v>
      </c>
      <c r="E516" t="str">
        <f>Table1[[#This Row],[Abbreviations]]</f>
        <v>Ildersly Grove</v>
      </c>
      <c r="F516" t="s">
        <v>1560</v>
      </c>
      <c r="G516" t="str">
        <f xml:space="preserve"> PROPER(_xlfn.CONCAT(Table13[[#This Row],[Title]]," ",Table13[[#This Row],[First Name]]," ",Table13[[#This Row],[Last Name]]))</f>
        <v>Mrs Tayna Marcum</v>
      </c>
      <c r="H516" t="str">
        <f t="shared" ref="H516:H579" si="16">_xlfn.CONCAT(D516)&amp;" "&amp; LEFT(B516,1)&amp;"."&amp;C516</f>
        <v>Mrs T.Marcum</v>
      </c>
      <c r="I516" t="str">
        <f t="shared" ref="I516:I579" si="17">IF(LEFT(D516,3)="Mr","M","F")</f>
        <v>F</v>
      </c>
    </row>
    <row r="517" spans="1:9" x14ac:dyDescent="0.3">
      <c r="A517">
        <v>514</v>
      </c>
      <c r="B517" t="s">
        <v>1999</v>
      </c>
      <c r="C517" t="s">
        <v>2000</v>
      </c>
      <c r="D517" t="s">
        <v>71</v>
      </c>
      <c r="E517" t="str">
        <f>Table1[[#This Row],[Abbreviations]]</f>
        <v>Heathedge</v>
      </c>
      <c r="F517" t="s">
        <v>1135</v>
      </c>
      <c r="G517" t="str">
        <f xml:space="preserve"> PROPER(_xlfn.CONCAT(Table13[[#This Row],[Title]]," ",Table13[[#This Row],[First Name]]," ",Table13[[#This Row],[Last Name]]))</f>
        <v>Ms Angelena Velez</v>
      </c>
      <c r="H517" t="str">
        <f t="shared" si="16"/>
        <v>Ms A.Velez</v>
      </c>
      <c r="I517" t="str">
        <f t="shared" si="17"/>
        <v>F</v>
      </c>
    </row>
    <row r="518" spans="1:9" x14ac:dyDescent="0.3">
      <c r="A518">
        <v>515</v>
      </c>
      <c r="B518" t="s">
        <v>2002</v>
      </c>
      <c r="C518" t="s">
        <v>1805</v>
      </c>
      <c r="D518" t="s">
        <v>18</v>
      </c>
      <c r="E518" t="str">
        <f>Table1[[#This Row],[Abbreviations]]</f>
        <v>Norman Grove</v>
      </c>
      <c r="F518" t="s">
        <v>1465</v>
      </c>
      <c r="G518" t="str">
        <f xml:space="preserve"> PROPER(_xlfn.CONCAT(Table13[[#This Row],[Title]]," ",Table13[[#This Row],[First Name]]," ",Table13[[#This Row],[Last Name]]))</f>
        <v>Miss Nannie Flowers</v>
      </c>
      <c r="H518" t="str">
        <f t="shared" si="16"/>
        <v>Miss N.Flowers</v>
      </c>
      <c r="I518" t="str">
        <f t="shared" si="17"/>
        <v>F</v>
      </c>
    </row>
    <row r="519" spans="1:9" x14ac:dyDescent="0.3">
      <c r="A519">
        <v>516</v>
      </c>
      <c r="B519" t="s">
        <v>2004</v>
      </c>
      <c r="C519" t="s">
        <v>2005</v>
      </c>
      <c r="D519" t="s">
        <v>71</v>
      </c>
      <c r="E519" t="str">
        <f>Table1[[#This Row],[Abbreviations]]</f>
        <v>Orbel Street</v>
      </c>
      <c r="F519" t="s">
        <v>522</v>
      </c>
      <c r="G519" t="str">
        <f xml:space="preserve"> PROPER(_xlfn.CONCAT(Table13[[#This Row],[Title]]," ",Table13[[#This Row],[First Name]]," ",Table13[[#This Row],[Last Name]]))</f>
        <v>Ms Nell Shapiro</v>
      </c>
      <c r="H519" t="str">
        <f t="shared" si="16"/>
        <v>Ms N.Shapiro</v>
      </c>
      <c r="I519" t="str">
        <f t="shared" si="17"/>
        <v>F</v>
      </c>
    </row>
    <row r="520" spans="1:9" x14ac:dyDescent="0.3">
      <c r="A520">
        <v>517</v>
      </c>
      <c r="B520" t="s">
        <v>2007</v>
      </c>
      <c r="C520" t="s">
        <v>2008</v>
      </c>
      <c r="D520" t="s">
        <v>18</v>
      </c>
      <c r="E520" t="str">
        <f>Table1[[#This Row],[Abbreviations]]</f>
        <v>Tinsley Road</v>
      </c>
      <c r="F520" t="s">
        <v>2010</v>
      </c>
      <c r="G520" t="str">
        <f xml:space="preserve"> PROPER(_xlfn.CONCAT(Table13[[#This Row],[Title]]," ",Table13[[#This Row],[First Name]]," ",Table13[[#This Row],[Last Name]]))</f>
        <v>Miss Agnes Hilliard</v>
      </c>
      <c r="H520" t="str">
        <f t="shared" si="16"/>
        <v>Miss A.Hilliard</v>
      </c>
      <c r="I520" t="str">
        <f t="shared" si="17"/>
        <v>F</v>
      </c>
    </row>
    <row r="521" spans="1:9" x14ac:dyDescent="0.3">
      <c r="A521">
        <v>518</v>
      </c>
      <c r="B521" t="s">
        <v>2011</v>
      </c>
      <c r="C521" t="s">
        <v>2012</v>
      </c>
      <c r="D521" t="s">
        <v>7</v>
      </c>
      <c r="E521" t="str">
        <f>Table1[[#This Row],[Abbreviations]]</f>
        <v>Creek Road</v>
      </c>
      <c r="F521" t="s">
        <v>429</v>
      </c>
      <c r="G521" t="str">
        <f xml:space="preserve"> PROPER(_xlfn.CONCAT(Table13[[#This Row],[Title]]," ",Table13[[#This Row],[First Name]]," ",Table13[[#This Row],[Last Name]]))</f>
        <v>Mrs Hattie Belanger</v>
      </c>
      <c r="H521" t="str">
        <f t="shared" si="16"/>
        <v>Mrs H.Belanger</v>
      </c>
      <c r="I521" t="str">
        <f t="shared" si="17"/>
        <v>F</v>
      </c>
    </row>
    <row r="522" spans="1:9" x14ac:dyDescent="0.3">
      <c r="A522">
        <v>519</v>
      </c>
      <c r="B522" t="s">
        <v>2014</v>
      </c>
      <c r="C522" t="s">
        <v>2015</v>
      </c>
      <c r="D522" t="s">
        <v>18</v>
      </c>
      <c r="E522" t="str">
        <f>Table1[[#This Row],[Abbreviations]]</f>
        <v>Redburn House</v>
      </c>
      <c r="F522" t="s">
        <v>320</v>
      </c>
      <c r="G522" t="str">
        <f xml:space="preserve"> PROPER(_xlfn.CONCAT(Table13[[#This Row],[Title]]," ",Table13[[#This Row],[First Name]]," ",Table13[[#This Row],[Last Name]]))</f>
        <v>Miss Phillis Jacob</v>
      </c>
      <c r="H522" t="str">
        <f t="shared" si="16"/>
        <v>Miss P.Jacob</v>
      </c>
      <c r="I522" t="str">
        <f t="shared" si="17"/>
        <v>F</v>
      </c>
    </row>
    <row r="523" spans="1:9" x14ac:dyDescent="0.3">
      <c r="A523">
        <v>520</v>
      </c>
      <c r="B523" t="s">
        <v>2017</v>
      </c>
      <c r="C523" t="s">
        <v>1169</v>
      </c>
      <c r="D523" t="s">
        <v>18</v>
      </c>
      <c r="E523" t="str">
        <f>Table1[[#This Row],[Abbreviations]]</f>
        <v>Barnsbury Green</v>
      </c>
      <c r="F523" t="s">
        <v>259</v>
      </c>
      <c r="G523" t="str">
        <f xml:space="preserve"> PROPER(_xlfn.CONCAT(Table13[[#This Row],[Title]]," ",Table13[[#This Row],[First Name]]," ",Table13[[#This Row],[Last Name]]))</f>
        <v>Miss Natisha Diaz</v>
      </c>
      <c r="H523" t="str">
        <f t="shared" si="16"/>
        <v>Miss N.Diaz</v>
      </c>
      <c r="I523" t="str">
        <f t="shared" si="17"/>
        <v>F</v>
      </c>
    </row>
    <row r="524" spans="1:9" x14ac:dyDescent="0.3">
      <c r="A524">
        <v>521</v>
      </c>
      <c r="B524" t="s">
        <v>2019</v>
      </c>
      <c r="C524" t="s">
        <v>873</v>
      </c>
      <c r="D524" t="s">
        <v>18</v>
      </c>
      <c r="E524" t="str">
        <f>Table1[[#This Row],[Abbreviations]]</f>
        <v>Alpha Grove</v>
      </c>
      <c r="F524" t="s">
        <v>768</v>
      </c>
      <c r="G524" t="str">
        <f xml:space="preserve"> PROPER(_xlfn.CONCAT(Table13[[#This Row],[Title]]," ",Table13[[#This Row],[First Name]]," ",Table13[[#This Row],[Last Name]]))</f>
        <v>Miss Yukiko Kramer</v>
      </c>
      <c r="H524" t="str">
        <f t="shared" si="16"/>
        <v>Miss Y.Kramer</v>
      </c>
      <c r="I524" t="str">
        <f t="shared" si="17"/>
        <v>F</v>
      </c>
    </row>
    <row r="525" spans="1:9" x14ac:dyDescent="0.3">
      <c r="A525">
        <v>522</v>
      </c>
      <c r="B525" t="s">
        <v>2021</v>
      </c>
      <c r="C525" t="s">
        <v>162</v>
      </c>
      <c r="D525" t="s">
        <v>18</v>
      </c>
      <c r="E525" t="str">
        <f>Table1[[#This Row],[Abbreviations]]</f>
        <v>Sutherland Terrace</v>
      </c>
      <c r="F525" t="s">
        <v>948</v>
      </c>
      <c r="G525" t="str">
        <f xml:space="preserve"> PROPER(_xlfn.CONCAT(Table13[[#This Row],[Title]]," ",Table13[[#This Row],[First Name]]," ",Table13[[#This Row],[Last Name]]))</f>
        <v>Miss Tiffanie Orozco</v>
      </c>
      <c r="H525" t="str">
        <f t="shared" si="16"/>
        <v>Miss T.Orozco</v>
      </c>
      <c r="I525" t="str">
        <f t="shared" si="17"/>
        <v>F</v>
      </c>
    </row>
    <row r="526" spans="1:9" x14ac:dyDescent="0.3">
      <c r="A526">
        <v>523</v>
      </c>
      <c r="B526" t="s">
        <v>2023</v>
      </c>
      <c r="C526" t="s">
        <v>2024</v>
      </c>
      <c r="D526" t="s">
        <v>18</v>
      </c>
      <c r="E526" t="str">
        <f>Table1[[#This Row],[Abbreviations]]</f>
        <v>Pasley Close</v>
      </c>
      <c r="F526" t="s">
        <v>2026</v>
      </c>
      <c r="G526" t="str">
        <f xml:space="preserve"> PROPER(_xlfn.CONCAT(Table13[[#This Row],[Title]]," ",Table13[[#This Row],[First Name]]," ",Table13[[#This Row],[Last Name]]))</f>
        <v>Miss Bailey Valle</v>
      </c>
      <c r="H526" t="str">
        <f t="shared" si="16"/>
        <v>Miss B.Valle</v>
      </c>
      <c r="I526" t="str">
        <f t="shared" si="17"/>
        <v>F</v>
      </c>
    </row>
    <row r="527" spans="1:9" x14ac:dyDescent="0.3">
      <c r="A527">
        <v>524</v>
      </c>
      <c r="B527" t="s">
        <v>2027</v>
      </c>
      <c r="C527" t="s">
        <v>2028</v>
      </c>
      <c r="D527" t="s">
        <v>18</v>
      </c>
      <c r="E527" t="str">
        <f>Table1[[#This Row],[Abbreviations]]</f>
        <v>Craven Buldings</v>
      </c>
      <c r="F527" t="s">
        <v>2030</v>
      </c>
      <c r="G527" t="str">
        <f xml:space="preserve"> PROPER(_xlfn.CONCAT(Table13[[#This Row],[Title]]," ",Table13[[#This Row],[First Name]]," ",Table13[[#This Row],[Last Name]]))</f>
        <v>Miss Haydee Gibbs</v>
      </c>
      <c r="H527" t="str">
        <f t="shared" si="16"/>
        <v>Miss H.Gibbs</v>
      </c>
      <c r="I527" t="str">
        <f t="shared" si="17"/>
        <v>F</v>
      </c>
    </row>
    <row r="528" spans="1:9" x14ac:dyDescent="0.3">
      <c r="A528">
        <v>525</v>
      </c>
      <c r="B528" t="s">
        <v>2031</v>
      </c>
      <c r="C528" t="s">
        <v>674</v>
      </c>
      <c r="D528" t="s">
        <v>18</v>
      </c>
      <c r="E528" t="str">
        <f>Table1[[#This Row],[Abbreviations]]</f>
        <v>Blicke Terrace</v>
      </c>
      <c r="F528" t="s">
        <v>2033</v>
      </c>
      <c r="G528" t="str">
        <f xml:space="preserve"> PROPER(_xlfn.CONCAT(Table13[[#This Row],[Title]]," ",Table13[[#This Row],[First Name]]," ",Table13[[#This Row],[Last Name]]))</f>
        <v>Miss Latoyia Watkins</v>
      </c>
      <c r="H528" t="str">
        <f t="shared" si="16"/>
        <v>Miss L.Watkins</v>
      </c>
      <c r="I528" t="str">
        <f t="shared" si="17"/>
        <v>F</v>
      </c>
    </row>
    <row r="529" spans="1:9" x14ac:dyDescent="0.3">
      <c r="A529">
        <v>526</v>
      </c>
      <c r="B529" t="s">
        <v>566</v>
      </c>
      <c r="C529" t="s">
        <v>584</v>
      </c>
      <c r="D529" t="s">
        <v>71</v>
      </c>
      <c r="E529" t="str">
        <f>Table1[[#This Row],[Abbreviations]]</f>
        <v>Vermont Road</v>
      </c>
      <c r="F529" t="s">
        <v>427</v>
      </c>
      <c r="G529" t="str">
        <f xml:space="preserve"> PROPER(_xlfn.CONCAT(Table13[[#This Row],[Title]]," ",Table13[[#This Row],[First Name]]," ",Table13[[#This Row],[Last Name]]))</f>
        <v>Ms Glynda Burgos</v>
      </c>
      <c r="H529" t="str">
        <f t="shared" si="16"/>
        <v>Ms G.Burgos</v>
      </c>
      <c r="I529" t="str">
        <f t="shared" si="17"/>
        <v>F</v>
      </c>
    </row>
    <row r="530" spans="1:9" x14ac:dyDescent="0.3">
      <c r="A530">
        <v>527</v>
      </c>
      <c r="B530" t="s">
        <v>2035</v>
      </c>
      <c r="C530" t="s">
        <v>419</v>
      </c>
      <c r="D530" t="s">
        <v>18</v>
      </c>
      <c r="E530" t="str">
        <f>Table1[[#This Row],[Abbreviations]]</f>
        <v>Felix Terrace</v>
      </c>
      <c r="F530" t="s">
        <v>2037</v>
      </c>
      <c r="G530" t="str">
        <f xml:space="preserve"> PROPER(_xlfn.CONCAT(Table13[[#This Row],[Title]]," ",Table13[[#This Row],[First Name]]," ",Table13[[#This Row],[Last Name]]))</f>
        <v>Miss Georgine Bonds</v>
      </c>
      <c r="H530" t="str">
        <f t="shared" si="16"/>
        <v>Miss G.Bonds</v>
      </c>
      <c r="I530" t="str">
        <f t="shared" si="17"/>
        <v>F</v>
      </c>
    </row>
    <row r="531" spans="1:9" x14ac:dyDescent="0.3">
      <c r="A531">
        <v>528</v>
      </c>
      <c r="B531" t="s">
        <v>2038</v>
      </c>
      <c r="C531" t="s">
        <v>905</v>
      </c>
      <c r="D531" t="s">
        <v>7</v>
      </c>
      <c r="E531" t="str">
        <f>Table1[[#This Row],[Abbreviations]]</f>
        <v>Glading Terrace</v>
      </c>
      <c r="F531" t="s">
        <v>554</v>
      </c>
      <c r="G531" t="str">
        <f xml:space="preserve"> PROPER(_xlfn.CONCAT(Table13[[#This Row],[Title]]," ",Table13[[#This Row],[First Name]]," ",Table13[[#This Row],[Last Name]]))</f>
        <v>Mrs Demetria Mosley</v>
      </c>
      <c r="H531" t="str">
        <f t="shared" si="16"/>
        <v>Mrs D.Mosley</v>
      </c>
      <c r="I531" t="str">
        <f t="shared" si="17"/>
        <v>F</v>
      </c>
    </row>
    <row r="532" spans="1:9" x14ac:dyDescent="0.3">
      <c r="A532">
        <v>529</v>
      </c>
      <c r="B532" t="s">
        <v>2040</v>
      </c>
      <c r="C532" t="s">
        <v>1340</v>
      </c>
      <c r="D532" t="s">
        <v>18</v>
      </c>
      <c r="E532" t="str">
        <f>Table1[[#This Row],[Abbreviations]]</f>
        <v>Watneys Cottages</v>
      </c>
      <c r="F532" t="s">
        <v>2041</v>
      </c>
      <c r="G532" t="str">
        <f xml:space="preserve"> PROPER(_xlfn.CONCAT(Table13[[#This Row],[Title]]," ",Table13[[#This Row],[First Name]]," ",Table13[[#This Row],[Last Name]]))</f>
        <v>Miss Shae Sheldon</v>
      </c>
      <c r="H532" t="str">
        <f t="shared" si="16"/>
        <v>Miss S.Sheldon</v>
      </c>
      <c r="I532" t="str">
        <f t="shared" si="17"/>
        <v>F</v>
      </c>
    </row>
    <row r="533" spans="1:9" x14ac:dyDescent="0.3">
      <c r="A533">
        <v>530</v>
      </c>
      <c r="B533" t="s">
        <v>153</v>
      </c>
      <c r="C533" t="s">
        <v>1941</v>
      </c>
      <c r="D533" t="s">
        <v>18</v>
      </c>
      <c r="E533" t="str">
        <f>Table1[[#This Row],[Abbreviations]]</f>
        <v>Kirton Lodge</v>
      </c>
      <c r="F533" t="s">
        <v>681</v>
      </c>
      <c r="G533" t="str">
        <f xml:space="preserve"> PROPER(_xlfn.CONCAT(Table13[[#This Row],[Title]]," ",Table13[[#This Row],[First Name]]," ",Table13[[#This Row],[Last Name]]))</f>
        <v>Miss Aurora Hebert</v>
      </c>
      <c r="H533" t="str">
        <f t="shared" si="16"/>
        <v>Miss A.Hebert</v>
      </c>
      <c r="I533" t="str">
        <f t="shared" si="17"/>
        <v>F</v>
      </c>
    </row>
    <row r="534" spans="1:9" x14ac:dyDescent="0.3">
      <c r="A534">
        <v>531</v>
      </c>
      <c r="B534" t="s">
        <v>2043</v>
      </c>
      <c r="C534" t="s">
        <v>678</v>
      </c>
      <c r="D534" t="s">
        <v>18</v>
      </c>
      <c r="E534" t="str">
        <f>Table1[[#This Row],[Abbreviations]]</f>
        <v>Stewarts Cottages</v>
      </c>
      <c r="F534" t="s">
        <v>1931</v>
      </c>
      <c r="G534" t="str">
        <f xml:space="preserve"> PROPER(_xlfn.CONCAT(Table13[[#This Row],[Title]]," ",Table13[[#This Row],[First Name]]," ",Table13[[#This Row],[Last Name]]))</f>
        <v>Miss Katrina Wise</v>
      </c>
      <c r="H534" t="str">
        <f t="shared" si="16"/>
        <v>Miss K.Wise</v>
      </c>
      <c r="I534" t="str">
        <f t="shared" si="17"/>
        <v>F</v>
      </c>
    </row>
    <row r="535" spans="1:9" x14ac:dyDescent="0.3">
      <c r="A535">
        <v>532</v>
      </c>
      <c r="B535" t="s">
        <v>2045</v>
      </c>
      <c r="C535" t="s">
        <v>504</v>
      </c>
      <c r="D535" t="s">
        <v>18</v>
      </c>
      <c r="E535" t="str">
        <f>Table1[[#This Row],[Abbreviations]]</f>
        <v>Sportsbank Street</v>
      </c>
      <c r="F535" t="s">
        <v>2047</v>
      </c>
      <c r="G535" t="str">
        <f xml:space="preserve"> PROPER(_xlfn.CONCAT(Table13[[#This Row],[Title]]," ",Table13[[#This Row],[First Name]]," ",Table13[[#This Row],[Last Name]]))</f>
        <v>Miss Shawnee Gay</v>
      </c>
      <c r="H535" t="str">
        <f t="shared" si="16"/>
        <v>Miss S.Gay</v>
      </c>
      <c r="I535" t="str">
        <f t="shared" si="17"/>
        <v>F</v>
      </c>
    </row>
    <row r="536" spans="1:9" x14ac:dyDescent="0.3">
      <c r="A536">
        <v>533</v>
      </c>
      <c r="B536" t="s">
        <v>2048</v>
      </c>
      <c r="C536" t="s">
        <v>2049</v>
      </c>
      <c r="D536" t="s">
        <v>71</v>
      </c>
      <c r="E536" t="str">
        <f>Table1[[#This Row],[Abbreviations]]</f>
        <v>Hume Terrace</v>
      </c>
      <c r="F536" t="s">
        <v>687</v>
      </c>
      <c r="G536" t="str">
        <f xml:space="preserve"> PROPER(_xlfn.CONCAT(Table13[[#This Row],[Title]]," ",Table13[[#This Row],[First Name]]," ",Table13[[#This Row],[Last Name]]))</f>
        <v>Ms Darleen Ballard</v>
      </c>
      <c r="H536" t="str">
        <f t="shared" si="16"/>
        <v>Ms D.Ballard</v>
      </c>
      <c r="I536" t="str">
        <f t="shared" si="17"/>
        <v>F</v>
      </c>
    </row>
    <row r="537" spans="1:9" x14ac:dyDescent="0.3">
      <c r="A537">
        <v>534</v>
      </c>
      <c r="B537" t="s">
        <v>2051</v>
      </c>
      <c r="C537" t="s">
        <v>632</v>
      </c>
      <c r="D537" t="s">
        <v>18</v>
      </c>
      <c r="E537" t="str">
        <f>Table1[[#This Row],[Abbreviations]]</f>
        <v>New Orleans</v>
      </c>
      <c r="F537" t="s">
        <v>622</v>
      </c>
      <c r="G537" t="str">
        <f xml:space="preserve"> PROPER(_xlfn.CONCAT(Table13[[#This Row],[Title]]," ",Table13[[#This Row],[First Name]]," ",Table13[[#This Row],[Last Name]]))</f>
        <v>Miss Trula Dixon</v>
      </c>
      <c r="H537" t="str">
        <f t="shared" si="16"/>
        <v>Miss T.Dixon</v>
      </c>
      <c r="I537" t="str">
        <f t="shared" si="17"/>
        <v>F</v>
      </c>
    </row>
    <row r="538" spans="1:9" x14ac:dyDescent="0.3">
      <c r="A538">
        <v>535</v>
      </c>
      <c r="B538" t="s">
        <v>1337</v>
      </c>
      <c r="C538" t="s">
        <v>578</v>
      </c>
      <c r="D538" t="s">
        <v>18</v>
      </c>
      <c r="E538" t="str">
        <f>Table1[[#This Row],[Abbreviations]]</f>
        <v>Coulson Street</v>
      </c>
      <c r="F538" t="s">
        <v>886</v>
      </c>
      <c r="G538" t="str">
        <f xml:space="preserve"> PROPER(_xlfn.CONCAT(Table13[[#This Row],[Title]]," ",Table13[[#This Row],[First Name]]," ",Table13[[#This Row],[Last Name]]))</f>
        <v>Miss Adaline Aguilar</v>
      </c>
      <c r="H538" t="str">
        <f t="shared" si="16"/>
        <v>Miss A.Aguilar</v>
      </c>
      <c r="I538" t="str">
        <f t="shared" si="17"/>
        <v>F</v>
      </c>
    </row>
    <row r="539" spans="1:9" x14ac:dyDescent="0.3">
      <c r="A539">
        <v>536</v>
      </c>
      <c r="B539" t="s">
        <v>2054</v>
      </c>
      <c r="C539" t="s">
        <v>2055</v>
      </c>
      <c r="D539" t="s">
        <v>18</v>
      </c>
      <c r="E539" t="str">
        <f>Table1[[#This Row],[Abbreviations]]</f>
        <v>Orford Road</v>
      </c>
      <c r="F539" t="s">
        <v>2057</v>
      </c>
      <c r="G539" t="str">
        <f xml:space="preserve"> PROPER(_xlfn.CONCAT(Table13[[#This Row],[Title]]," ",Table13[[#This Row],[First Name]]," ",Table13[[#This Row],[Last Name]]))</f>
        <v>Miss Hillary Doherty</v>
      </c>
      <c r="H539" t="str">
        <f t="shared" si="16"/>
        <v>Miss H.Doherty</v>
      </c>
      <c r="I539" t="str">
        <f t="shared" si="17"/>
        <v>F</v>
      </c>
    </row>
    <row r="540" spans="1:9" x14ac:dyDescent="0.3">
      <c r="A540">
        <v>537</v>
      </c>
      <c r="B540" t="s">
        <v>2058</v>
      </c>
      <c r="C540" t="s">
        <v>2059</v>
      </c>
      <c r="D540" t="s">
        <v>18</v>
      </c>
      <c r="E540" t="str">
        <f>Table1[[#This Row],[Abbreviations]]</f>
        <v>Camberwell House</v>
      </c>
      <c r="F540" t="s">
        <v>1803</v>
      </c>
      <c r="G540" t="str">
        <f xml:space="preserve"> PROPER(_xlfn.CONCAT(Table13[[#This Row],[Title]]," ",Table13[[#This Row],[First Name]]," ",Table13[[#This Row],[Last Name]]))</f>
        <v>Miss Adrianne Stark</v>
      </c>
      <c r="H540" t="str">
        <f t="shared" si="16"/>
        <v>Miss A.Stark</v>
      </c>
      <c r="I540" t="str">
        <f t="shared" si="17"/>
        <v>F</v>
      </c>
    </row>
    <row r="541" spans="1:9" x14ac:dyDescent="0.3">
      <c r="A541">
        <v>538</v>
      </c>
      <c r="B541" t="s">
        <v>372</v>
      </c>
      <c r="C541" t="s">
        <v>2061</v>
      </c>
      <c r="D541" t="s">
        <v>7</v>
      </c>
      <c r="E541" t="str">
        <f>Table1[[#This Row],[Abbreviations]]</f>
        <v>Shroffield Farm</v>
      </c>
      <c r="F541" t="s">
        <v>2063</v>
      </c>
      <c r="G541" t="str">
        <f xml:space="preserve"> PROPER(_xlfn.CONCAT(Table13[[#This Row],[Title]]," ",Table13[[#This Row],[First Name]]," ",Table13[[#This Row],[Last Name]]))</f>
        <v>Mrs Wanda Rubin</v>
      </c>
      <c r="H541" t="str">
        <f t="shared" si="16"/>
        <v>Mrs W.Rubin</v>
      </c>
      <c r="I541" t="str">
        <f t="shared" si="17"/>
        <v>F</v>
      </c>
    </row>
    <row r="542" spans="1:9" x14ac:dyDescent="0.3">
      <c r="A542">
        <v>539</v>
      </c>
      <c r="B542" t="s">
        <v>2064</v>
      </c>
      <c r="C542" t="s">
        <v>977</v>
      </c>
      <c r="D542" t="s">
        <v>18</v>
      </c>
      <c r="E542" t="str">
        <f>Table1[[#This Row],[Abbreviations]]</f>
        <v>Smith'S Lane</v>
      </c>
      <c r="F542" t="s">
        <v>2066</v>
      </c>
      <c r="G542" t="str">
        <f xml:space="preserve"> PROPER(_xlfn.CONCAT(Table13[[#This Row],[Title]]," ",Table13[[#This Row],[First Name]]," ",Table13[[#This Row],[Last Name]]))</f>
        <v>Miss Janella Randall</v>
      </c>
      <c r="H542" t="str">
        <f t="shared" si="16"/>
        <v>Miss J.Randall</v>
      </c>
      <c r="I542" t="str">
        <f t="shared" si="17"/>
        <v>F</v>
      </c>
    </row>
    <row r="543" spans="1:9" x14ac:dyDescent="0.3">
      <c r="A543">
        <v>540</v>
      </c>
      <c r="B543" t="s">
        <v>2067</v>
      </c>
      <c r="C543" t="s">
        <v>2068</v>
      </c>
      <c r="D543" t="s">
        <v>318</v>
      </c>
      <c r="E543" t="str">
        <f>Table1[[#This Row],[Abbreviations]]</f>
        <v>Charlesfield</v>
      </c>
      <c r="F543" t="s">
        <v>633</v>
      </c>
      <c r="G543" t="str">
        <f xml:space="preserve"> PROPER(_xlfn.CONCAT(Table13[[#This Row],[Title]]," ",Table13[[#This Row],[First Name]]," ",Table13[[#This Row],[Last Name]]))</f>
        <v>Dr Klara Vera</v>
      </c>
      <c r="H543" t="str">
        <f t="shared" si="16"/>
        <v>Dr K.Vera</v>
      </c>
      <c r="I543" t="str">
        <f t="shared" si="17"/>
        <v>F</v>
      </c>
    </row>
    <row r="544" spans="1:9" x14ac:dyDescent="0.3">
      <c r="A544">
        <v>541</v>
      </c>
      <c r="B544" t="s">
        <v>2070</v>
      </c>
      <c r="C544" t="s">
        <v>2071</v>
      </c>
      <c r="D544" t="s">
        <v>7</v>
      </c>
      <c r="E544" t="str">
        <f>Table1[[#This Row],[Abbreviations]]</f>
        <v>Leithcote Gardens</v>
      </c>
      <c r="F544" t="s">
        <v>2073</v>
      </c>
      <c r="G544" t="str">
        <f xml:space="preserve"> PROPER(_xlfn.CONCAT(Table13[[#This Row],[Title]]," ",Table13[[#This Row],[First Name]]," ",Table13[[#This Row],[Last Name]]))</f>
        <v>Mrs Marni Mccauley</v>
      </c>
      <c r="H544" t="str">
        <f t="shared" si="16"/>
        <v>Mrs M.Mccauley</v>
      </c>
      <c r="I544" t="str">
        <f t="shared" si="17"/>
        <v>F</v>
      </c>
    </row>
    <row r="545" spans="1:9" x14ac:dyDescent="0.3">
      <c r="A545">
        <v>542</v>
      </c>
      <c r="B545" t="s">
        <v>904</v>
      </c>
      <c r="C545" t="s">
        <v>2074</v>
      </c>
      <c r="D545" t="s">
        <v>18</v>
      </c>
      <c r="E545" t="str">
        <f>Table1[[#This Row],[Abbreviations]]</f>
        <v>Heather Close</v>
      </c>
      <c r="F545" t="s">
        <v>2076</v>
      </c>
      <c r="G545" t="str">
        <f xml:space="preserve"> PROPER(_xlfn.CONCAT(Table13[[#This Row],[Title]]," ",Table13[[#This Row],[First Name]]," ",Table13[[#This Row],[Last Name]]))</f>
        <v>Miss Jenae Burch</v>
      </c>
      <c r="H545" t="str">
        <f t="shared" si="16"/>
        <v>Miss J.Burch</v>
      </c>
      <c r="I545" t="str">
        <f t="shared" si="17"/>
        <v>F</v>
      </c>
    </row>
    <row r="546" spans="1:9" x14ac:dyDescent="0.3">
      <c r="A546">
        <v>543</v>
      </c>
      <c r="B546" t="s">
        <v>2077</v>
      </c>
      <c r="C546" t="s">
        <v>746</v>
      </c>
      <c r="D546" t="s">
        <v>7</v>
      </c>
      <c r="E546" t="str">
        <f>Table1[[#This Row],[Abbreviations]]</f>
        <v>Rodway Road</v>
      </c>
      <c r="F546" t="s">
        <v>2079</v>
      </c>
      <c r="G546" t="str">
        <f xml:space="preserve"> PROPER(_xlfn.CONCAT(Table13[[#This Row],[Title]]," ",Table13[[#This Row],[First Name]]," ",Table13[[#This Row],[Last Name]]))</f>
        <v>Mrs Tracie Gunn</v>
      </c>
      <c r="H546" t="str">
        <f t="shared" si="16"/>
        <v>Mrs T.Gunn</v>
      </c>
      <c r="I546" t="str">
        <f t="shared" si="17"/>
        <v>F</v>
      </c>
    </row>
    <row r="547" spans="1:9" x14ac:dyDescent="0.3">
      <c r="A547">
        <v>544</v>
      </c>
      <c r="B547" t="s">
        <v>2080</v>
      </c>
      <c r="C547" t="s">
        <v>2081</v>
      </c>
      <c r="D547" t="s">
        <v>18</v>
      </c>
      <c r="E547" t="str">
        <f>Table1[[#This Row],[Abbreviations]]</f>
        <v>Erindale</v>
      </c>
      <c r="F547" t="s">
        <v>2083</v>
      </c>
      <c r="G547" t="str">
        <f xml:space="preserve"> PROPER(_xlfn.CONCAT(Table13[[#This Row],[Title]]," ",Table13[[#This Row],[First Name]]," ",Table13[[#This Row],[Last Name]]))</f>
        <v>Miss Milissa Wong</v>
      </c>
      <c r="H547" t="str">
        <f t="shared" si="16"/>
        <v>Miss M.Wong</v>
      </c>
      <c r="I547" t="str">
        <f t="shared" si="17"/>
        <v>F</v>
      </c>
    </row>
    <row r="548" spans="1:9" x14ac:dyDescent="0.3">
      <c r="A548">
        <v>545</v>
      </c>
      <c r="B548" t="s">
        <v>1145</v>
      </c>
      <c r="C548" t="s">
        <v>1438</v>
      </c>
      <c r="D548" t="s">
        <v>18</v>
      </c>
      <c r="E548" t="str">
        <f>Table1[[#This Row],[Abbreviations]]</f>
        <v>Romsey Road</v>
      </c>
      <c r="F548" t="s">
        <v>741</v>
      </c>
      <c r="G548" t="str">
        <f xml:space="preserve"> PROPER(_xlfn.CONCAT(Table13[[#This Row],[Title]]," ",Table13[[#This Row],[First Name]]," ",Table13[[#This Row],[Last Name]]))</f>
        <v>Miss Albina Abernathy</v>
      </c>
      <c r="H548" t="str">
        <f t="shared" si="16"/>
        <v>Miss A.Abernathy</v>
      </c>
      <c r="I548" t="str">
        <f t="shared" si="17"/>
        <v>F</v>
      </c>
    </row>
    <row r="549" spans="1:9" x14ac:dyDescent="0.3">
      <c r="A549">
        <v>546</v>
      </c>
      <c r="B549" t="s">
        <v>663</v>
      </c>
      <c r="C549" t="s">
        <v>685</v>
      </c>
      <c r="D549" t="s">
        <v>7</v>
      </c>
      <c r="E549" t="str">
        <f>Table1[[#This Row],[Abbreviations]]</f>
        <v>Harbour Yard</v>
      </c>
      <c r="F549" t="s">
        <v>707</v>
      </c>
      <c r="G549" t="str">
        <f xml:space="preserve"> PROPER(_xlfn.CONCAT(Table13[[#This Row],[Title]]," ",Table13[[#This Row],[First Name]]," ",Table13[[#This Row],[Last Name]]))</f>
        <v>Mrs Anya Morin</v>
      </c>
      <c r="H549" t="str">
        <f t="shared" si="16"/>
        <v>Mrs A.Morin</v>
      </c>
      <c r="I549" t="str">
        <f t="shared" si="17"/>
        <v>F</v>
      </c>
    </row>
    <row r="550" spans="1:9" x14ac:dyDescent="0.3">
      <c r="A550">
        <v>547</v>
      </c>
      <c r="B550" t="s">
        <v>2086</v>
      </c>
      <c r="C550" t="s">
        <v>2087</v>
      </c>
      <c r="D550" t="s">
        <v>7</v>
      </c>
      <c r="E550" t="str">
        <f>Table1[[#This Row],[Abbreviations]]</f>
        <v>Little Sutton</v>
      </c>
      <c r="F550" t="s">
        <v>2089</v>
      </c>
      <c r="G550" t="str">
        <f xml:space="preserve"> PROPER(_xlfn.CONCAT(Table13[[#This Row],[Title]]," ",Table13[[#This Row],[First Name]]," ",Table13[[#This Row],[Last Name]]))</f>
        <v>Mrs Luella Skinner</v>
      </c>
      <c r="H550" t="str">
        <f t="shared" si="16"/>
        <v>Mrs L.Skinner</v>
      </c>
      <c r="I550" t="str">
        <f t="shared" si="17"/>
        <v>F</v>
      </c>
    </row>
    <row r="551" spans="1:9" x14ac:dyDescent="0.3">
      <c r="A551">
        <v>548</v>
      </c>
      <c r="B551" t="s">
        <v>2090</v>
      </c>
      <c r="C551" t="s">
        <v>2091</v>
      </c>
      <c r="D551" t="s">
        <v>7</v>
      </c>
      <c r="E551" t="str">
        <f>Table1[[#This Row],[Abbreviations]]</f>
        <v>Denyer Street</v>
      </c>
      <c r="F551" t="s">
        <v>2093</v>
      </c>
      <c r="G551" t="str">
        <f xml:space="preserve"> PROPER(_xlfn.CONCAT(Table13[[#This Row],[Title]]," ",Table13[[#This Row],[First Name]]," ",Table13[[#This Row],[Last Name]]))</f>
        <v>Mrs Kena Cornett</v>
      </c>
      <c r="H551" t="str">
        <f t="shared" si="16"/>
        <v>Mrs K.Cornett</v>
      </c>
      <c r="I551" t="str">
        <f t="shared" si="17"/>
        <v>F</v>
      </c>
    </row>
    <row r="552" spans="1:9" x14ac:dyDescent="0.3">
      <c r="A552">
        <v>549</v>
      </c>
      <c r="B552" t="s">
        <v>2094</v>
      </c>
      <c r="C552" t="s">
        <v>2095</v>
      </c>
      <c r="D552" t="s">
        <v>18</v>
      </c>
      <c r="E552" t="str">
        <f>Table1[[#This Row],[Abbreviations]]</f>
        <v>Baker'S Alley</v>
      </c>
      <c r="F552" t="s">
        <v>1433</v>
      </c>
      <c r="G552" t="str">
        <f xml:space="preserve"> PROPER(_xlfn.CONCAT(Table13[[#This Row],[Title]]," ",Table13[[#This Row],[First Name]]," ",Table13[[#This Row],[Last Name]]))</f>
        <v>Miss Azucena Harding</v>
      </c>
      <c r="H552" t="str">
        <f t="shared" si="16"/>
        <v>Miss A.Harding</v>
      </c>
      <c r="I552" t="str">
        <f t="shared" si="17"/>
        <v>F</v>
      </c>
    </row>
    <row r="553" spans="1:9" x14ac:dyDescent="0.3">
      <c r="A553">
        <v>550</v>
      </c>
      <c r="B553" t="s">
        <v>2097</v>
      </c>
      <c r="C553" t="s">
        <v>2098</v>
      </c>
      <c r="D553" t="s">
        <v>7</v>
      </c>
      <c r="E553" t="str">
        <f>Table1[[#This Row],[Abbreviations]]</f>
        <v>Mary Ann</v>
      </c>
      <c r="F553" t="s">
        <v>2100</v>
      </c>
      <c r="G553" t="str">
        <f xml:space="preserve"> PROPER(_xlfn.CONCAT(Table13[[#This Row],[Title]]," ",Table13[[#This Row],[First Name]]," ",Table13[[#This Row],[Last Name]]))</f>
        <v>Mrs Paola Chaney</v>
      </c>
      <c r="H553" t="str">
        <f t="shared" si="16"/>
        <v>Mrs P.Chaney</v>
      </c>
      <c r="I553" t="str">
        <f t="shared" si="17"/>
        <v>F</v>
      </c>
    </row>
    <row r="554" spans="1:9" x14ac:dyDescent="0.3">
      <c r="A554">
        <v>551</v>
      </c>
      <c r="B554" t="s">
        <v>2101</v>
      </c>
      <c r="C554" t="s">
        <v>2102</v>
      </c>
      <c r="D554" t="s">
        <v>18</v>
      </c>
      <c r="E554" t="str">
        <f>Table1[[#This Row],[Abbreviations]]</f>
        <v>Kilravock Street</v>
      </c>
      <c r="F554" t="s">
        <v>45</v>
      </c>
      <c r="G554" t="str">
        <f xml:space="preserve"> PROPER(_xlfn.CONCAT(Table13[[#This Row],[Title]]," ",Table13[[#This Row],[First Name]]," ",Table13[[#This Row],[Last Name]]))</f>
        <v>Miss Gertrude Gross</v>
      </c>
      <c r="H554" t="str">
        <f t="shared" si="16"/>
        <v>Miss G.Gross</v>
      </c>
      <c r="I554" t="str">
        <f t="shared" si="17"/>
        <v>F</v>
      </c>
    </row>
    <row r="555" spans="1:9" x14ac:dyDescent="0.3">
      <c r="A555">
        <v>552</v>
      </c>
      <c r="B555" t="s">
        <v>2104</v>
      </c>
      <c r="C555" t="s">
        <v>1488</v>
      </c>
      <c r="D555" t="s">
        <v>18</v>
      </c>
      <c r="E555" t="str">
        <f>Table1[[#This Row],[Abbreviations]]</f>
        <v>Trumans Brewery</v>
      </c>
      <c r="F555" t="s">
        <v>2106</v>
      </c>
      <c r="G555" t="str">
        <f xml:space="preserve"> PROPER(_xlfn.CONCAT(Table13[[#This Row],[Title]]," ",Table13[[#This Row],[First Name]]," ",Table13[[#This Row],[Last Name]]))</f>
        <v>Miss Fiona Spicer</v>
      </c>
      <c r="H555" t="str">
        <f t="shared" si="16"/>
        <v>Miss F.Spicer</v>
      </c>
      <c r="I555" t="str">
        <f t="shared" si="17"/>
        <v>F</v>
      </c>
    </row>
    <row r="556" spans="1:9" x14ac:dyDescent="0.3">
      <c r="A556">
        <v>553</v>
      </c>
      <c r="B556" t="s">
        <v>2107</v>
      </c>
      <c r="C556" t="s">
        <v>2108</v>
      </c>
      <c r="D556" t="s">
        <v>18</v>
      </c>
      <c r="E556" t="str">
        <f>Table1[[#This Row],[Abbreviations]]</f>
        <v>Charlotte Court</v>
      </c>
      <c r="F556" t="s">
        <v>2110</v>
      </c>
      <c r="G556" t="str">
        <f xml:space="preserve"> PROPER(_xlfn.CONCAT(Table13[[#This Row],[Title]]," ",Table13[[#This Row],[First Name]]," ",Table13[[#This Row],[Last Name]]))</f>
        <v>Miss Nola Brooks</v>
      </c>
      <c r="H556" t="str">
        <f t="shared" si="16"/>
        <v>Miss N.Brooks</v>
      </c>
      <c r="I556" t="str">
        <f t="shared" si="17"/>
        <v>F</v>
      </c>
    </row>
    <row r="557" spans="1:9" x14ac:dyDescent="0.3">
      <c r="A557">
        <v>554</v>
      </c>
      <c r="B557" t="s">
        <v>2111</v>
      </c>
      <c r="C557" t="s">
        <v>2112</v>
      </c>
      <c r="D557" t="s">
        <v>7</v>
      </c>
      <c r="E557" t="str">
        <f>Table1[[#This Row],[Abbreviations]]</f>
        <v>De Beauvoir</v>
      </c>
      <c r="F557" t="s">
        <v>598</v>
      </c>
      <c r="G557" t="str">
        <f xml:space="preserve"> PROPER(_xlfn.CONCAT(Table13[[#This Row],[Title]]," ",Table13[[#This Row],[First Name]]," ",Table13[[#This Row],[Last Name]]))</f>
        <v>Mrs Darcy Wills</v>
      </c>
      <c r="H557" t="str">
        <f t="shared" si="16"/>
        <v>Mrs D.Wills</v>
      </c>
      <c r="I557" t="str">
        <f t="shared" si="17"/>
        <v>F</v>
      </c>
    </row>
    <row r="558" spans="1:9" x14ac:dyDescent="0.3">
      <c r="A558">
        <v>555</v>
      </c>
      <c r="B558" t="s">
        <v>2114</v>
      </c>
      <c r="C558" t="s">
        <v>2115</v>
      </c>
      <c r="D558" t="s">
        <v>18</v>
      </c>
      <c r="E558" t="str">
        <f>Table1[[#This Row],[Abbreviations]]</f>
        <v>Darlaston Road</v>
      </c>
      <c r="F558" t="s">
        <v>2117</v>
      </c>
      <c r="G558" t="str">
        <f xml:space="preserve"> PROPER(_xlfn.CONCAT(Table13[[#This Row],[Title]]," ",Table13[[#This Row],[First Name]]," ",Table13[[#This Row],[Last Name]]))</f>
        <v>Miss Loren Ball</v>
      </c>
      <c r="H558" t="str">
        <f t="shared" si="16"/>
        <v>Miss L.Ball</v>
      </c>
      <c r="I558" t="str">
        <f t="shared" si="17"/>
        <v>F</v>
      </c>
    </row>
    <row r="559" spans="1:9" x14ac:dyDescent="0.3">
      <c r="A559">
        <v>556</v>
      </c>
      <c r="B559" t="s">
        <v>2118</v>
      </c>
      <c r="C559" t="s">
        <v>2119</v>
      </c>
      <c r="D559" t="s">
        <v>7</v>
      </c>
      <c r="E559" t="str">
        <f>Table1[[#This Row],[Abbreviations]]</f>
        <v>Eversholt Street</v>
      </c>
      <c r="F559" t="s">
        <v>222</v>
      </c>
      <c r="G559" t="str">
        <f xml:space="preserve"> PROPER(_xlfn.CONCAT(Table13[[#This Row],[Title]]," ",Table13[[#This Row],[First Name]]," ",Table13[[#This Row],[Last Name]]))</f>
        <v>Mrs Erlene Esposito</v>
      </c>
      <c r="H559" t="str">
        <f t="shared" si="16"/>
        <v>Mrs E.Esposito</v>
      </c>
      <c r="I559" t="str">
        <f t="shared" si="17"/>
        <v>F</v>
      </c>
    </row>
    <row r="560" spans="1:9" x14ac:dyDescent="0.3">
      <c r="A560">
        <v>557</v>
      </c>
      <c r="B560" t="s">
        <v>2121</v>
      </c>
      <c r="C560" t="s">
        <v>436</v>
      </c>
      <c r="D560" t="s">
        <v>7</v>
      </c>
      <c r="E560" t="str">
        <f>Table1[[#This Row],[Abbreviations]]</f>
        <v>Amott Road</v>
      </c>
      <c r="F560" t="s">
        <v>1943</v>
      </c>
      <c r="G560" t="str">
        <f xml:space="preserve"> PROPER(_xlfn.CONCAT(Table13[[#This Row],[Title]]," ",Table13[[#This Row],[First Name]]," ",Table13[[#This Row],[Last Name]]))</f>
        <v>Mrs Tabatha Kendall</v>
      </c>
      <c r="H560" t="str">
        <f t="shared" si="16"/>
        <v>Mrs T.Kendall</v>
      </c>
      <c r="I560" t="str">
        <f t="shared" si="17"/>
        <v>F</v>
      </c>
    </row>
    <row r="561" spans="1:9" x14ac:dyDescent="0.3">
      <c r="A561">
        <v>558</v>
      </c>
      <c r="B561" t="s">
        <v>62</v>
      </c>
      <c r="C561" t="s">
        <v>2123</v>
      </c>
      <c r="D561" t="s">
        <v>18</v>
      </c>
      <c r="E561" t="str">
        <f>Table1[[#This Row],[Abbreviations]]</f>
        <v>Nuthurst Avenue</v>
      </c>
      <c r="F561" t="s">
        <v>641</v>
      </c>
      <c r="G561" t="str">
        <f xml:space="preserve"> PROPER(_xlfn.CONCAT(Table13[[#This Row],[Title]]," ",Table13[[#This Row],[First Name]]," ",Table13[[#This Row],[Last Name]]))</f>
        <v>Miss Bobbye Henry</v>
      </c>
      <c r="H561" t="str">
        <f t="shared" si="16"/>
        <v>Miss B.Henry</v>
      </c>
      <c r="I561" t="str">
        <f t="shared" si="17"/>
        <v>F</v>
      </c>
    </row>
    <row r="562" spans="1:9" x14ac:dyDescent="0.3">
      <c r="A562">
        <v>559</v>
      </c>
      <c r="B562" t="s">
        <v>2125</v>
      </c>
      <c r="C562" t="s">
        <v>2126</v>
      </c>
      <c r="D562" t="s">
        <v>18</v>
      </c>
      <c r="E562" t="str">
        <f>Table1[[#This Row],[Abbreviations]]</f>
        <v>Dragonfly Close</v>
      </c>
      <c r="F562" t="s">
        <v>1657</v>
      </c>
      <c r="G562" t="str">
        <f xml:space="preserve"> PROPER(_xlfn.CONCAT(Table13[[#This Row],[Title]]," ",Table13[[#This Row],[First Name]]," ",Table13[[#This Row],[Last Name]]))</f>
        <v>Miss Tia Conley</v>
      </c>
      <c r="H562" t="str">
        <f t="shared" si="16"/>
        <v>Miss T.Conley</v>
      </c>
      <c r="I562" t="str">
        <f t="shared" si="17"/>
        <v>F</v>
      </c>
    </row>
    <row r="563" spans="1:9" x14ac:dyDescent="0.3">
      <c r="A563">
        <v>560</v>
      </c>
      <c r="B563" t="s">
        <v>2127</v>
      </c>
      <c r="C563" t="s">
        <v>2128</v>
      </c>
      <c r="D563" t="s">
        <v>18</v>
      </c>
      <c r="E563" t="str">
        <f>Table1[[#This Row],[Abbreviations]]</f>
        <v>Edgill Street</v>
      </c>
      <c r="F563" t="s">
        <v>2130</v>
      </c>
      <c r="G563" t="str">
        <f xml:space="preserve"> PROPER(_xlfn.CONCAT(Table13[[#This Row],[Title]]," ",Table13[[#This Row],[First Name]]," ",Table13[[#This Row],[Last Name]]))</f>
        <v>Miss Kari Yarbrough</v>
      </c>
      <c r="H563" t="str">
        <f t="shared" si="16"/>
        <v>Miss K.Yarbrough</v>
      </c>
      <c r="I563" t="str">
        <f t="shared" si="17"/>
        <v>F</v>
      </c>
    </row>
    <row r="564" spans="1:9" x14ac:dyDescent="0.3">
      <c r="A564">
        <v>561</v>
      </c>
      <c r="B564" t="s">
        <v>2131</v>
      </c>
      <c r="C564" t="s">
        <v>2132</v>
      </c>
      <c r="D564" t="s">
        <v>71</v>
      </c>
      <c r="E564" t="str">
        <f>Table1[[#This Row],[Abbreviations]]</f>
        <v>Ansdell Terrace</v>
      </c>
      <c r="F564" t="s">
        <v>890</v>
      </c>
      <c r="G564" t="str">
        <f xml:space="preserve"> PROPER(_xlfn.CONCAT(Table13[[#This Row],[Title]]," ",Table13[[#This Row],[First Name]]," ",Table13[[#This Row],[Last Name]]))</f>
        <v>Ms Tasia Briggs</v>
      </c>
      <c r="H564" t="str">
        <f t="shared" si="16"/>
        <v>Ms T.Briggs</v>
      </c>
      <c r="I564" t="str">
        <f t="shared" si="17"/>
        <v>F</v>
      </c>
    </row>
    <row r="565" spans="1:9" x14ac:dyDescent="0.3">
      <c r="A565">
        <v>562</v>
      </c>
      <c r="B565" t="s">
        <v>2134</v>
      </c>
      <c r="C565" t="s">
        <v>1101</v>
      </c>
      <c r="D565" t="s">
        <v>18</v>
      </c>
      <c r="E565" t="str">
        <f>Table1[[#This Row],[Abbreviations]]</f>
        <v>Kent Place</v>
      </c>
      <c r="F565" t="s">
        <v>890</v>
      </c>
      <c r="G565" t="str">
        <f xml:space="preserve"> PROPER(_xlfn.CONCAT(Table13[[#This Row],[Title]]," ",Table13[[#This Row],[First Name]]," ",Table13[[#This Row],[Last Name]]))</f>
        <v>Miss Elnora Oneil</v>
      </c>
      <c r="H565" t="str">
        <f t="shared" si="16"/>
        <v>Miss E.Oneil</v>
      </c>
      <c r="I565" t="str">
        <f t="shared" si="17"/>
        <v>F</v>
      </c>
    </row>
    <row r="566" spans="1:9" x14ac:dyDescent="0.3">
      <c r="A566">
        <v>563</v>
      </c>
      <c r="B566" t="s">
        <v>2136</v>
      </c>
      <c r="C566" t="s">
        <v>437</v>
      </c>
      <c r="D566" t="s">
        <v>71</v>
      </c>
      <c r="E566" t="str">
        <f>Table1[[#This Row],[Abbreviations]]</f>
        <v>Glaserton Road</v>
      </c>
      <c r="F566" t="s">
        <v>152</v>
      </c>
      <c r="G566" t="str">
        <f xml:space="preserve"> PROPER(_xlfn.CONCAT(Table13[[#This Row],[Title]]," ",Table13[[#This Row],[First Name]]," ",Table13[[#This Row],[Last Name]]))</f>
        <v>Ms Cathey Fox</v>
      </c>
      <c r="H566" t="str">
        <f t="shared" si="16"/>
        <v>Ms C.Fox</v>
      </c>
      <c r="I566" t="str">
        <f t="shared" si="17"/>
        <v>F</v>
      </c>
    </row>
    <row r="567" spans="1:9" x14ac:dyDescent="0.3">
      <c r="A567">
        <v>564</v>
      </c>
      <c r="B567" t="s">
        <v>2138</v>
      </c>
      <c r="C567" t="s">
        <v>2139</v>
      </c>
      <c r="D567" t="s">
        <v>7</v>
      </c>
      <c r="E567" t="str">
        <f>Table1[[#This Row],[Abbreviations]]</f>
        <v>Sparrows Row</v>
      </c>
      <c r="F567" t="s">
        <v>1598</v>
      </c>
      <c r="G567" t="str">
        <f xml:space="preserve"> PROPER(_xlfn.CONCAT(Table13[[#This Row],[Title]]," ",Table13[[#This Row],[First Name]]," ",Table13[[#This Row],[Last Name]]))</f>
        <v>Mrs Deborah Larson</v>
      </c>
      <c r="H567" t="str">
        <f t="shared" si="16"/>
        <v>Mrs D.Larson</v>
      </c>
      <c r="I567" t="str">
        <f t="shared" si="17"/>
        <v>F</v>
      </c>
    </row>
    <row r="568" spans="1:9" x14ac:dyDescent="0.3">
      <c r="A568">
        <v>565</v>
      </c>
      <c r="B568" t="s">
        <v>2141</v>
      </c>
      <c r="C568" t="s">
        <v>603</v>
      </c>
      <c r="D568" t="s">
        <v>7</v>
      </c>
      <c r="E568" t="str">
        <f>Table1[[#This Row],[Abbreviations]]</f>
        <v>Poonah Street</v>
      </c>
      <c r="F568" t="s">
        <v>388</v>
      </c>
      <c r="G568" t="str">
        <f xml:space="preserve"> PROPER(_xlfn.CONCAT(Table13[[#This Row],[Title]]," ",Table13[[#This Row],[First Name]]," ",Table13[[#This Row],[Last Name]]))</f>
        <v>Mrs Brigette John</v>
      </c>
      <c r="H568" t="str">
        <f t="shared" si="16"/>
        <v>Mrs B.John</v>
      </c>
      <c r="I568" t="str">
        <f t="shared" si="17"/>
        <v>F</v>
      </c>
    </row>
    <row r="569" spans="1:9" x14ac:dyDescent="0.3">
      <c r="A569">
        <v>566</v>
      </c>
      <c r="B569" t="s">
        <v>2143</v>
      </c>
      <c r="C569" t="s">
        <v>702</v>
      </c>
      <c r="D569" t="s">
        <v>71</v>
      </c>
      <c r="E569" t="str">
        <f>Table1[[#This Row],[Abbreviations]]</f>
        <v>Havant Road</v>
      </c>
      <c r="F569" t="s">
        <v>110</v>
      </c>
      <c r="G569" t="str">
        <f xml:space="preserve"> PROPER(_xlfn.CONCAT(Table13[[#This Row],[Title]]," ",Table13[[#This Row],[First Name]]," ",Table13[[#This Row],[Last Name]]))</f>
        <v>Ms Hilda Lyons</v>
      </c>
      <c r="H569" t="str">
        <f t="shared" si="16"/>
        <v>Ms H.Lyons</v>
      </c>
      <c r="I569" t="str">
        <f t="shared" si="17"/>
        <v>F</v>
      </c>
    </row>
    <row r="570" spans="1:9" x14ac:dyDescent="0.3">
      <c r="A570">
        <v>567</v>
      </c>
      <c r="B570" t="s">
        <v>2145</v>
      </c>
      <c r="C570" t="s">
        <v>2146</v>
      </c>
      <c r="D570" t="s">
        <v>18</v>
      </c>
      <c r="E570" t="str">
        <f>Table1[[#This Row],[Abbreviations]]</f>
        <v>Carpenters Place</v>
      </c>
      <c r="F570" t="s">
        <v>2148</v>
      </c>
      <c r="G570" t="str">
        <f xml:space="preserve"> PROPER(_xlfn.CONCAT(Table13[[#This Row],[Title]]," ",Table13[[#This Row],[First Name]]," ",Table13[[#This Row],[Last Name]]))</f>
        <v>Miss Jeffrey Palmer</v>
      </c>
      <c r="H570" t="str">
        <f t="shared" si="16"/>
        <v>Miss J.Palmer</v>
      </c>
      <c r="I570" t="str">
        <f t="shared" si="17"/>
        <v>F</v>
      </c>
    </row>
    <row r="571" spans="1:9" x14ac:dyDescent="0.3">
      <c r="A571">
        <v>568</v>
      </c>
      <c r="B571" t="s">
        <v>2149</v>
      </c>
      <c r="C571" t="s">
        <v>2150</v>
      </c>
      <c r="D571" t="s">
        <v>7</v>
      </c>
      <c r="E571" t="str">
        <f>Table1[[#This Row],[Abbreviations]]</f>
        <v>Maurice Brown</v>
      </c>
      <c r="F571" t="s">
        <v>546</v>
      </c>
      <c r="G571" t="str">
        <f xml:space="preserve"> PROPER(_xlfn.CONCAT(Table13[[#This Row],[Title]]," ",Table13[[#This Row],[First Name]]," ",Table13[[#This Row],[Last Name]]))</f>
        <v>Mrs Tonette Humphrey</v>
      </c>
      <c r="H571" t="str">
        <f t="shared" si="16"/>
        <v>Mrs T.Humphrey</v>
      </c>
      <c r="I571" t="str">
        <f t="shared" si="17"/>
        <v>F</v>
      </c>
    </row>
    <row r="572" spans="1:9" x14ac:dyDescent="0.3">
      <c r="A572">
        <v>569</v>
      </c>
      <c r="B572" t="s">
        <v>2152</v>
      </c>
      <c r="C572" t="s">
        <v>494</v>
      </c>
      <c r="D572" t="s">
        <v>55</v>
      </c>
      <c r="E572" t="str">
        <f>Table1[[#This Row],[Abbreviations]]</f>
        <v>Clare Place</v>
      </c>
      <c r="F572" t="s">
        <v>1795</v>
      </c>
      <c r="G572" t="str">
        <f xml:space="preserve"> PROPER(_xlfn.CONCAT(Table13[[#This Row],[Title]]," ",Table13[[#This Row],[First Name]]," ",Table13[[#This Row],[Last Name]]))</f>
        <v>Prof Nannette Pickett</v>
      </c>
      <c r="H572" t="str">
        <f t="shared" si="16"/>
        <v>Prof N.Pickett</v>
      </c>
      <c r="I572" t="str">
        <f t="shared" si="17"/>
        <v>F</v>
      </c>
    </row>
    <row r="573" spans="1:9" x14ac:dyDescent="0.3">
      <c r="A573">
        <v>570</v>
      </c>
      <c r="B573" t="s">
        <v>1070</v>
      </c>
      <c r="C573" t="s">
        <v>2154</v>
      </c>
      <c r="D573" t="s">
        <v>7</v>
      </c>
      <c r="E573" t="str">
        <f>Table1[[#This Row],[Abbreviations]]</f>
        <v>Lodge Close</v>
      </c>
      <c r="F573" t="s">
        <v>2156</v>
      </c>
      <c r="G573" t="str">
        <f xml:space="preserve"> PROPER(_xlfn.CONCAT(Table13[[#This Row],[Title]]," ",Table13[[#This Row],[First Name]]," ",Table13[[#This Row],[Last Name]]))</f>
        <v>Mrs Leon Dewitt</v>
      </c>
      <c r="H573" t="str">
        <f t="shared" si="16"/>
        <v>Mrs L.Dewitt</v>
      </c>
      <c r="I573" t="str">
        <f t="shared" si="17"/>
        <v>F</v>
      </c>
    </row>
    <row r="574" spans="1:9" x14ac:dyDescent="0.3">
      <c r="A574">
        <v>571</v>
      </c>
      <c r="B574" t="s">
        <v>2157</v>
      </c>
      <c r="C574" t="s">
        <v>2158</v>
      </c>
      <c r="D574" t="s">
        <v>18</v>
      </c>
      <c r="E574" t="str">
        <f>Table1[[#This Row],[Abbreviations]]</f>
        <v>Meadowbank</v>
      </c>
      <c r="F574" t="s">
        <v>2160</v>
      </c>
      <c r="G574" t="str">
        <f xml:space="preserve"> PROPER(_xlfn.CONCAT(Table13[[#This Row],[Title]]," ",Table13[[#This Row],[First Name]]," ",Table13[[#This Row],[Last Name]]))</f>
        <v>Miss Serafina Marcus</v>
      </c>
      <c r="H574" t="str">
        <f t="shared" si="16"/>
        <v>Miss S.Marcus</v>
      </c>
      <c r="I574" t="str">
        <f t="shared" si="17"/>
        <v>F</v>
      </c>
    </row>
    <row r="575" spans="1:9" x14ac:dyDescent="0.3">
      <c r="A575">
        <v>572</v>
      </c>
      <c r="B575" t="s">
        <v>2161</v>
      </c>
      <c r="C575" t="s">
        <v>1074</v>
      </c>
      <c r="D575" t="s">
        <v>7</v>
      </c>
      <c r="E575" t="str">
        <f>Table1[[#This Row],[Abbreviations]]</f>
        <v>Kirby Grove</v>
      </c>
      <c r="F575" t="s">
        <v>1867</v>
      </c>
      <c r="G575" t="str">
        <f xml:space="preserve"> PROPER(_xlfn.CONCAT(Table13[[#This Row],[Title]]," ",Table13[[#This Row],[First Name]]," ",Table13[[#This Row],[Last Name]]))</f>
        <v>Mrs Tessa Stacy</v>
      </c>
      <c r="H575" t="str">
        <f t="shared" si="16"/>
        <v>Mrs T.Stacy</v>
      </c>
      <c r="I575" t="str">
        <f t="shared" si="17"/>
        <v>F</v>
      </c>
    </row>
    <row r="576" spans="1:9" x14ac:dyDescent="0.3">
      <c r="A576">
        <v>573</v>
      </c>
      <c r="B576" t="s">
        <v>2163</v>
      </c>
      <c r="C576" t="s">
        <v>2164</v>
      </c>
      <c r="D576" t="s">
        <v>18</v>
      </c>
      <c r="E576" t="str">
        <f>Table1[[#This Row],[Abbreviations]]</f>
        <v>New North</v>
      </c>
      <c r="F576" t="s">
        <v>684</v>
      </c>
      <c r="G576" t="str">
        <f xml:space="preserve"> PROPER(_xlfn.CONCAT(Table13[[#This Row],[Title]]," ",Table13[[#This Row],[First Name]]," ",Table13[[#This Row],[Last Name]]))</f>
        <v>Miss Synthia Goins</v>
      </c>
      <c r="H576" t="str">
        <f t="shared" si="16"/>
        <v>Miss S.Goins</v>
      </c>
      <c r="I576" t="str">
        <f t="shared" si="17"/>
        <v>F</v>
      </c>
    </row>
    <row r="577" spans="1:9" x14ac:dyDescent="0.3">
      <c r="A577">
        <v>574</v>
      </c>
      <c r="B577" t="s">
        <v>2166</v>
      </c>
      <c r="C577" t="s">
        <v>2167</v>
      </c>
      <c r="D577" t="s">
        <v>18</v>
      </c>
      <c r="E577" t="str">
        <f>Table1[[#This Row],[Abbreviations]]</f>
        <v>Warrior Square</v>
      </c>
      <c r="F577" t="s">
        <v>1366</v>
      </c>
      <c r="G577" t="str">
        <f xml:space="preserve"> PROPER(_xlfn.CONCAT(Table13[[#This Row],[Title]]," ",Table13[[#This Row],[First Name]]," ",Table13[[#This Row],[Last Name]]))</f>
        <v>Miss Margeret Prescott</v>
      </c>
      <c r="H577" t="str">
        <f t="shared" si="16"/>
        <v>Miss M.Prescott</v>
      </c>
      <c r="I577" t="str">
        <f t="shared" si="17"/>
        <v>F</v>
      </c>
    </row>
    <row r="578" spans="1:9" x14ac:dyDescent="0.3">
      <c r="A578">
        <v>575</v>
      </c>
      <c r="B578" t="s">
        <v>2169</v>
      </c>
      <c r="C578" t="s">
        <v>2170</v>
      </c>
      <c r="D578" t="s">
        <v>7</v>
      </c>
      <c r="E578" t="str">
        <f>Table1[[#This Row],[Abbreviations]]</f>
        <v>Inca Drive</v>
      </c>
      <c r="F578" t="s">
        <v>2172</v>
      </c>
      <c r="G578" t="str">
        <f xml:space="preserve"> PROPER(_xlfn.CONCAT(Table13[[#This Row],[Title]]," ",Table13[[#This Row],[First Name]]," ",Table13[[#This Row],[Last Name]]))</f>
        <v>Mrs Ashley Fitzpatrick</v>
      </c>
      <c r="H578" t="str">
        <f t="shared" si="16"/>
        <v>Mrs A.Fitzpatrick</v>
      </c>
      <c r="I578" t="str">
        <f t="shared" si="17"/>
        <v>F</v>
      </c>
    </row>
    <row r="579" spans="1:9" x14ac:dyDescent="0.3">
      <c r="A579">
        <v>576</v>
      </c>
      <c r="B579" t="s">
        <v>2173</v>
      </c>
      <c r="C579" t="s">
        <v>1005</v>
      </c>
      <c r="D579" t="s">
        <v>7</v>
      </c>
      <c r="E579" t="str">
        <f>Table1[[#This Row],[Abbreviations]]</f>
        <v>Carpenters Place</v>
      </c>
      <c r="F579" t="s">
        <v>2174</v>
      </c>
      <c r="G579" t="str">
        <f xml:space="preserve"> PROPER(_xlfn.CONCAT(Table13[[#This Row],[Title]]," ",Table13[[#This Row],[First Name]]," ",Table13[[#This Row],[Last Name]]))</f>
        <v>Mrs Lorene Hansen</v>
      </c>
      <c r="H579" t="str">
        <f t="shared" si="16"/>
        <v>Mrs L.Hansen</v>
      </c>
      <c r="I579" t="str">
        <f t="shared" si="17"/>
        <v>F</v>
      </c>
    </row>
    <row r="580" spans="1:9" x14ac:dyDescent="0.3">
      <c r="A580">
        <v>577</v>
      </c>
      <c r="B580" t="s">
        <v>2175</v>
      </c>
      <c r="C580" t="s">
        <v>385</v>
      </c>
      <c r="D580" t="s">
        <v>7</v>
      </c>
      <c r="E580" t="str">
        <f>Table1[[#This Row],[Abbreviations]]</f>
        <v>Southern Road</v>
      </c>
      <c r="F580" t="s">
        <v>2177</v>
      </c>
      <c r="G580" t="str">
        <f xml:space="preserve"> PROPER(_xlfn.CONCAT(Table13[[#This Row],[Title]]," ",Table13[[#This Row],[First Name]]," ",Table13[[#This Row],[Last Name]]))</f>
        <v>Mrs Cleopatra Brown</v>
      </c>
      <c r="H580" t="str">
        <f t="shared" ref="H580:H643" si="18">_xlfn.CONCAT(D580)&amp;" "&amp; LEFT(B580,1)&amp;"."&amp;C580</f>
        <v>Mrs C.Brown</v>
      </c>
      <c r="I580" t="str">
        <f t="shared" ref="I580:I643" si="19">IF(LEFT(D580,3)="Mr","M","F")</f>
        <v>F</v>
      </c>
    </row>
    <row r="581" spans="1:9" x14ac:dyDescent="0.3">
      <c r="A581">
        <v>578</v>
      </c>
      <c r="B581" t="s">
        <v>2178</v>
      </c>
      <c r="C581" t="s">
        <v>2179</v>
      </c>
      <c r="D581" t="s">
        <v>7</v>
      </c>
      <c r="E581" t="str">
        <f>Table1[[#This Row],[Abbreviations]]</f>
        <v>Bones Cottages</v>
      </c>
      <c r="F581" t="s">
        <v>2181</v>
      </c>
      <c r="G581" t="str">
        <f xml:space="preserve"> PROPER(_xlfn.CONCAT(Table13[[#This Row],[Title]]," ",Table13[[#This Row],[First Name]]," ",Table13[[#This Row],[Last Name]]))</f>
        <v>Mrs Emerita Patterson</v>
      </c>
      <c r="H581" t="str">
        <f t="shared" si="18"/>
        <v>Mrs E.Patterson</v>
      </c>
      <c r="I581" t="str">
        <f t="shared" si="19"/>
        <v>F</v>
      </c>
    </row>
    <row r="582" spans="1:9" x14ac:dyDescent="0.3">
      <c r="A582">
        <v>579</v>
      </c>
      <c r="B582" t="s">
        <v>2182</v>
      </c>
      <c r="C582" t="s">
        <v>688</v>
      </c>
      <c r="D582" t="s">
        <v>7</v>
      </c>
      <c r="E582" t="str">
        <f>Table1[[#This Row],[Abbreviations]]</f>
        <v>Tor Gardens</v>
      </c>
      <c r="F582" t="s">
        <v>1233</v>
      </c>
      <c r="G582" t="str">
        <f xml:space="preserve"> PROPER(_xlfn.CONCAT(Table13[[#This Row],[Title]]," ",Table13[[#This Row],[First Name]]," ",Table13[[#This Row],[Last Name]]))</f>
        <v>Mrs Juliet Connolly</v>
      </c>
      <c r="H582" t="str">
        <f t="shared" si="18"/>
        <v>Mrs J.Connolly</v>
      </c>
      <c r="I582" t="str">
        <f t="shared" si="19"/>
        <v>F</v>
      </c>
    </row>
    <row r="583" spans="1:9" x14ac:dyDescent="0.3">
      <c r="A583">
        <v>580</v>
      </c>
      <c r="B583" t="s">
        <v>2184</v>
      </c>
      <c r="C583" t="s">
        <v>2185</v>
      </c>
      <c r="D583" t="s">
        <v>18</v>
      </c>
      <c r="E583" t="str">
        <f>Table1[[#This Row],[Abbreviations]]</f>
        <v>Frobisher Cres</v>
      </c>
      <c r="F583" t="s">
        <v>1396</v>
      </c>
      <c r="G583" t="str">
        <f xml:space="preserve"> PROPER(_xlfn.CONCAT(Table13[[#This Row],[Title]]," ",Table13[[#This Row],[First Name]]," ",Table13[[#This Row],[Last Name]]))</f>
        <v>Miss Sherise Chapman</v>
      </c>
      <c r="H583" t="str">
        <f t="shared" si="18"/>
        <v>Miss S.Chapman</v>
      </c>
      <c r="I583" t="str">
        <f t="shared" si="19"/>
        <v>F</v>
      </c>
    </row>
    <row r="584" spans="1:9" x14ac:dyDescent="0.3">
      <c r="A584">
        <v>581</v>
      </c>
      <c r="B584" t="s">
        <v>2187</v>
      </c>
      <c r="C584" t="s">
        <v>1050</v>
      </c>
      <c r="D584" t="s">
        <v>7</v>
      </c>
      <c r="E584" t="str">
        <f>Table1[[#This Row],[Abbreviations]]</f>
        <v>Ludovick Walk</v>
      </c>
      <c r="F584" t="s">
        <v>369</v>
      </c>
      <c r="G584" t="str">
        <f xml:space="preserve"> PROPER(_xlfn.CONCAT(Table13[[#This Row],[Title]]," ",Table13[[#This Row],[First Name]]," ",Table13[[#This Row],[Last Name]]))</f>
        <v>Mrs Angelo Mcclellan</v>
      </c>
      <c r="H584" t="str">
        <f t="shared" si="18"/>
        <v>Mrs A.Mcclellan</v>
      </c>
      <c r="I584" t="str">
        <f t="shared" si="19"/>
        <v>F</v>
      </c>
    </row>
    <row r="585" spans="1:9" x14ac:dyDescent="0.3">
      <c r="A585">
        <v>582</v>
      </c>
      <c r="B585" t="s">
        <v>2189</v>
      </c>
      <c r="C585" t="s">
        <v>2190</v>
      </c>
      <c r="D585" t="s">
        <v>18</v>
      </c>
      <c r="E585" t="str">
        <f>Table1[[#This Row],[Abbreviations]]</f>
        <v>Keats Parade</v>
      </c>
      <c r="F585" t="s">
        <v>697</v>
      </c>
      <c r="G585" t="str">
        <f xml:space="preserve"> PROPER(_xlfn.CONCAT(Table13[[#This Row],[Title]]," ",Table13[[#This Row],[First Name]]," ",Table13[[#This Row],[Last Name]]))</f>
        <v>Miss Melina Givens</v>
      </c>
      <c r="H585" t="str">
        <f t="shared" si="18"/>
        <v>Miss M.Givens</v>
      </c>
      <c r="I585" t="str">
        <f t="shared" si="19"/>
        <v>F</v>
      </c>
    </row>
    <row r="586" spans="1:9" x14ac:dyDescent="0.3">
      <c r="A586">
        <v>583</v>
      </c>
      <c r="B586" t="s">
        <v>2192</v>
      </c>
      <c r="C586" t="s">
        <v>2193</v>
      </c>
      <c r="D586" t="s">
        <v>7</v>
      </c>
      <c r="E586" t="str">
        <f>Table1[[#This Row],[Abbreviations]]</f>
        <v>Seyssel Street</v>
      </c>
      <c r="F586" t="s">
        <v>1052</v>
      </c>
      <c r="G586" t="str">
        <f xml:space="preserve"> PROPER(_xlfn.CONCAT(Table13[[#This Row],[Title]]," ",Table13[[#This Row],[First Name]]," ",Table13[[#This Row],[Last Name]]))</f>
        <v>Mrs Cassy Daniels</v>
      </c>
      <c r="H586" t="str">
        <f t="shared" si="18"/>
        <v>Mrs C.Daniels</v>
      </c>
      <c r="I586" t="str">
        <f t="shared" si="19"/>
        <v>F</v>
      </c>
    </row>
    <row r="587" spans="1:9" x14ac:dyDescent="0.3">
      <c r="A587">
        <v>584</v>
      </c>
      <c r="B587" t="s">
        <v>2195</v>
      </c>
      <c r="C587" t="s">
        <v>2196</v>
      </c>
      <c r="D587" t="s">
        <v>7</v>
      </c>
      <c r="E587" t="str">
        <f>Table1[[#This Row],[Abbreviations]]</f>
        <v>Marylebone Mews</v>
      </c>
      <c r="F587" t="s">
        <v>1128</v>
      </c>
      <c r="G587" t="str">
        <f xml:space="preserve"> PROPER(_xlfn.CONCAT(Table13[[#This Row],[Title]]," ",Table13[[#This Row],[First Name]]," ",Table13[[#This Row],[Last Name]]))</f>
        <v>Mrs Shin Fernandez</v>
      </c>
      <c r="H587" t="str">
        <f t="shared" si="18"/>
        <v>Mrs S.Fernandez</v>
      </c>
      <c r="I587" t="str">
        <f t="shared" si="19"/>
        <v>F</v>
      </c>
    </row>
    <row r="588" spans="1:9" x14ac:dyDescent="0.3">
      <c r="A588">
        <v>585</v>
      </c>
      <c r="B588" t="s">
        <v>449</v>
      </c>
      <c r="C588" t="s">
        <v>2198</v>
      </c>
      <c r="D588" t="s">
        <v>18</v>
      </c>
      <c r="E588" t="str">
        <f>Table1[[#This Row],[Abbreviations]]</f>
        <v>Eclipse Road</v>
      </c>
      <c r="F588" t="s">
        <v>1605</v>
      </c>
      <c r="G588" t="str">
        <f xml:space="preserve"> PROPER(_xlfn.CONCAT(Table13[[#This Row],[Title]]," ",Table13[[#This Row],[First Name]]," ",Table13[[#This Row],[Last Name]]))</f>
        <v>Miss Porsche Norris</v>
      </c>
      <c r="H588" t="str">
        <f t="shared" si="18"/>
        <v>Miss P.Norris</v>
      </c>
      <c r="I588" t="str">
        <f t="shared" si="19"/>
        <v>F</v>
      </c>
    </row>
    <row r="589" spans="1:9" x14ac:dyDescent="0.3">
      <c r="A589">
        <v>586</v>
      </c>
      <c r="B589" t="s">
        <v>187</v>
      </c>
      <c r="C589" t="s">
        <v>2200</v>
      </c>
      <c r="D589" t="s">
        <v>18</v>
      </c>
      <c r="E589" t="str">
        <f>Table1[[#This Row],[Abbreviations]]</f>
        <v>Aylesbury Close</v>
      </c>
      <c r="F589" t="s">
        <v>2202</v>
      </c>
      <c r="G589" t="str">
        <f xml:space="preserve"> PROPER(_xlfn.CONCAT(Table13[[#This Row],[Title]]," ",Table13[[#This Row],[First Name]]," ",Table13[[#This Row],[Last Name]]))</f>
        <v>Miss Chung Babcock</v>
      </c>
      <c r="H589" t="str">
        <f t="shared" si="18"/>
        <v>Miss C.Babcock</v>
      </c>
      <c r="I589" t="str">
        <f t="shared" si="19"/>
        <v>F</v>
      </c>
    </row>
    <row r="590" spans="1:9" x14ac:dyDescent="0.3">
      <c r="A590">
        <v>587</v>
      </c>
      <c r="B590" t="s">
        <v>1022</v>
      </c>
      <c r="C590" t="s">
        <v>232</v>
      </c>
      <c r="D590" t="s">
        <v>18</v>
      </c>
      <c r="E590" t="str">
        <f>Table1[[#This Row],[Abbreviations]]</f>
        <v>Hill Street</v>
      </c>
      <c r="F590" t="s">
        <v>1274</v>
      </c>
      <c r="G590" t="str">
        <f xml:space="preserve"> PROPER(_xlfn.CONCAT(Table13[[#This Row],[Title]]," ",Table13[[#This Row],[First Name]]," ",Table13[[#This Row],[Last Name]]))</f>
        <v>Miss Macy Byrd</v>
      </c>
      <c r="H590" t="str">
        <f t="shared" si="18"/>
        <v>Miss M.Byrd</v>
      </c>
      <c r="I590" t="str">
        <f t="shared" si="19"/>
        <v>F</v>
      </c>
    </row>
    <row r="591" spans="1:9" x14ac:dyDescent="0.3">
      <c r="A591">
        <v>588</v>
      </c>
      <c r="B591" t="s">
        <v>2204</v>
      </c>
      <c r="C591" t="s">
        <v>2205</v>
      </c>
      <c r="D591" t="s">
        <v>7</v>
      </c>
      <c r="E591" t="str">
        <f>Table1[[#This Row],[Abbreviations]]</f>
        <v>Marley Close</v>
      </c>
      <c r="F591" t="s">
        <v>559</v>
      </c>
      <c r="G591" t="str">
        <f xml:space="preserve"> PROPER(_xlfn.CONCAT(Table13[[#This Row],[Title]]," ",Table13[[#This Row],[First Name]]," ",Table13[[#This Row],[Last Name]]))</f>
        <v>Mrs Shanel Garza</v>
      </c>
      <c r="H591" t="str">
        <f t="shared" si="18"/>
        <v>Mrs S.Garza</v>
      </c>
      <c r="I591" t="str">
        <f t="shared" si="19"/>
        <v>F</v>
      </c>
    </row>
    <row r="592" spans="1:9" x14ac:dyDescent="0.3">
      <c r="A592">
        <v>589</v>
      </c>
      <c r="B592" t="s">
        <v>2207</v>
      </c>
      <c r="C592" t="s">
        <v>2208</v>
      </c>
      <c r="D592" t="s">
        <v>7</v>
      </c>
      <c r="E592" t="str">
        <f>Table1[[#This Row],[Abbreviations]]</f>
        <v>Kentmere Road</v>
      </c>
      <c r="F592" t="s">
        <v>2210</v>
      </c>
      <c r="G592" t="str">
        <f xml:space="preserve"> PROPER(_xlfn.CONCAT(Table13[[#This Row],[Title]]," ",Table13[[#This Row],[First Name]]," ",Table13[[#This Row],[Last Name]]))</f>
        <v>Mrs Lacresha Avery</v>
      </c>
      <c r="H592" t="str">
        <f t="shared" si="18"/>
        <v>Mrs L.Avery</v>
      </c>
      <c r="I592" t="str">
        <f t="shared" si="19"/>
        <v>F</v>
      </c>
    </row>
    <row r="593" spans="1:9" x14ac:dyDescent="0.3">
      <c r="A593">
        <v>590</v>
      </c>
      <c r="B593" t="s">
        <v>2211</v>
      </c>
      <c r="C593" t="s">
        <v>2212</v>
      </c>
      <c r="D593" t="s">
        <v>318</v>
      </c>
      <c r="E593" t="str">
        <f>Table1[[#This Row],[Abbreviations]]</f>
        <v>Morden Road</v>
      </c>
      <c r="F593" t="s">
        <v>195</v>
      </c>
      <c r="G593" t="str">
        <f xml:space="preserve"> PROPER(_xlfn.CONCAT(Table13[[#This Row],[Title]]," ",Table13[[#This Row],[First Name]]," ",Table13[[#This Row],[Last Name]]))</f>
        <v>Dr Kathleen Blackmon</v>
      </c>
      <c r="H593" t="str">
        <f t="shared" si="18"/>
        <v>Dr K.Blackmon</v>
      </c>
      <c r="I593" t="str">
        <f t="shared" si="19"/>
        <v>F</v>
      </c>
    </row>
    <row r="594" spans="1:9" x14ac:dyDescent="0.3">
      <c r="A594">
        <v>591</v>
      </c>
      <c r="B594" t="s">
        <v>2064</v>
      </c>
      <c r="C594" t="s">
        <v>2214</v>
      </c>
      <c r="D594" t="s">
        <v>7</v>
      </c>
      <c r="E594" t="str">
        <f>Table1[[#This Row],[Abbreviations]]</f>
        <v>Well Cottage</v>
      </c>
      <c r="F594" t="s">
        <v>2216</v>
      </c>
      <c r="G594" t="str">
        <f xml:space="preserve"> PROPER(_xlfn.CONCAT(Table13[[#This Row],[Title]]," ",Table13[[#This Row],[First Name]]," ",Table13[[#This Row],[Last Name]]))</f>
        <v>Mrs Janella Curtis</v>
      </c>
      <c r="H594" t="str">
        <f t="shared" si="18"/>
        <v>Mrs J.Curtis</v>
      </c>
      <c r="I594" t="str">
        <f t="shared" si="19"/>
        <v>F</v>
      </c>
    </row>
    <row r="595" spans="1:9" x14ac:dyDescent="0.3">
      <c r="A595">
        <v>592</v>
      </c>
      <c r="B595" t="s">
        <v>2217</v>
      </c>
      <c r="C595" t="s">
        <v>2218</v>
      </c>
      <c r="D595" t="s">
        <v>7</v>
      </c>
      <c r="E595" t="str">
        <f>Table1[[#This Row],[Abbreviations]]</f>
        <v>Rhodesia Road</v>
      </c>
      <c r="F595" t="s">
        <v>1803</v>
      </c>
      <c r="G595" t="str">
        <f xml:space="preserve"> PROPER(_xlfn.CONCAT(Table13[[#This Row],[Title]]," ",Table13[[#This Row],[First Name]]," ",Table13[[#This Row],[Last Name]]))</f>
        <v>Mrs Estefana Frank</v>
      </c>
      <c r="H595" t="str">
        <f t="shared" si="18"/>
        <v>Mrs E.Frank</v>
      </c>
      <c r="I595" t="str">
        <f t="shared" si="19"/>
        <v>F</v>
      </c>
    </row>
    <row r="596" spans="1:9" x14ac:dyDescent="0.3">
      <c r="A596">
        <v>593</v>
      </c>
      <c r="B596" t="s">
        <v>465</v>
      </c>
      <c r="C596" t="s">
        <v>2220</v>
      </c>
      <c r="D596" t="s">
        <v>18</v>
      </c>
      <c r="E596" t="str">
        <f>Table1[[#This Row],[Abbreviations]]</f>
        <v>Dacre Road</v>
      </c>
      <c r="F596" t="s">
        <v>1609</v>
      </c>
      <c r="G596" t="str">
        <f xml:space="preserve"> PROPER(_xlfn.CONCAT(Table13[[#This Row],[Title]]," ",Table13[[#This Row],[First Name]]," ",Table13[[#This Row],[Last Name]]))</f>
        <v>Miss Rebekah Holman</v>
      </c>
      <c r="H596" t="str">
        <f t="shared" si="18"/>
        <v>Miss R.Holman</v>
      </c>
      <c r="I596" t="str">
        <f t="shared" si="19"/>
        <v>F</v>
      </c>
    </row>
    <row r="597" spans="1:9" x14ac:dyDescent="0.3">
      <c r="A597">
        <v>594</v>
      </c>
      <c r="B597" t="s">
        <v>2222</v>
      </c>
      <c r="C597" t="s">
        <v>1013</v>
      </c>
      <c r="D597" t="s">
        <v>7</v>
      </c>
      <c r="E597" t="str">
        <f>Table1[[#This Row],[Abbreviations]]</f>
        <v>Lorrimore Terrace</v>
      </c>
      <c r="F597" t="s">
        <v>1605</v>
      </c>
      <c r="G597" t="str">
        <f xml:space="preserve"> PROPER(_xlfn.CONCAT(Table13[[#This Row],[Title]]," ",Table13[[#This Row],[First Name]]," ",Table13[[#This Row],[Last Name]]))</f>
        <v>Mrs Sina Bullard</v>
      </c>
      <c r="H597" t="str">
        <f t="shared" si="18"/>
        <v>Mrs S.Bullard</v>
      </c>
      <c r="I597" t="str">
        <f t="shared" si="19"/>
        <v>F</v>
      </c>
    </row>
    <row r="598" spans="1:9" x14ac:dyDescent="0.3">
      <c r="A598">
        <v>595</v>
      </c>
      <c r="B598" t="s">
        <v>2224</v>
      </c>
      <c r="C598" t="s">
        <v>2225</v>
      </c>
      <c r="D598" t="s">
        <v>18</v>
      </c>
      <c r="E598" t="str">
        <f>Table1[[#This Row],[Abbreviations]]</f>
        <v>Portbury Close</v>
      </c>
      <c r="F598" t="s">
        <v>2227</v>
      </c>
      <c r="G598" t="str">
        <f xml:space="preserve"> PROPER(_xlfn.CONCAT(Table13[[#This Row],[Title]]," ",Table13[[#This Row],[First Name]]," ",Table13[[#This Row],[Last Name]]))</f>
        <v>Miss Carly Boone</v>
      </c>
      <c r="H598" t="str">
        <f t="shared" si="18"/>
        <v>Miss C.Boone</v>
      </c>
      <c r="I598" t="str">
        <f t="shared" si="19"/>
        <v>F</v>
      </c>
    </row>
    <row r="599" spans="1:9" x14ac:dyDescent="0.3">
      <c r="A599">
        <v>596</v>
      </c>
      <c r="B599" t="s">
        <v>2228</v>
      </c>
      <c r="C599" t="s">
        <v>950</v>
      </c>
      <c r="D599" t="s">
        <v>18</v>
      </c>
      <c r="E599" t="str">
        <f>Table1[[#This Row],[Abbreviations]]</f>
        <v>Pegwell Cottages</v>
      </c>
      <c r="F599" t="s">
        <v>907</v>
      </c>
      <c r="G599" t="str">
        <f xml:space="preserve"> PROPER(_xlfn.CONCAT(Table13[[#This Row],[Title]]," ",Table13[[#This Row],[First Name]]," ",Table13[[#This Row],[Last Name]]))</f>
        <v>Miss Katelynn Mcgowan</v>
      </c>
      <c r="H599" t="str">
        <f t="shared" si="18"/>
        <v>Miss K.Mcgowan</v>
      </c>
      <c r="I599" t="str">
        <f t="shared" si="19"/>
        <v>F</v>
      </c>
    </row>
    <row r="600" spans="1:9" x14ac:dyDescent="0.3">
      <c r="A600">
        <v>597</v>
      </c>
      <c r="B600" t="s">
        <v>2230</v>
      </c>
      <c r="C600" t="s">
        <v>2231</v>
      </c>
      <c r="D600" t="s">
        <v>7</v>
      </c>
      <c r="E600" t="str">
        <f>Table1[[#This Row],[Abbreviations]]</f>
        <v>Penny Fields</v>
      </c>
      <c r="F600" t="s">
        <v>1937</v>
      </c>
      <c r="G600" t="str">
        <f xml:space="preserve"> PROPER(_xlfn.CONCAT(Table13[[#This Row],[Title]]," ",Table13[[#This Row],[First Name]]," ",Table13[[#This Row],[Last Name]]))</f>
        <v>Mrs Susan Brandon</v>
      </c>
      <c r="H600" t="str">
        <f t="shared" si="18"/>
        <v>Mrs S.Brandon</v>
      </c>
      <c r="I600" t="str">
        <f t="shared" si="19"/>
        <v>F</v>
      </c>
    </row>
    <row r="601" spans="1:9" x14ac:dyDescent="0.3">
      <c r="A601">
        <v>598</v>
      </c>
      <c r="B601" t="s">
        <v>193</v>
      </c>
      <c r="C601" t="s">
        <v>2233</v>
      </c>
      <c r="D601" t="s">
        <v>7</v>
      </c>
      <c r="E601" t="str">
        <f>Table1[[#This Row],[Abbreviations]]</f>
        <v>Brunswick Mews</v>
      </c>
      <c r="F601" t="s">
        <v>2235</v>
      </c>
      <c r="G601" t="str">
        <f xml:space="preserve"> PROPER(_xlfn.CONCAT(Table13[[#This Row],[Title]]," ",Table13[[#This Row],[First Name]]," ",Table13[[#This Row],[Last Name]]))</f>
        <v>Mrs Pearly Tolbert</v>
      </c>
      <c r="H601" t="str">
        <f t="shared" si="18"/>
        <v>Mrs P.Tolbert</v>
      </c>
      <c r="I601" t="str">
        <f t="shared" si="19"/>
        <v>F</v>
      </c>
    </row>
    <row r="602" spans="1:9" x14ac:dyDescent="0.3">
      <c r="A602">
        <v>599</v>
      </c>
      <c r="B602" t="s">
        <v>2236</v>
      </c>
      <c r="C602" t="s">
        <v>431</v>
      </c>
      <c r="D602" t="s">
        <v>18</v>
      </c>
      <c r="E602" t="str">
        <f>Table1[[#This Row],[Abbreviations]]</f>
        <v>Agnew Street</v>
      </c>
      <c r="F602" t="s">
        <v>897</v>
      </c>
      <c r="G602" t="str">
        <f xml:space="preserve"> PROPER(_xlfn.CONCAT(Table13[[#This Row],[Title]]," ",Table13[[#This Row],[First Name]]," ",Table13[[#This Row],[Last Name]]))</f>
        <v>Miss Maryrose Jaramillo</v>
      </c>
      <c r="H602" t="str">
        <f t="shared" si="18"/>
        <v>Miss M.Jaramillo</v>
      </c>
      <c r="I602" t="str">
        <f t="shared" si="19"/>
        <v>F</v>
      </c>
    </row>
    <row r="603" spans="1:9" x14ac:dyDescent="0.3">
      <c r="A603">
        <v>600</v>
      </c>
      <c r="B603" t="s">
        <v>581</v>
      </c>
      <c r="C603" t="s">
        <v>2238</v>
      </c>
      <c r="D603" t="s">
        <v>18</v>
      </c>
      <c r="E603" t="str">
        <f>Table1[[#This Row],[Abbreviations]]</f>
        <v>Randon Street</v>
      </c>
      <c r="F603" t="s">
        <v>2240</v>
      </c>
      <c r="G603" t="str">
        <f xml:space="preserve"> PROPER(_xlfn.CONCAT(Table13[[#This Row],[Title]]," ",Table13[[#This Row],[First Name]]," ",Table13[[#This Row],[Last Name]]))</f>
        <v>Miss Yahaira Vickers</v>
      </c>
      <c r="H603" t="str">
        <f t="shared" si="18"/>
        <v>Miss Y.Vickers</v>
      </c>
      <c r="I603" t="str">
        <f t="shared" si="19"/>
        <v>F</v>
      </c>
    </row>
    <row r="604" spans="1:9" x14ac:dyDescent="0.3">
      <c r="A604">
        <v>601</v>
      </c>
      <c r="B604" t="s">
        <v>2241</v>
      </c>
      <c r="C604" t="s">
        <v>2242</v>
      </c>
      <c r="D604" t="s">
        <v>18</v>
      </c>
      <c r="E604" t="str">
        <f>Table1[[#This Row],[Abbreviations]]</f>
        <v>Macauley Mews</v>
      </c>
      <c r="F604" t="s">
        <v>2244</v>
      </c>
      <c r="G604" t="str">
        <f xml:space="preserve"> PROPER(_xlfn.CONCAT(Table13[[#This Row],[Title]]," ",Table13[[#This Row],[First Name]]," ",Table13[[#This Row],[Last Name]]))</f>
        <v>Miss Trinh Wells</v>
      </c>
      <c r="H604" t="str">
        <f t="shared" si="18"/>
        <v>Miss T.Wells</v>
      </c>
      <c r="I604" t="str">
        <f t="shared" si="19"/>
        <v>F</v>
      </c>
    </row>
    <row r="605" spans="1:9" x14ac:dyDescent="0.3">
      <c r="A605">
        <v>602</v>
      </c>
      <c r="B605" t="s">
        <v>2245</v>
      </c>
      <c r="C605" t="s">
        <v>1185</v>
      </c>
      <c r="D605" t="s">
        <v>18</v>
      </c>
      <c r="E605" t="str">
        <f>Table1[[#This Row],[Abbreviations]]</f>
        <v>Becklow Road</v>
      </c>
      <c r="F605" t="s">
        <v>485</v>
      </c>
      <c r="G605" t="str">
        <f xml:space="preserve"> PROPER(_xlfn.CONCAT(Table13[[#This Row],[Title]]," ",Table13[[#This Row],[First Name]]," ",Table13[[#This Row],[Last Name]]))</f>
        <v>Miss Kathyrn Henley</v>
      </c>
      <c r="H605" t="str">
        <f t="shared" si="18"/>
        <v>Miss K.Henley</v>
      </c>
      <c r="I605" t="str">
        <f t="shared" si="19"/>
        <v>F</v>
      </c>
    </row>
    <row r="606" spans="1:9" x14ac:dyDescent="0.3">
      <c r="A606">
        <v>603</v>
      </c>
      <c r="B606" t="s">
        <v>2247</v>
      </c>
      <c r="C606" t="s">
        <v>923</v>
      </c>
      <c r="D606" t="s">
        <v>7</v>
      </c>
      <c r="E606" t="str">
        <f>Table1[[#This Row],[Abbreviations]]</f>
        <v>Grecian Crescent</v>
      </c>
      <c r="F606" t="s">
        <v>2249</v>
      </c>
      <c r="G606" t="str">
        <f xml:space="preserve"> PROPER(_xlfn.CONCAT(Table13[[#This Row],[Title]]," ",Table13[[#This Row],[First Name]]," ",Table13[[#This Row],[Last Name]]))</f>
        <v>Mrs Marian Coker</v>
      </c>
      <c r="H606" t="str">
        <f t="shared" si="18"/>
        <v>Mrs M.Coker</v>
      </c>
      <c r="I606" t="str">
        <f t="shared" si="19"/>
        <v>F</v>
      </c>
    </row>
    <row r="607" spans="1:9" x14ac:dyDescent="0.3">
      <c r="A607">
        <v>604</v>
      </c>
      <c r="B607" t="s">
        <v>2250</v>
      </c>
      <c r="C607" t="s">
        <v>2251</v>
      </c>
      <c r="D607" t="s">
        <v>7</v>
      </c>
      <c r="E607" t="str">
        <f>Table1[[#This Row],[Abbreviations]]</f>
        <v>Grove Hall</v>
      </c>
      <c r="F607" t="s">
        <v>542</v>
      </c>
      <c r="G607" t="str">
        <f xml:space="preserve"> PROPER(_xlfn.CONCAT(Table13[[#This Row],[Title]]," ",Table13[[#This Row],[First Name]]," ",Table13[[#This Row],[Last Name]]))</f>
        <v>Mrs Ona Stratton</v>
      </c>
      <c r="H607" t="str">
        <f t="shared" si="18"/>
        <v>Mrs O.Stratton</v>
      </c>
      <c r="I607" t="str">
        <f t="shared" si="19"/>
        <v>F</v>
      </c>
    </row>
    <row r="608" spans="1:9" x14ac:dyDescent="0.3">
      <c r="A608">
        <v>605</v>
      </c>
      <c r="B608" t="s">
        <v>2253</v>
      </c>
      <c r="C608" t="s">
        <v>2254</v>
      </c>
      <c r="D608" t="s">
        <v>7</v>
      </c>
      <c r="E608" t="str">
        <f>Table1[[#This Row],[Abbreviations]]</f>
        <v>Paddock Passage</v>
      </c>
      <c r="F608" t="s">
        <v>925</v>
      </c>
      <c r="G608" t="str">
        <f xml:space="preserve"> PROPER(_xlfn.CONCAT(Table13[[#This Row],[Title]]," ",Table13[[#This Row],[First Name]]," ",Table13[[#This Row],[Last Name]]))</f>
        <v>Mrs Summer Knowles</v>
      </c>
      <c r="H608" t="str">
        <f t="shared" si="18"/>
        <v>Mrs S.Knowles</v>
      </c>
      <c r="I608" t="str">
        <f t="shared" si="19"/>
        <v>F</v>
      </c>
    </row>
    <row r="609" spans="1:9" x14ac:dyDescent="0.3">
      <c r="A609">
        <v>606</v>
      </c>
      <c r="B609" t="s">
        <v>402</v>
      </c>
      <c r="C609" t="s">
        <v>2256</v>
      </c>
      <c r="D609" t="s">
        <v>18</v>
      </c>
      <c r="E609" t="str">
        <f>Table1[[#This Row],[Abbreviations]]</f>
        <v>Barlow Street</v>
      </c>
      <c r="F609" t="s">
        <v>2258</v>
      </c>
      <c r="G609" t="str">
        <f xml:space="preserve"> PROPER(_xlfn.CONCAT(Table13[[#This Row],[Title]]," ",Table13[[#This Row],[First Name]]," ",Table13[[#This Row],[Last Name]]))</f>
        <v>Miss Iraida Castro</v>
      </c>
      <c r="H609" t="str">
        <f t="shared" si="18"/>
        <v>Miss I.Castro</v>
      </c>
      <c r="I609" t="str">
        <f t="shared" si="19"/>
        <v>F</v>
      </c>
    </row>
    <row r="610" spans="1:9" x14ac:dyDescent="0.3">
      <c r="A610">
        <v>607</v>
      </c>
      <c r="B610" t="s">
        <v>2259</v>
      </c>
      <c r="C610" t="s">
        <v>650</v>
      </c>
      <c r="D610" t="s">
        <v>18</v>
      </c>
      <c r="E610" t="str">
        <f>Table1[[#This Row],[Abbreviations]]</f>
        <v>Earls Yard</v>
      </c>
      <c r="F610" t="s">
        <v>754</v>
      </c>
      <c r="G610" t="str">
        <f xml:space="preserve"> PROPER(_xlfn.CONCAT(Table13[[#This Row],[Title]]," ",Table13[[#This Row],[First Name]]," ",Table13[[#This Row],[Last Name]]))</f>
        <v>Miss Dania Hyde</v>
      </c>
      <c r="H610" t="str">
        <f t="shared" si="18"/>
        <v>Miss D.Hyde</v>
      </c>
      <c r="I610" t="str">
        <f t="shared" si="19"/>
        <v>F</v>
      </c>
    </row>
    <row r="611" spans="1:9" x14ac:dyDescent="0.3">
      <c r="A611">
        <v>608</v>
      </c>
      <c r="B611" t="s">
        <v>1092</v>
      </c>
      <c r="C611" t="s">
        <v>927</v>
      </c>
      <c r="D611" t="s">
        <v>7</v>
      </c>
      <c r="E611" t="str">
        <f>Table1[[#This Row],[Abbreviations]]</f>
        <v>Tyrell Street</v>
      </c>
      <c r="F611" t="s">
        <v>371</v>
      </c>
      <c r="G611" t="str">
        <f xml:space="preserve"> PROPER(_xlfn.CONCAT(Table13[[#This Row],[Title]]," ",Table13[[#This Row],[First Name]]," ",Table13[[#This Row],[Last Name]]))</f>
        <v>Mrs Burma Farrell</v>
      </c>
      <c r="H611" t="str">
        <f t="shared" si="18"/>
        <v>Mrs B.Farrell</v>
      </c>
      <c r="I611" t="str">
        <f t="shared" si="19"/>
        <v>F</v>
      </c>
    </row>
    <row r="612" spans="1:9" x14ac:dyDescent="0.3">
      <c r="A612">
        <v>609</v>
      </c>
      <c r="B612" t="s">
        <v>2262</v>
      </c>
      <c r="C612" t="s">
        <v>1268</v>
      </c>
      <c r="D612" t="s">
        <v>7</v>
      </c>
      <c r="E612" t="str">
        <f>Table1[[#This Row],[Abbreviations]]</f>
        <v>Grosvenor Villas</v>
      </c>
      <c r="F612" t="s">
        <v>409</v>
      </c>
      <c r="G612" t="str">
        <f xml:space="preserve"> PROPER(_xlfn.CONCAT(Table13[[#This Row],[Title]]," ",Table13[[#This Row],[First Name]]," ",Table13[[#This Row],[Last Name]]))</f>
        <v>Mrs Soila Stallings</v>
      </c>
      <c r="H612" t="str">
        <f t="shared" si="18"/>
        <v>Mrs s.Stallings</v>
      </c>
      <c r="I612" t="str">
        <f t="shared" si="19"/>
        <v>F</v>
      </c>
    </row>
    <row r="613" spans="1:9" x14ac:dyDescent="0.3">
      <c r="A613">
        <v>610</v>
      </c>
      <c r="B613" t="s">
        <v>2264</v>
      </c>
      <c r="C613" t="s">
        <v>123</v>
      </c>
      <c r="D613" t="s">
        <v>18</v>
      </c>
      <c r="E613" t="str">
        <f>Table1[[#This Row],[Abbreviations]]</f>
        <v>Coveland Cottage</v>
      </c>
      <c r="F613" t="s">
        <v>2266</v>
      </c>
      <c r="G613" t="str">
        <f xml:space="preserve"> PROPER(_xlfn.CONCAT(Table13[[#This Row],[Title]]," ",Table13[[#This Row],[First Name]]," ",Table13[[#This Row],[Last Name]]))</f>
        <v>Miss Asley Oneal</v>
      </c>
      <c r="H613" t="str">
        <f t="shared" si="18"/>
        <v>Miss A.Oneal</v>
      </c>
      <c r="I613" t="str">
        <f t="shared" si="19"/>
        <v>F</v>
      </c>
    </row>
    <row r="614" spans="1:9" x14ac:dyDescent="0.3">
      <c r="A614">
        <v>611</v>
      </c>
      <c r="B614" t="s">
        <v>2267</v>
      </c>
      <c r="C614" t="s">
        <v>2268</v>
      </c>
      <c r="D614" t="s">
        <v>18</v>
      </c>
      <c r="E614" t="str">
        <f>Table1[[#This Row],[Abbreviations]]</f>
        <v>Hawkwell Walk</v>
      </c>
      <c r="F614" t="s">
        <v>2270</v>
      </c>
      <c r="G614" t="str">
        <f xml:space="preserve"> PROPER(_xlfn.CONCAT(Table13[[#This Row],[Title]]," ",Table13[[#This Row],[First Name]]," ",Table13[[#This Row],[Last Name]]))</f>
        <v>Miss Zoraida Bruce</v>
      </c>
      <c r="H614" t="str">
        <f t="shared" si="18"/>
        <v>Miss Z.Bruce</v>
      </c>
      <c r="I614" t="str">
        <f t="shared" si="19"/>
        <v>F</v>
      </c>
    </row>
    <row r="615" spans="1:9" x14ac:dyDescent="0.3">
      <c r="A615">
        <v>612</v>
      </c>
      <c r="B615" t="s">
        <v>2271</v>
      </c>
      <c r="C615" t="s">
        <v>166</v>
      </c>
      <c r="D615" t="s">
        <v>7</v>
      </c>
      <c r="E615" t="str">
        <f>Table1[[#This Row],[Abbreviations]]</f>
        <v>Pavilion Mews</v>
      </c>
      <c r="F615" t="s">
        <v>2227</v>
      </c>
      <c r="G615" t="str">
        <f xml:space="preserve"> PROPER(_xlfn.CONCAT(Table13[[#This Row],[Title]]," ",Table13[[#This Row],[First Name]]," ",Table13[[#This Row],[Last Name]]))</f>
        <v>Mrs Jammie Joseph</v>
      </c>
      <c r="H615" t="str">
        <f t="shared" si="18"/>
        <v>Mrs J.Joseph</v>
      </c>
      <c r="I615" t="str">
        <f t="shared" si="19"/>
        <v>F</v>
      </c>
    </row>
    <row r="616" spans="1:9" x14ac:dyDescent="0.3">
      <c r="A616">
        <v>613</v>
      </c>
      <c r="B616" t="s">
        <v>664</v>
      </c>
      <c r="C616" t="s">
        <v>2273</v>
      </c>
      <c r="D616" t="s">
        <v>7</v>
      </c>
      <c r="E616" t="str">
        <f>Table1[[#This Row],[Abbreviations]]</f>
        <v>Cline Road</v>
      </c>
      <c r="F616" t="s">
        <v>1056</v>
      </c>
      <c r="G616" t="str">
        <f xml:space="preserve"> PROPER(_xlfn.CONCAT(Table13[[#This Row],[Title]]," ",Table13[[#This Row],[First Name]]," ",Table13[[#This Row],[Last Name]]))</f>
        <v>Mrs Star Woodruff</v>
      </c>
      <c r="H616" t="str">
        <f t="shared" si="18"/>
        <v>Mrs S.Woodruff</v>
      </c>
      <c r="I616" t="str">
        <f t="shared" si="19"/>
        <v>F</v>
      </c>
    </row>
    <row r="617" spans="1:9" x14ac:dyDescent="0.3">
      <c r="A617">
        <v>614</v>
      </c>
      <c r="B617" t="s">
        <v>372</v>
      </c>
      <c r="C617" t="s">
        <v>2275</v>
      </c>
      <c r="D617" t="s">
        <v>7</v>
      </c>
      <c r="E617" t="str">
        <f>Table1[[#This Row],[Abbreviations]]</f>
        <v>Parkside Gardens</v>
      </c>
      <c r="F617" t="s">
        <v>2277</v>
      </c>
      <c r="G617" t="str">
        <f xml:space="preserve"> PROPER(_xlfn.CONCAT(Table13[[#This Row],[Title]]," ",Table13[[#This Row],[First Name]]," ",Table13[[#This Row],[Last Name]]))</f>
        <v>Mrs Wanda Faulk</v>
      </c>
      <c r="H617" t="str">
        <f t="shared" si="18"/>
        <v>Mrs W.Faulk</v>
      </c>
      <c r="I617" t="str">
        <f t="shared" si="19"/>
        <v>F</v>
      </c>
    </row>
    <row r="618" spans="1:9" x14ac:dyDescent="0.3">
      <c r="A618">
        <v>615</v>
      </c>
      <c r="B618" t="s">
        <v>2278</v>
      </c>
      <c r="C618" t="s">
        <v>2279</v>
      </c>
      <c r="D618" t="s">
        <v>7</v>
      </c>
      <c r="E618" t="str">
        <f>Table1[[#This Row],[Abbreviations]]</f>
        <v>Goad'S Place</v>
      </c>
      <c r="F618" t="s">
        <v>1003</v>
      </c>
      <c r="G618" t="str">
        <f xml:space="preserve"> PROPER(_xlfn.CONCAT(Table13[[#This Row],[Title]]," ",Table13[[#This Row],[First Name]]," ",Table13[[#This Row],[Last Name]]))</f>
        <v>Mrs Hong Witherspoon</v>
      </c>
      <c r="H618" t="str">
        <f t="shared" si="18"/>
        <v>Mrs H.Witherspoon</v>
      </c>
      <c r="I618" t="str">
        <f t="shared" si="19"/>
        <v>F</v>
      </c>
    </row>
    <row r="619" spans="1:9" x14ac:dyDescent="0.3">
      <c r="A619">
        <v>616</v>
      </c>
      <c r="B619" t="s">
        <v>2281</v>
      </c>
      <c r="C619" t="s">
        <v>2282</v>
      </c>
      <c r="D619" t="s">
        <v>18</v>
      </c>
      <c r="E619" t="str">
        <f>Table1[[#This Row],[Abbreviations]]</f>
        <v>Thamesbank Place</v>
      </c>
      <c r="F619" t="s">
        <v>2284</v>
      </c>
      <c r="G619" t="str">
        <f xml:space="preserve"> PROPER(_xlfn.CONCAT(Table13[[#This Row],[Title]]," ",Table13[[#This Row],[First Name]]," ",Table13[[#This Row],[Last Name]]))</f>
        <v>Miss Jonelle Mcmahon</v>
      </c>
      <c r="H619" t="str">
        <f t="shared" si="18"/>
        <v>Miss J.Mcmahon</v>
      </c>
      <c r="I619" t="str">
        <f t="shared" si="19"/>
        <v>F</v>
      </c>
    </row>
    <row r="620" spans="1:9" x14ac:dyDescent="0.3">
      <c r="A620">
        <v>617</v>
      </c>
      <c r="B620" t="s">
        <v>2285</v>
      </c>
      <c r="C620" t="s">
        <v>2286</v>
      </c>
      <c r="D620" t="s">
        <v>7</v>
      </c>
      <c r="E620" t="str">
        <f>Table1[[#This Row],[Abbreviations]]</f>
        <v>Broad Way</v>
      </c>
      <c r="F620" t="s">
        <v>489</v>
      </c>
      <c r="G620" t="str">
        <f xml:space="preserve"> PROPER(_xlfn.CONCAT(Table13[[#This Row],[Title]]," ",Table13[[#This Row],[First Name]]," ",Table13[[#This Row],[Last Name]]))</f>
        <v>Mrs Lettie Pratt</v>
      </c>
      <c r="H620" t="str">
        <f t="shared" si="18"/>
        <v>Mrs L.Pratt</v>
      </c>
      <c r="I620" t="str">
        <f t="shared" si="19"/>
        <v>F</v>
      </c>
    </row>
    <row r="621" spans="1:9" x14ac:dyDescent="0.3">
      <c r="A621">
        <v>618</v>
      </c>
      <c r="B621" t="s">
        <v>2288</v>
      </c>
      <c r="C621" t="s">
        <v>2289</v>
      </c>
      <c r="D621" t="s">
        <v>7</v>
      </c>
      <c r="E621" t="str">
        <f>Table1[[#This Row],[Abbreviations]]</f>
        <v>William Bonney</v>
      </c>
      <c r="F621" t="s">
        <v>2291</v>
      </c>
      <c r="G621" t="str">
        <f xml:space="preserve"> PROPER(_xlfn.CONCAT(Table13[[#This Row],[Title]]," ",Table13[[#This Row],[First Name]]," ",Table13[[#This Row],[Last Name]]))</f>
        <v>Mrs Chante Pruitt</v>
      </c>
      <c r="H621" t="str">
        <f t="shared" si="18"/>
        <v>Mrs C.Pruitt</v>
      </c>
      <c r="I621" t="str">
        <f t="shared" si="19"/>
        <v>F</v>
      </c>
    </row>
    <row r="622" spans="1:9" x14ac:dyDescent="0.3">
      <c r="A622">
        <v>619</v>
      </c>
      <c r="B622" t="s">
        <v>2292</v>
      </c>
      <c r="C622" t="s">
        <v>2293</v>
      </c>
      <c r="D622" t="s">
        <v>7</v>
      </c>
      <c r="E622" t="str">
        <f>Table1[[#This Row],[Abbreviations]]</f>
        <v>Antrim Road</v>
      </c>
      <c r="F622" t="s">
        <v>2295</v>
      </c>
      <c r="G622" t="str">
        <f xml:space="preserve"> PROPER(_xlfn.CONCAT(Table13[[#This Row],[Title]]," ",Table13[[#This Row],[First Name]]," ",Table13[[#This Row],[Last Name]]))</f>
        <v>Mrs Sonya Dubois</v>
      </c>
      <c r="H622" t="str">
        <f t="shared" si="18"/>
        <v>Mrs S.Dubois</v>
      </c>
      <c r="I622" t="str">
        <f t="shared" si="19"/>
        <v>F</v>
      </c>
    </row>
    <row r="623" spans="1:9" x14ac:dyDescent="0.3">
      <c r="A623">
        <v>620</v>
      </c>
      <c r="B623" t="s">
        <v>2296</v>
      </c>
      <c r="C623" t="s">
        <v>47</v>
      </c>
      <c r="D623" t="s">
        <v>18</v>
      </c>
      <c r="E623" t="str">
        <f>Table1[[#This Row],[Abbreviations]]</f>
        <v>Sedding Street</v>
      </c>
      <c r="F623" t="s">
        <v>1598</v>
      </c>
      <c r="G623" t="str">
        <f xml:space="preserve"> PROPER(_xlfn.CONCAT(Table13[[#This Row],[Title]]," ",Table13[[#This Row],[First Name]]," ",Table13[[#This Row],[Last Name]]))</f>
        <v>Miss Lonna Culver</v>
      </c>
      <c r="H623" t="str">
        <f t="shared" si="18"/>
        <v>Miss L.Culver</v>
      </c>
      <c r="I623" t="str">
        <f t="shared" si="19"/>
        <v>F</v>
      </c>
    </row>
    <row r="624" spans="1:9" x14ac:dyDescent="0.3">
      <c r="A624">
        <v>621</v>
      </c>
      <c r="B624" t="s">
        <v>2298</v>
      </c>
      <c r="C624" t="s">
        <v>2299</v>
      </c>
      <c r="D624" t="s">
        <v>18</v>
      </c>
      <c r="E624" t="str">
        <f>Table1[[#This Row],[Abbreviations]]</f>
        <v>Draycott Mews</v>
      </c>
      <c r="F624" t="s">
        <v>2301</v>
      </c>
      <c r="G624" t="str">
        <f xml:space="preserve"> PROPER(_xlfn.CONCAT(Table13[[#This Row],[Title]]," ",Table13[[#This Row],[First Name]]," ",Table13[[#This Row],[Last Name]]))</f>
        <v>Miss Holli Beal</v>
      </c>
      <c r="H624" t="str">
        <f t="shared" si="18"/>
        <v>Miss H.Beal</v>
      </c>
      <c r="I624" t="str">
        <f t="shared" si="19"/>
        <v>F</v>
      </c>
    </row>
    <row r="625" spans="1:9" x14ac:dyDescent="0.3">
      <c r="A625">
        <v>622</v>
      </c>
      <c r="B625" t="s">
        <v>1669</v>
      </c>
      <c r="C625" t="s">
        <v>2302</v>
      </c>
      <c r="D625" t="s">
        <v>18</v>
      </c>
      <c r="E625" t="str">
        <f>Table1[[#This Row],[Abbreviations]]</f>
        <v>Lyvenden Road</v>
      </c>
      <c r="F625" t="s">
        <v>2304</v>
      </c>
      <c r="G625" t="str">
        <f xml:space="preserve"> PROPER(_xlfn.CONCAT(Table13[[#This Row],[Title]]," ",Table13[[#This Row],[First Name]]," ",Table13[[#This Row],[Last Name]]))</f>
        <v>Miss Freeda Richard</v>
      </c>
      <c r="H625" t="str">
        <f t="shared" si="18"/>
        <v>Miss F.Richard</v>
      </c>
      <c r="I625" t="str">
        <f t="shared" si="19"/>
        <v>F</v>
      </c>
    </row>
    <row r="626" spans="1:9" x14ac:dyDescent="0.3">
      <c r="A626">
        <v>623</v>
      </c>
      <c r="B626" t="s">
        <v>2305</v>
      </c>
      <c r="C626" t="s">
        <v>173</v>
      </c>
      <c r="D626" t="s">
        <v>7</v>
      </c>
      <c r="E626" t="str">
        <f>Table1[[#This Row],[Abbreviations]]</f>
        <v>Blenheim Road</v>
      </c>
      <c r="F626" t="s">
        <v>1437</v>
      </c>
      <c r="G626" t="str">
        <f xml:space="preserve"> PROPER(_xlfn.CONCAT(Table13[[#This Row],[Title]]," ",Table13[[#This Row],[First Name]]," ",Table13[[#This Row],[Last Name]]))</f>
        <v>Mrs Zetta Cullen</v>
      </c>
      <c r="H626" t="str">
        <f t="shared" si="18"/>
        <v>Mrs Z.Cullen</v>
      </c>
      <c r="I626" t="str">
        <f t="shared" si="19"/>
        <v>F</v>
      </c>
    </row>
    <row r="627" spans="1:9" x14ac:dyDescent="0.3">
      <c r="A627">
        <v>624</v>
      </c>
      <c r="B627" t="s">
        <v>2307</v>
      </c>
      <c r="C627" t="s">
        <v>2308</v>
      </c>
      <c r="D627" t="s">
        <v>7</v>
      </c>
      <c r="E627" t="str">
        <f>Table1[[#This Row],[Abbreviations]]</f>
        <v>James'S Market</v>
      </c>
      <c r="F627" t="s">
        <v>606</v>
      </c>
      <c r="G627" t="str">
        <f xml:space="preserve"> PROPER(_xlfn.CONCAT(Table13[[#This Row],[Title]]," ",Table13[[#This Row],[First Name]]," ",Table13[[#This Row],[Last Name]]))</f>
        <v>Mrs Rozanne May</v>
      </c>
      <c r="H627" t="str">
        <f t="shared" si="18"/>
        <v>Mrs R.May</v>
      </c>
      <c r="I627" t="str">
        <f t="shared" si="19"/>
        <v>F</v>
      </c>
    </row>
    <row r="628" spans="1:9" x14ac:dyDescent="0.3">
      <c r="A628">
        <v>625</v>
      </c>
      <c r="B628" t="s">
        <v>2310</v>
      </c>
      <c r="C628" t="s">
        <v>2311</v>
      </c>
      <c r="D628" t="s">
        <v>18</v>
      </c>
      <c r="E628" t="str">
        <f>Table1[[#This Row],[Abbreviations]]</f>
        <v>Gladding Road</v>
      </c>
      <c r="F628" t="s">
        <v>2313</v>
      </c>
      <c r="G628" t="str">
        <f xml:space="preserve"> PROPER(_xlfn.CONCAT(Table13[[#This Row],[Title]]," ",Table13[[#This Row],[First Name]]," ",Table13[[#This Row],[Last Name]]))</f>
        <v>Miss Tanna Watson</v>
      </c>
      <c r="H628" t="str">
        <f t="shared" si="18"/>
        <v>Miss T.Watson</v>
      </c>
      <c r="I628" t="str">
        <f t="shared" si="19"/>
        <v>F</v>
      </c>
    </row>
    <row r="629" spans="1:9" x14ac:dyDescent="0.3">
      <c r="A629">
        <v>626</v>
      </c>
      <c r="B629" t="s">
        <v>2314</v>
      </c>
      <c r="C629" t="s">
        <v>419</v>
      </c>
      <c r="D629" t="s">
        <v>18</v>
      </c>
      <c r="E629" t="str">
        <f>Table1[[#This Row],[Abbreviations]]</f>
        <v>Hilgrove Road</v>
      </c>
      <c r="F629" t="s">
        <v>844</v>
      </c>
      <c r="G629" t="str">
        <f xml:space="preserve"> PROPER(_xlfn.CONCAT(Table13[[#This Row],[Title]]," ",Table13[[#This Row],[First Name]]," ",Table13[[#This Row],[Last Name]]))</f>
        <v>Miss Consuela Bonds</v>
      </c>
      <c r="H629" t="str">
        <f t="shared" si="18"/>
        <v>Miss C.Bonds</v>
      </c>
      <c r="I629" t="str">
        <f t="shared" si="19"/>
        <v>F</v>
      </c>
    </row>
    <row r="630" spans="1:9" x14ac:dyDescent="0.3">
      <c r="A630">
        <v>627</v>
      </c>
      <c r="B630" t="s">
        <v>2316</v>
      </c>
      <c r="C630" t="s">
        <v>2317</v>
      </c>
      <c r="D630" t="s">
        <v>18</v>
      </c>
      <c r="E630" t="str">
        <f>Table1[[#This Row],[Abbreviations]]</f>
        <v>Moselle Avenue</v>
      </c>
      <c r="F630" t="s">
        <v>1255</v>
      </c>
      <c r="G630" t="str">
        <f xml:space="preserve"> PROPER(_xlfn.CONCAT(Table13[[#This Row],[Title]]," ",Table13[[#This Row],[First Name]]," ",Table13[[#This Row],[Last Name]]))</f>
        <v>Miss Cherrie Rocha</v>
      </c>
      <c r="H630" t="str">
        <f t="shared" si="18"/>
        <v>Miss C.Rocha</v>
      </c>
      <c r="I630" t="str">
        <f t="shared" si="19"/>
        <v>F</v>
      </c>
    </row>
    <row r="631" spans="1:9" x14ac:dyDescent="0.3">
      <c r="A631">
        <v>628</v>
      </c>
      <c r="B631" t="s">
        <v>2319</v>
      </c>
      <c r="C631" t="s">
        <v>2320</v>
      </c>
      <c r="D631" t="s">
        <v>7</v>
      </c>
      <c r="E631" t="str">
        <f>Table1[[#This Row],[Abbreviations]]</f>
        <v>China Hall</v>
      </c>
      <c r="F631" t="s">
        <v>2322</v>
      </c>
      <c r="G631" t="str">
        <f xml:space="preserve"> PROPER(_xlfn.CONCAT(Table13[[#This Row],[Title]]," ",Table13[[#This Row],[First Name]]," ",Table13[[#This Row],[Last Name]]))</f>
        <v>Mrs Danyelle Emery</v>
      </c>
      <c r="H631" t="str">
        <f t="shared" si="18"/>
        <v>Mrs D.Emery</v>
      </c>
      <c r="I631" t="str">
        <f t="shared" si="19"/>
        <v>F</v>
      </c>
    </row>
    <row r="632" spans="1:9" x14ac:dyDescent="0.3">
      <c r="A632">
        <v>629</v>
      </c>
      <c r="B632" t="s">
        <v>2323</v>
      </c>
      <c r="C632" t="s">
        <v>2324</v>
      </c>
      <c r="D632" t="s">
        <v>18</v>
      </c>
      <c r="E632" t="str">
        <f>Table1[[#This Row],[Abbreviations]]</f>
        <v>Chalfont Road</v>
      </c>
      <c r="F632" t="s">
        <v>2326</v>
      </c>
      <c r="G632" t="str">
        <f xml:space="preserve"> PROPER(_xlfn.CONCAT(Table13[[#This Row],[Title]]," ",Table13[[#This Row],[First Name]]," ",Table13[[#This Row],[Last Name]]))</f>
        <v>Miss Kyra Cortez</v>
      </c>
      <c r="H632" t="str">
        <f t="shared" si="18"/>
        <v>Miss K.Cortez</v>
      </c>
      <c r="I632" t="str">
        <f t="shared" si="19"/>
        <v>F</v>
      </c>
    </row>
    <row r="633" spans="1:9" x14ac:dyDescent="0.3">
      <c r="A633">
        <v>630</v>
      </c>
      <c r="B633" t="s">
        <v>2327</v>
      </c>
      <c r="C633" t="s">
        <v>2328</v>
      </c>
      <c r="D633" t="s">
        <v>18</v>
      </c>
      <c r="E633" t="str">
        <f>Table1[[#This Row],[Abbreviations]]</f>
        <v>King Frederick</v>
      </c>
      <c r="F633" t="s">
        <v>2330</v>
      </c>
      <c r="G633" t="str">
        <f xml:space="preserve"> PROPER(_xlfn.CONCAT(Table13[[#This Row],[Title]]," ",Table13[[#This Row],[First Name]]," ",Table13[[#This Row],[Last Name]]))</f>
        <v>Miss Tressa Yazzie</v>
      </c>
      <c r="H633" t="str">
        <f t="shared" si="18"/>
        <v>Miss T.Yazzie</v>
      </c>
      <c r="I633" t="str">
        <f t="shared" si="19"/>
        <v>F</v>
      </c>
    </row>
    <row r="634" spans="1:9" x14ac:dyDescent="0.3">
      <c r="A634">
        <v>631</v>
      </c>
      <c r="B634" t="s">
        <v>699</v>
      </c>
      <c r="C634" t="s">
        <v>136</v>
      </c>
      <c r="D634" t="s">
        <v>7</v>
      </c>
      <c r="E634" t="str">
        <f>Table1[[#This Row],[Abbreviations]]</f>
        <v>Kirkdale Road</v>
      </c>
      <c r="F634" t="s">
        <v>1641</v>
      </c>
      <c r="G634" t="str">
        <f xml:space="preserve"> PROPER(_xlfn.CONCAT(Table13[[#This Row],[Title]]," ",Table13[[#This Row],[First Name]]," ",Table13[[#This Row],[Last Name]]))</f>
        <v>Mrs Traci Akers</v>
      </c>
      <c r="H634" t="str">
        <f t="shared" si="18"/>
        <v>Mrs T.Akers</v>
      </c>
      <c r="I634" t="str">
        <f t="shared" si="19"/>
        <v>F</v>
      </c>
    </row>
    <row r="635" spans="1:9" x14ac:dyDescent="0.3">
      <c r="A635">
        <v>632</v>
      </c>
      <c r="B635" t="s">
        <v>2332</v>
      </c>
      <c r="C635" t="s">
        <v>2282</v>
      </c>
      <c r="D635" t="s">
        <v>7</v>
      </c>
      <c r="E635" t="str">
        <f>Table1[[#This Row],[Abbreviations]]</f>
        <v>Stokesley Street</v>
      </c>
      <c r="F635" t="s">
        <v>592</v>
      </c>
      <c r="G635" t="str">
        <f xml:space="preserve"> PROPER(_xlfn.CONCAT(Table13[[#This Row],[Title]]," ",Table13[[#This Row],[First Name]]," ",Table13[[#This Row],[Last Name]]))</f>
        <v>Mrs Maragret Mcmahon</v>
      </c>
      <c r="H635" t="str">
        <f t="shared" si="18"/>
        <v>Mrs M.Mcmahon</v>
      </c>
      <c r="I635" t="str">
        <f t="shared" si="19"/>
        <v>F</v>
      </c>
    </row>
    <row r="636" spans="1:9" x14ac:dyDescent="0.3">
      <c r="A636">
        <v>633</v>
      </c>
      <c r="B636" t="s">
        <v>2334</v>
      </c>
      <c r="C636" t="s">
        <v>2335</v>
      </c>
      <c r="D636" t="s">
        <v>7</v>
      </c>
      <c r="E636" t="str">
        <f>Table1[[#This Row],[Abbreviations]]</f>
        <v>Ashby Grove</v>
      </c>
      <c r="F636" t="s">
        <v>550</v>
      </c>
      <c r="G636" t="str">
        <f xml:space="preserve"> PROPER(_xlfn.CONCAT(Table13[[#This Row],[Title]]," ",Table13[[#This Row],[First Name]]," ",Table13[[#This Row],[Last Name]]))</f>
        <v>Mrs Clarisa Geiger</v>
      </c>
      <c r="H636" t="str">
        <f t="shared" si="18"/>
        <v>Mrs C.Geiger</v>
      </c>
      <c r="I636" t="str">
        <f t="shared" si="19"/>
        <v>F</v>
      </c>
    </row>
    <row r="637" spans="1:9" x14ac:dyDescent="0.3">
      <c r="A637">
        <v>634</v>
      </c>
      <c r="B637" t="s">
        <v>2337</v>
      </c>
      <c r="C637" t="s">
        <v>2338</v>
      </c>
      <c r="D637" t="s">
        <v>7</v>
      </c>
      <c r="E637" t="str">
        <f>Table1[[#This Row],[Abbreviations]]</f>
        <v>Blanchedowne</v>
      </c>
      <c r="F637" t="s">
        <v>2340</v>
      </c>
      <c r="G637" t="str">
        <f xml:space="preserve"> PROPER(_xlfn.CONCAT(Table13[[#This Row],[Title]]," ",Table13[[#This Row],[First Name]]," ",Table13[[#This Row],[Last Name]]))</f>
        <v>Mrs Birdie Bravo</v>
      </c>
      <c r="H637" t="str">
        <f t="shared" si="18"/>
        <v>Mrs B.Bravo</v>
      </c>
      <c r="I637" t="str">
        <f t="shared" si="19"/>
        <v>F</v>
      </c>
    </row>
    <row r="638" spans="1:9" x14ac:dyDescent="0.3">
      <c r="A638">
        <v>635</v>
      </c>
      <c r="B638" t="s">
        <v>2341</v>
      </c>
      <c r="C638" t="s">
        <v>2342</v>
      </c>
      <c r="D638" t="s">
        <v>18</v>
      </c>
      <c r="E638" t="str">
        <f>Table1[[#This Row],[Abbreviations]]</f>
        <v>Wards Wharf</v>
      </c>
      <c r="F638" t="s">
        <v>2344</v>
      </c>
      <c r="G638" t="str">
        <f xml:space="preserve"> PROPER(_xlfn.CONCAT(Table13[[#This Row],[Title]]," ",Table13[[#This Row],[First Name]]," ",Table13[[#This Row],[Last Name]]))</f>
        <v>Miss Lavon Mcconnell</v>
      </c>
      <c r="H638" t="str">
        <f t="shared" si="18"/>
        <v>Miss L.Mcconnell</v>
      </c>
      <c r="I638" t="str">
        <f t="shared" si="19"/>
        <v>F</v>
      </c>
    </row>
    <row r="639" spans="1:9" x14ac:dyDescent="0.3">
      <c r="A639">
        <v>636</v>
      </c>
      <c r="B639" t="s">
        <v>2345</v>
      </c>
      <c r="C639" t="s">
        <v>2346</v>
      </c>
      <c r="D639" t="s">
        <v>18</v>
      </c>
      <c r="E639" t="str">
        <f>Table1[[#This Row],[Abbreviations]]</f>
        <v>Meliot Road</v>
      </c>
      <c r="F639" t="s">
        <v>358</v>
      </c>
      <c r="G639" t="str">
        <f xml:space="preserve"> PROPER(_xlfn.CONCAT(Table13[[#This Row],[Title]]," ",Table13[[#This Row],[First Name]]," ",Table13[[#This Row],[Last Name]]))</f>
        <v>Miss Lesha Means</v>
      </c>
      <c r="H639" t="str">
        <f t="shared" si="18"/>
        <v>Miss L.Means</v>
      </c>
      <c r="I639" t="str">
        <f t="shared" si="19"/>
        <v>F</v>
      </c>
    </row>
    <row r="640" spans="1:9" x14ac:dyDescent="0.3">
      <c r="A640">
        <v>637</v>
      </c>
      <c r="B640" t="s">
        <v>2348</v>
      </c>
      <c r="C640" t="s">
        <v>2349</v>
      </c>
      <c r="D640" t="s">
        <v>18</v>
      </c>
      <c r="E640" t="str">
        <f>Table1[[#This Row],[Abbreviations]]</f>
        <v>Great New</v>
      </c>
      <c r="F640" t="s">
        <v>670</v>
      </c>
      <c r="G640" t="str">
        <f xml:space="preserve"> PROPER(_xlfn.CONCAT(Table13[[#This Row],[Title]]," ",Table13[[#This Row],[First Name]]," ",Table13[[#This Row],[Last Name]]))</f>
        <v>Miss Lucilla Delacruz</v>
      </c>
      <c r="H640" t="str">
        <f t="shared" si="18"/>
        <v>Miss L.Delacruz</v>
      </c>
      <c r="I640" t="str">
        <f t="shared" si="19"/>
        <v>F</v>
      </c>
    </row>
    <row r="641" spans="1:9" x14ac:dyDescent="0.3">
      <c r="A641">
        <v>638</v>
      </c>
      <c r="B641" t="s">
        <v>2351</v>
      </c>
      <c r="C641" t="s">
        <v>2352</v>
      </c>
      <c r="D641" t="s">
        <v>2353</v>
      </c>
      <c r="E641" t="str">
        <f>Table1[[#This Row],[Abbreviations]]</f>
        <v>Lansdowne Road</v>
      </c>
      <c r="F641" t="s">
        <v>2355</v>
      </c>
      <c r="G641" t="str">
        <f xml:space="preserve"> PROPER(_xlfn.CONCAT(Table13[[#This Row],[Title]]," ",Table13[[#This Row],[First Name]]," ",Table13[[#This Row],[Last Name]]))</f>
        <v>Mr Jonathan Roach</v>
      </c>
      <c r="H641" t="str">
        <f t="shared" si="18"/>
        <v>Mr J.Roach</v>
      </c>
      <c r="I641" t="str">
        <f t="shared" si="19"/>
        <v>M</v>
      </c>
    </row>
    <row r="642" spans="1:9" x14ac:dyDescent="0.3">
      <c r="A642">
        <v>639</v>
      </c>
      <c r="B642" t="s">
        <v>2356</v>
      </c>
      <c r="C642" t="s">
        <v>2357</v>
      </c>
      <c r="D642" t="s">
        <v>2353</v>
      </c>
      <c r="E642" t="str">
        <f>Table1[[#This Row],[Abbreviations]]</f>
        <v>Wesley Square</v>
      </c>
      <c r="F642" t="s">
        <v>379</v>
      </c>
      <c r="G642" t="str">
        <f xml:space="preserve"> PROPER(_xlfn.CONCAT(Table13[[#This Row],[Title]]," ",Table13[[#This Row],[First Name]]," ",Table13[[#This Row],[Last Name]]))</f>
        <v>Mr Kermit Lynch</v>
      </c>
      <c r="H642" t="str">
        <f t="shared" si="18"/>
        <v>Mr K.Lynch</v>
      </c>
      <c r="I642" t="str">
        <f t="shared" si="19"/>
        <v>M</v>
      </c>
    </row>
    <row r="643" spans="1:9" x14ac:dyDescent="0.3">
      <c r="A643">
        <v>640</v>
      </c>
      <c r="B643" t="s">
        <v>2359</v>
      </c>
      <c r="C643" t="s">
        <v>2360</v>
      </c>
      <c r="D643" t="s">
        <v>2353</v>
      </c>
      <c r="E643" t="str">
        <f>Table1[[#This Row],[Abbreviations]]</f>
        <v>Epsom Road</v>
      </c>
      <c r="F643" t="s">
        <v>440</v>
      </c>
      <c r="G643" t="str">
        <f xml:space="preserve"> PROPER(_xlfn.CONCAT(Table13[[#This Row],[Title]]," ",Table13[[#This Row],[First Name]]," ",Table13[[#This Row],[Last Name]]))</f>
        <v>Mr Garth Bowling</v>
      </c>
      <c r="H643" t="str">
        <f t="shared" si="18"/>
        <v>Mr G.Bowling</v>
      </c>
      <c r="I643" t="str">
        <f t="shared" si="19"/>
        <v>M</v>
      </c>
    </row>
    <row r="644" spans="1:9" x14ac:dyDescent="0.3">
      <c r="A644">
        <v>641</v>
      </c>
      <c r="B644" t="s">
        <v>2362</v>
      </c>
      <c r="C644" t="s">
        <v>2363</v>
      </c>
      <c r="D644" t="s">
        <v>2353</v>
      </c>
      <c r="E644" t="str">
        <f>Table1[[#This Row],[Abbreviations]]</f>
        <v>Dale Green</v>
      </c>
      <c r="F644" t="s">
        <v>913</v>
      </c>
      <c r="G644" t="str">
        <f xml:space="preserve"> PROPER(_xlfn.CONCAT(Table13[[#This Row],[Title]]," ",Table13[[#This Row],[First Name]]," ",Table13[[#This Row],[Last Name]]))</f>
        <v>Mr Ken Bouchard</v>
      </c>
      <c r="H644" t="str">
        <f t="shared" ref="H644:H707" si="20">_xlfn.CONCAT(D644)&amp;" "&amp; LEFT(B644,1)&amp;"."&amp;C644</f>
        <v>Mr K.Bouchard</v>
      </c>
      <c r="I644" t="str">
        <f t="shared" ref="I644:I707" si="21">IF(LEFT(D644,3)="Mr","M","F")</f>
        <v>M</v>
      </c>
    </row>
    <row r="645" spans="1:9" x14ac:dyDescent="0.3">
      <c r="A645">
        <v>642</v>
      </c>
      <c r="B645" t="s">
        <v>2365</v>
      </c>
      <c r="C645" t="s">
        <v>2366</v>
      </c>
      <c r="D645" t="s">
        <v>2353</v>
      </c>
      <c r="E645" t="str">
        <f>Table1[[#This Row],[Abbreviations]]</f>
        <v>Lovegrove Cottages</v>
      </c>
      <c r="F645" t="s">
        <v>342</v>
      </c>
      <c r="G645" t="str">
        <f xml:space="preserve"> PROPER(_xlfn.CONCAT(Table13[[#This Row],[Title]]," ",Table13[[#This Row],[First Name]]," ",Table13[[#This Row],[Last Name]]))</f>
        <v>Mr Peter Coleman</v>
      </c>
      <c r="H645" t="str">
        <f t="shared" si="20"/>
        <v>Mr P.Coleman</v>
      </c>
      <c r="I645" t="str">
        <f t="shared" si="21"/>
        <v>M</v>
      </c>
    </row>
    <row r="646" spans="1:9" x14ac:dyDescent="0.3">
      <c r="A646">
        <v>643</v>
      </c>
      <c r="B646" t="s">
        <v>2368</v>
      </c>
      <c r="C646" t="s">
        <v>377</v>
      </c>
      <c r="D646" t="s">
        <v>2353</v>
      </c>
      <c r="E646" t="str">
        <f>Table1[[#This Row],[Abbreviations]]</f>
        <v>Turner Avenue</v>
      </c>
      <c r="F646" t="s">
        <v>639</v>
      </c>
      <c r="G646" t="str">
        <f xml:space="preserve"> PROPER(_xlfn.CONCAT(Table13[[#This Row],[Title]]," ",Table13[[#This Row],[First Name]]," ",Table13[[#This Row],[Last Name]]))</f>
        <v>Mr Vincent Mcnally</v>
      </c>
      <c r="H646" t="str">
        <f t="shared" si="20"/>
        <v>Mr V.Mcnally</v>
      </c>
      <c r="I646" t="str">
        <f t="shared" si="21"/>
        <v>M</v>
      </c>
    </row>
    <row r="647" spans="1:9" x14ac:dyDescent="0.3">
      <c r="A647">
        <v>644</v>
      </c>
      <c r="B647" t="s">
        <v>2370</v>
      </c>
      <c r="C647" t="s">
        <v>831</v>
      </c>
      <c r="D647" t="s">
        <v>2353</v>
      </c>
      <c r="E647" t="str">
        <f>Table1[[#This Row],[Abbreviations]]</f>
        <v>Appleby Road</v>
      </c>
      <c r="F647" t="s">
        <v>1538</v>
      </c>
      <c r="G647" t="str">
        <f xml:space="preserve"> PROPER(_xlfn.CONCAT(Table13[[#This Row],[Title]]," ",Table13[[#This Row],[First Name]]," ",Table13[[#This Row],[Last Name]]))</f>
        <v>Mr Nigel Lindsey</v>
      </c>
      <c r="H647" t="str">
        <f t="shared" si="20"/>
        <v>Mr N.Lindsey</v>
      </c>
      <c r="I647" t="str">
        <f t="shared" si="21"/>
        <v>M</v>
      </c>
    </row>
    <row r="648" spans="1:9" x14ac:dyDescent="0.3">
      <c r="A648">
        <v>645</v>
      </c>
      <c r="B648" t="s">
        <v>2372</v>
      </c>
      <c r="C648" t="s">
        <v>1380</v>
      </c>
      <c r="D648" t="s">
        <v>2353</v>
      </c>
      <c r="E648" t="str">
        <f>Table1[[#This Row],[Abbreviations]]</f>
        <v>Percy Mews</v>
      </c>
      <c r="F648" t="s">
        <v>2374</v>
      </c>
      <c r="G648" t="str">
        <f xml:space="preserve"> PROPER(_xlfn.CONCAT(Table13[[#This Row],[Title]]," ",Table13[[#This Row],[First Name]]," ",Table13[[#This Row],[Last Name]]))</f>
        <v>Mr Judson Wall</v>
      </c>
      <c r="H648" t="str">
        <f t="shared" si="20"/>
        <v>Mr J.Wall</v>
      </c>
      <c r="I648" t="str">
        <f t="shared" si="21"/>
        <v>M</v>
      </c>
    </row>
    <row r="649" spans="1:9" x14ac:dyDescent="0.3">
      <c r="A649">
        <v>646</v>
      </c>
      <c r="B649" t="s">
        <v>2375</v>
      </c>
      <c r="C649" t="s">
        <v>2376</v>
      </c>
      <c r="D649" t="s">
        <v>2353</v>
      </c>
      <c r="E649" t="str">
        <f>Table1[[#This Row],[Abbreviations]]</f>
        <v>Verity Close</v>
      </c>
      <c r="F649" t="s">
        <v>725</v>
      </c>
      <c r="G649" t="str">
        <f xml:space="preserve"> PROPER(_xlfn.CONCAT(Table13[[#This Row],[Title]]," ",Table13[[#This Row],[First Name]]," ",Table13[[#This Row],[Last Name]]))</f>
        <v>Mr Jerrell Hogue</v>
      </c>
      <c r="H649" t="str">
        <f t="shared" si="20"/>
        <v>Mr J.Hogue</v>
      </c>
      <c r="I649" t="str">
        <f t="shared" si="21"/>
        <v>M</v>
      </c>
    </row>
    <row r="650" spans="1:9" x14ac:dyDescent="0.3">
      <c r="A650">
        <v>647</v>
      </c>
      <c r="B650" t="s">
        <v>2378</v>
      </c>
      <c r="C650" t="s">
        <v>2379</v>
      </c>
      <c r="D650" t="s">
        <v>2353</v>
      </c>
      <c r="E650" t="str">
        <f>Table1[[#This Row],[Abbreviations]]</f>
        <v>York Square</v>
      </c>
      <c r="F650" t="s">
        <v>590</v>
      </c>
      <c r="G650" t="str">
        <f xml:space="preserve"> PROPER(_xlfn.CONCAT(Table13[[#This Row],[Title]]," ",Table13[[#This Row],[First Name]]," ",Table13[[#This Row],[Last Name]]))</f>
        <v>Mr Dirk Flood</v>
      </c>
      <c r="H650" t="str">
        <f t="shared" si="20"/>
        <v>Mr D.Flood</v>
      </c>
      <c r="I650" t="str">
        <f t="shared" si="21"/>
        <v>M</v>
      </c>
    </row>
    <row r="651" spans="1:9" x14ac:dyDescent="0.3">
      <c r="A651">
        <v>648</v>
      </c>
      <c r="B651" t="s">
        <v>2381</v>
      </c>
      <c r="C651" t="s">
        <v>2212</v>
      </c>
      <c r="D651" t="s">
        <v>2353</v>
      </c>
      <c r="E651" t="str">
        <f>Table1[[#This Row],[Abbreviations]]</f>
        <v>Kempshead Road</v>
      </c>
      <c r="F651" t="s">
        <v>1902</v>
      </c>
      <c r="G651" t="str">
        <f xml:space="preserve"> PROPER(_xlfn.CONCAT(Table13[[#This Row],[Title]]," ",Table13[[#This Row],[First Name]]," ",Table13[[#This Row],[Last Name]]))</f>
        <v>Mr Chas Blackmon</v>
      </c>
      <c r="H651" t="str">
        <f t="shared" si="20"/>
        <v>Mr C.Blackmon</v>
      </c>
      <c r="I651" t="str">
        <f t="shared" si="21"/>
        <v>M</v>
      </c>
    </row>
    <row r="652" spans="1:9" x14ac:dyDescent="0.3">
      <c r="A652">
        <v>649</v>
      </c>
      <c r="B652" t="s">
        <v>1070</v>
      </c>
      <c r="C652" t="s">
        <v>519</v>
      </c>
      <c r="D652" t="s">
        <v>2353</v>
      </c>
      <c r="E652" t="str">
        <f>Table1[[#This Row],[Abbreviations]]</f>
        <v>Gwudon Lodge</v>
      </c>
      <c r="F652" t="s">
        <v>2384</v>
      </c>
      <c r="G652" t="str">
        <f xml:space="preserve"> PROPER(_xlfn.CONCAT(Table13[[#This Row],[Title]]," ",Table13[[#This Row],[First Name]]," ",Table13[[#This Row],[Last Name]]))</f>
        <v>Mr Leon Montano</v>
      </c>
      <c r="H652" t="str">
        <f t="shared" si="20"/>
        <v>Mr L.Montano</v>
      </c>
      <c r="I652" t="str">
        <f t="shared" si="21"/>
        <v>M</v>
      </c>
    </row>
    <row r="653" spans="1:9" x14ac:dyDescent="0.3">
      <c r="A653">
        <v>650</v>
      </c>
      <c r="B653" t="s">
        <v>2385</v>
      </c>
      <c r="C653" t="s">
        <v>2386</v>
      </c>
      <c r="D653" t="s">
        <v>2353</v>
      </c>
      <c r="E653" t="str">
        <f>Table1[[#This Row],[Abbreviations]]</f>
        <v>Sailsbury Villas</v>
      </c>
      <c r="F653" t="s">
        <v>605</v>
      </c>
      <c r="G653" t="str">
        <f xml:space="preserve"> PROPER(_xlfn.CONCAT(Table13[[#This Row],[Title]]," ",Table13[[#This Row],[First Name]]," ",Table13[[#This Row],[Last Name]]))</f>
        <v>Mr Jed Barnhart</v>
      </c>
      <c r="H653" t="str">
        <f t="shared" si="20"/>
        <v>Mr J.Barnhart</v>
      </c>
      <c r="I653" t="str">
        <f t="shared" si="21"/>
        <v>M</v>
      </c>
    </row>
    <row r="654" spans="1:9" x14ac:dyDescent="0.3">
      <c r="A654">
        <v>651</v>
      </c>
      <c r="B654" t="s">
        <v>547</v>
      </c>
      <c r="C654" t="s">
        <v>453</v>
      </c>
      <c r="D654" t="s">
        <v>2353</v>
      </c>
      <c r="E654" t="str">
        <f>Table1[[#This Row],[Abbreviations]]</f>
        <v>Queen Place</v>
      </c>
      <c r="F654" t="s">
        <v>399</v>
      </c>
      <c r="G654" t="str">
        <f xml:space="preserve"> PROPER(_xlfn.CONCAT(Table13[[#This Row],[Title]]," ",Table13[[#This Row],[First Name]]," ",Table13[[#This Row],[Last Name]]))</f>
        <v>Mr Boyd Franks</v>
      </c>
      <c r="H654" t="str">
        <f t="shared" si="20"/>
        <v>Mr B.Franks</v>
      </c>
      <c r="I654" t="str">
        <f t="shared" si="21"/>
        <v>M</v>
      </c>
    </row>
    <row r="655" spans="1:9" x14ac:dyDescent="0.3">
      <c r="A655">
        <v>652</v>
      </c>
      <c r="B655" t="s">
        <v>2389</v>
      </c>
      <c r="C655" t="s">
        <v>2390</v>
      </c>
      <c r="D655" t="s">
        <v>2353</v>
      </c>
      <c r="E655" t="str">
        <f>Table1[[#This Row],[Abbreviations]]</f>
        <v>Paley Street</v>
      </c>
      <c r="F655" t="s">
        <v>2392</v>
      </c>
      <c r="G655" t="str">
        <f xml:space="preserve"> PROPER(_xlfn.CONCAT(Table13[[#This Row],[Title]]," ",Table13[[#This Row],[First Name]]," ",Table13[[#This Row],[Last Name]]))</f>
        <v>Mr Bryce Ritter</v>
      </c>
      <c r="H655" t="str">
        <f t="shared" si="20"/>
        <v>Mr B.Ritter</v>
      </c>
      <c r="I655" t="str">
        <f t="shared" si="21"/>
        <v>M</v>
      </c>
    </row>
    <row r="656" spans="1:9" x14ac:dyDescent="0.3">
      <c r="A656">
        <v>653</v>
      </c>
      <c r="B656" t="s">
        <v>2123</v>
      </c>
      <c r="C656" t="s">
        <v>2393</v>
      </c>
      <c r="D656" t="s">
        <v>2353</v>
      </c>
      <c r="E656" t="str">
        <f>Table1[[#This Row],[Abbreviations]]</f>
        <v>Branford Terrace</v>
      </c>
      <c r="F656" t="s">
        <v>2395</v>
      </c>
      <c r="G656" t="str">
        <f xml:space="preserve"> PROPER(_xlfn.CONCAT(Table13[[#This Row],[Title]]," ",Table13[[#This Row],[First Name]]," ",Table13[[#This Row],[Last Name]]))</f>
        <v>Mr Henry Shultz</v>
      </c>
      <c r="H656" t="str">
        <f t="shared" si="20"/>
        <v>Mr H.Shultz</v>
      </c>
      <c r="I656" t="str">
        <f t="shared" si="21"/>
        <v>M</v>
      </c>
    </row>
    <row r="657" spans="1:9" x14ac:dyDescent="0.3">
      <c r="A657">
        <v>654</v>
      </c>
      <c r="B657" t="s">
        <v>2396</v>
      </c>
      <c r="C657" t="s">
        <v>1691</v>
      </c>
      <c r="D657" t="s">
        <v>2353</v>
      </c>
      <c r="E657" t="str">
        <f>Table1[[#This Row],[Abbreviations]]</f>
        <v>Dale Row</v>
      </c>
      <c r="F657" t="s">
        <v>438</v>
      </c>
      <c r="G657" t="str">
        <f xml:space="preserve"> PROPER(_xlfn.CONCAT(Table13[[#This Row],[Title]]," ",Table13[[#This Row],[First Name]]," ",Table13[[#This Row],[Last Name]]))</f>
        <v>Mr Jared Pierce</v>
      </c>
      <c r="H657" t="str">
        <f t="shared" si="20"/>
        <v>Mr J.Pierce</v>
      </c>
      <c r="I657" t="str">
        <f t="shared" si="21"/>
        <v>M</v>
      </c>
    </row>
    <row r="658" spans="1:9" x14ac:dyDescent="0.3">
      <c r="A658">
        <v>655</v>
      </c>
      <c r="B658" t="s">
        <v>1371</v>
      </c>
      <c r="C658" t="s">
        <v>2398</v>
      </c>
      <c r="D658" t="s">
        <v>2353</v>
      </c>
      <c r="E658" t="str">
        <f>Table1[[#This Row],[Abbreviations]]</f>
        <v>Homelands</v>
      </c>
      <c r="F658" t="s">
        <v>33</v>
      </c>
      <c r="G658" t="str">
        <f xml:space="preserve"> PROPER(_xlfn.CONCAT(Table13[[#This Row],[Title]]," ",Table13[[#This Row],[First Name]]," ",Table13[[#This Row],[Last Name]]))</f>
        <v>Mr Toney Pickens</v>
      </c>
      <c r="H658" t="str">
        <f t="shared" si="20"/>
        <v>Mr T.Pickens</v>
      </c>
      <c r="I658" t="str">
        <f t="shared" si="21"/>
        <v>M</v>
      </c>
    </row>
    <row r="659" spans="1:9" x14ac:dyDescent="0.3">
      <c r="A659">
        <v>656</v>
      </c>
      <c r="B659" t="s">
        <v>406</v>
      </c>
      <c r="C659" t="s">
        <v>759</v>
      </c>
      <c r="D659" t="s">
        <v>55</v>
      </c>
      <c r="E659" t="str">
        <f>Table1[[#This Row],[Abbreviations]]</f>
        <v>Crummock Gardens</v>
      </c>
      <c r="F659" t="s">
        <v>1560</v>
      </c>
      <c r="G659" t="str">
        <f xml:space="preserve"> PROPER(_xlfn.CONCAT(Table13[[#This Row],[Title]]," ",Table13[[#This Row],[First Name]]," ",Table13[[#This Row],[Last Name]]))</f>
        <v>Prof Bobbie Vernon</v>
      </c>
      <c r="H659" t="str">
        <f t="shared" si="20"/>
        <v>Prof B.Vernon</v>
      </c>
      <c r="I659" t="str">
        <f t="shared" si="21"/>
        <v>F</v>
      </c>
    </row>
    <row r="660" spans="1:9" x14ac:dyDescent="0.3">
      <c r="A660">
        <v>657</v>
      </c>
      <c r="B660" t="s">
        <v>2401</v>
      </c>
      <c r="C660" t="s">
        <v>2402</v>
      </c>
      <c r="D660" t="s">
        <v>2353</v>
      </c>
      <c r="E660" t="str">
        <f>Table1[[#This Row],[Abbreviations]]</f>
        <v>Burdett Avenue</v>
      </c>
      <c r="F660" t="s">
        <v>600</v>
      </c>
      <c r="G660" t="str">
        <f xml:space="preserve"> PROPER(_xlfn.CONCAT(Table13[[#This Row],[Title]]," ",Table13[[#This Row],[First Name]]," ",Table13[[#This Row],[Last Name]]))</f>
        <v>Mr Philip Rushing</v>
      </c>
      <c r="H660" t="str">
        <f t="shared" si="20"/>
        <v>Mr P.Rushing</v>
      </c>
      <c r="I660" t="str">
        <f t="shared" si="21"/>
        <v>M</v>
      </c>
    </row>
    <row r="661" spans="1:9" x14ac:dyDescent="0.3">
      <c r="A661">
        <v>658</v>
      </c>
      <c r="B661" t="s">
        <v>2404</v>
      </c>
      <c r="C661" t="s">
        <v>2405</v>
      </c>
      <c r="D661" t="s">
        <v>2353</v>
      </c>
      <c r="E661" t="str">
        <f>Table1[[#This Row],[Abbreviations]]</f>
        <v>Union Drive</v>
      </c>
      <c r="F661" t="s">
        <v>2407</v>
      </c>
      <c r="G661" t="str">
        <f xml:space="preserve"> PROPER(_xlfn.CONCAT(Table13[[#This Row],[Title]]," ",Table13[[#This Row],[First Name]]," ",Table13[[#This Row],[Last Name]]))</f>
        <v>Mr Lamont Nunez</v>
      </c>
      <c r="H661" t="str">
        <f t="shared" si="20"/>
        <v>Mr L.Nunez</v>
      </c>
      <c r="I661" t="str">
        <f t="shared" si="21"/>
        <v>M</v>
      </c>
    </row>
    <row r="662" spans="1:9" x14ac:dyDescent="0.3">
      <c r="A662">
        <v>659</v>
      </c>
      <c r="B662" t="s">
        <v>692</v>
      </c>
      <c r="C662" t="s">
        <v>2408</v>
      </c>
      <c r="D662" t="s">
        <v>2353</v>
      </c>
      <c r="E662" t="str">
        <f>Table1[[#This Row],[Abbreviations]]</f>
        <v>Sutherland Avenue</v>
      </c>
      <c r="F662" t="s">
        <v>178</v>
      </c>
      <c r="G662" t="str">
        <f xml:space="preserve"> PROPER(_xlfn.CONCAT(Table13[[#This Row],[Title]]," ",Table13[[#This Row],[First Name]]," ",Table13[[#This Row],[Last Name]]))</f>
        <v>Mr Walter Lange</v>
      </c>
      <c r="H662" t="str">
        <f t="shared" si="20"/>
        <v>Mr W.Lange</v>
      </c>
      <c r="I662" t="str">
        <f t="shared" si="21"/>
        <v>M</v>
      </c>
    </row>
    <row r="663" spans="1:9" x14ac:dyDescent="0.3">
      <c r="A663">
        <v>660</v>
      </c>
      <c r="B663" t="s">
        <v>2409</v>
      </c>
      <c r="C663" t="s">
        <v>2410</v>
      </c>
      <c r="D663" t="s">
        <v>2353</v>
      </c>
      <c r="E663" t="str">
        <f>Table1[[#This Row],[Abbreviations]]</f>
        <v>Bangor Street</v>
      </c>
      <c r="F663" t="s">
        <v>2412</v>
      </c>
      <c r="G663" t="str">
        <f xml:space="preserve"> PROPER(_xlfn.CONCAT(Table13[[#This Row],[Title]]," ",Table13[[#This Row],[First Name]]," ",Table13[[#This Row],[Last Name]]))</f>
        <v>Mr Ahmed Dahl</v>
      </c>
      <c r="H663" t="str">
        <f t="shared" si="20"/>
        <v>Mr A.Dahl</v>
      </c>
      <c r="I663" t="str">
        <f t="shared" si="21"/>
        <v>M</v>
      </c>
    </row>
    <row r="664" spans="1:9" x14ac:dyDescent="0.3">
      <c r="A664">
        <v>661</v>
      </c>
      <c r="B664" t="s">
        <v>1061</v>
      </c>
      <c r="C664" t="s">
        <v>1777</v>
      </c>
      <c r="D664" t="s">
        <v>2353</v>
      </c>
      <c r="E664" t="str">
        <f>Table1[[#This Row],[Abbreviations]]</f>
        <v>Thomas Doyle</v>
      </c>
      <c r="F664" t="s">
        <v>2326</v>
      </c>
      <c r="G664" t="str">
        <f xml:space="preserve"> PROPER(_xlfn.CONCAT(Table13[[#This Row],[Title]]," ",Table13[[#This Row],[First Name]]," ",Table13[[#This Row],[Last Name]]))</f>
        <v>Mr Wallace Metcalf</v>
      </c>
      <c r="H664" t="str">
        <f t="shared" si="20"/>
        <v>Mr W.Metcalf</v>
      </c>
      <c r="I664" t="str">
        <f t="shared" si="21"/>
        <v>M</v>
      </c>
    </row>
    <row r="665" spans="1:9" x14ac:dyDescent="0.3">
      <c r="A665">
        <v>662</v>
      </c>
      <c r="B665" t="s">
        <v>2414</v>
      </c>
      <c r="C665" t="s">
        <v>2415</v>
      </c>
      <c r="D665" t="s">
        <v>2353</v>
      </c>
      <c r="E665" t="str">
        <f>Table1[[#This Row],[Abbreviations]]</f>
        <v>Echo Heights</v>
      </c>
      <c r="F665" t="s">
        <v>2417</v>
      </c>
      <c r="G665" t="str">
        <f xml:space="preserve"> PROPER(_xlfn.CONCAT(Table13[[#This Row],[Title]]," ",Table13[[#This Row],[First Name]]," ",Table13[[#This Row],[Last Name]]))</f>
        <v>Mr Randell Dye</v>
      </c>
      <c r="H665" t="str">
        <f t="shared" si="20"/>
        <v>Mr R.Dye</v>
      </c>
      <c r="I665" t="str">
        <f t="shared" si="21"/>
        <v>M</v>
      </c>
    </row>
    <row r="666" spans="1:9" x14ac:dyDescent="0.3">
      <c r="A666">
        <v>663</v>
      </c>
      <c r="B666" t="s">
        <v>2396</v>
      </c>
      <c r="C666" t="s">
        <v>2418</v>
      </c>
      <c r="D666" t="s">
        <v>2353</v>
      </c>
      <c r="E666" t="str">
        <f>Table1[[#This Row],[Abbreviations]]</f>
        <v>Hasler Close</v>
      </c>
      <c r="F666" t="s">
        <v>2420</v>
      </c>
      <c r="G666" t="str">
        <f xml:space="preserve"> PROPER(_xlfn.CONCAT(Table13[[#This Row],[Title]]," ",Table13[[#This Row],[First Name]]," ",Table13[[#This Row],[Last Name]]))</f>
        <v>Mr Jared Darnell</v>
      </c>
      <c r="H666" t="str">
        <f t="shared" si="20"/>
        <v>Mr J.Darnell</v>
      </c>
      <c r="I666" t="str">
        <f t="shared" si="21"/>
        <v>M</v>
      </c>
    </row>
    <row r="667" spans="1:9" x14ac:dyDescent="0.3">
      <c r="A667">
        <v>664</v>
      </c>
      <c r="B667" t="s">
        <v>2421</v>
      </c>
      <c r="C667" t="s">
        <v>2422</v>
      </c>
      <c r="D667" t="s">
        <v>2353</v>
      </c>
      <c r="E667" t="str">
        <f>Table1[[#This Row],[Abbreviations]]</f>
        <v>Oldbury Place</v>
      </c>
      <c r="F667" t="s">
        <v>473</v>
      </c>
      <c r="G667" t="str">
        <f xml:space="preserve"> PROPER(_xlfn.CONCAT(Table13[[#This Row],[Title]]," ",Table13[[#This Row],[First Name]]," ",Table13[[#This Row],[Last Name]]))</f>
        <v>Mr Troy Harden</v>
      </c>
      <c r="H667" t="str">
        <f t="shared" si="20"/>
        <v>Mr T.Harden</v>
      </c>
      <c r="I667" t="str">
        <f t="shared" si="21"/>
        <v>M</v>
      </c>
    </row>
    <row r="668" spans="1:9" x14ac:dyDescent="0.3">
      <c r="A668">
        <v>665</v>
      </c>
      <c r="B668" t="s">
        <v>2424</v>
      </c>
      <c r="C668" t="s">
        <v>958</v>
      </c>
      <c r="D668" t="s">
        <v>2353</v>
      </c>
      <c r="E668" t="str">
        <f>Table1[[#This Row],[Abbreviations]]</f>
        <v>Faulkners Alley</v>
      </c>
      <c r="F668" t="s">
        <v>2426</v>
      </c>
      <c r="G668" t="str">
        <f xml:space="preserve"> PROPER(_xlfn.CONCAT(Table13[[#This Row],[Title]]," ",Table13[[#This Row],[First Name]]," ",Table13[[#This Row],[Last Name]]))</f>
        <v>Mr Spencer Edmonds</v>
      </c>
      <c r="H668" t="str">
        <f t="shared" si="20"/>
        <v>Mr S.Edmonds</v>
      </c>
      <c r="I668" t="str">
        <f t="shared" si="21"/>
        <v>M</v>
      </c>
    </row>
    <row r="669" spans="1:9" x14ac:dyDescent="0.3">
      <c r="A669">
        <v>666</v>
      </c>
      <c r="B669" t="s">
        <v>2427</v>
      </c>
      <c r="C669" t="s">
        <v>884</v>
      </c>
      <c r="D669" t="s">
        <v>2353</v>
      </c>
      <c r="E669" t="str">
        <f>Table1[[#This Row],[Abbreviations]]</f>
        <v>Goldcrest Mews</v>
      </c>
      <c r="F669" t="s">
        <v>81</v>
      </c>
      <c r="G669" t="str">
        <f xml:space="preserve"> PROPER(_xlfn.CONCAT(Table13[[#This Row],[Title]]," ",Table13[[#This Row],[First Name]]," ",Table13[[#This Row],[Last Name]]))</f>
        <v>Mr Parker Malone</v>
      </c>
      <c r="H669" t="str">
        <f t="shared" si="20"/>
        <v>Mr P.Malone</v>
      </c>
      <c r="I669" t="str">
        <f t="shared" si="21"/>
        <v>M</v>
      </c>
    </row>
    <row r="670" spans="1:9" x14ac:dyDescent="0.3">
      <c r="A670">
        <v>667</v>
      </c>
      <c r="B670" t="s">
        <v>2429</v>
      </c>
      <c r="C670" t="s">
        <v>2430</v>
      </c>
      <c r="D670" t="s">
        <v>2353</v>
      </c>
      <c r="E670" t="str">
        <f>Table1[[#This Row],[Abbreviations]]</f>
        <v>Wykeham Rise</v>
      </c>
      <c r="F670" t="s">
        <v>501</v>
      </c>
      <c r="G670" t="str">
        <f xml:space="preserve"> PROPER(_xlfn.CONCAT(Table13[[#This Row],[Title]]," ",Table13[[#This Row],[First Name]]," ",Table13[[#This Row],[Last Name]]))</f>
        <v>Mr Dorian Schmitz</v>
      </c>
      <c r="H670" t="str">
        <f t="shared" si="20"/>
        <v>Mr D.Schmitz</v>
      </c>
      <c r="I670" t="str">
        <f t="shared" si="21"/>
        <v>M</v>
      </c>
    </row>
    <row r="671" spans="1:9" x14ac:dyDescent="0.3">
      <c r="A671">
        <v>668</v>
      </c>
      <c r="B671" t="s">
        <v>2432</v>
      </c>
      <c r="C671" t="s">
        <v>1114</v>
      </c>
      <c r="D671" t="s">
        <v>2353</v>
      </c>
      <c r="E671" t="str">
        <f>Table1[[#This Row],[Abbreviations]]</f>
        <v>Tapp Street</v>
      </c>
      <c r="F671" t="s">
        <v>530</v>
      </c>
      <c r="G671" t="str">
        <f xml:space="preserve"> PROPER(_xlfn.CONCAT(Table13[[#This Row],[Title]]," ",Table13[[#This Row],[First Name]]," ",Table13[[#This Row],[Last Name]]))</f>
        <v>Mr Wilbert Self</v>
      </c>
      <c r="H671" t="str">
        <f t="shared" si="20"/>
        <v>Mr W.Self</v>
      </c>
      <c r="I671" t="str">
        <f t="shared" si="21"/>
        <v>M</v>
      </c>
    </row>
    <row r="672" spans="1:9" x14ac:dyDescent="0.3">
      <c r="A672">
        <v>669</v>
      </c>
      <c r="B672" t="s">
        <v>2434</v>
      </c>
      <c r="C672" t="s">
        <v>2435</v>
      </c>
      <c r="D672" t="s">
        <v>2353</v>
      </c>
      <c r="E672" t="str">
        <f>Table1[[#This Row],[Abbreviations]]</f>
        <v>Leafield Close</v>
      </c>
      <c r="F672" t="s">
        <v>2437</v>
      </c>
      <c r="G672" t="str">
        <f xml:space="preserve"> PROPER(_xlfn.CONCAT(Table13[[#This Row],[Title]]," ",Table13[[#This Row],[First Name]]," ",Table13[[#This Row],[Last Name]]))</f>
        <v>Mr Winston Daly</v>
      </c>
      <c r="H672" t="str">
        <f t="shared" si="20"/>
        <v>Mr W.Daly</v>
      </c>
      <c r="I672" t="str">
        <f t="shared" si="21"/>
        <v>M</v>
      </c>
    </row>
    <row r="673" spans="1:9" x14ac:dyDescent="0.3">
      <c r="A673">
        <v>670</v>
      </c>
      <c r="B673" t="s">
        <v>2438</v>
      </c>
      <c r="C673" t="s">
        <v>1335</v>
      </c>
      <c r="D673" t="s">
        <v>2353</v>
      </c>
      <c r="E673" t="str">
        <f>Table1[[#This Row],[Abbreviations]]</f>
        <v>Booker Close</v>
      </c>
      <c r="F673" t="s">
        <v>2440</v>
      </c>
      <c r="G673" t="str">
        <f xml:space="preserve"> PROPER(_xlfn.CONCAT(Table13[[#This Row],[Title]]," ",Table13[[#This Row],[First Name]]," ",Table13[[#This Row],[Last Name]]))</f>
        <v>Mr Thaddeus Valdez</v>
      </c>
      <c r="H673" t="str">
        <f t="shared" si="20"/>
        <v>Mr T.Valdez</v>
      </c>
      <c r="I673" t="str">
        <f t="shared" si="21"/>
        <v>M</v>
      </c>
    </row>
    <row r="674" spans="1:9" x14ac:dyDescent="0.3">
      <c r="A674">
        <v>671</v>
      </c>
      <c r="B674" t="s">
        <v>2218</v>
      </c>
      <c r="C674" t="s">
        <v>2441</v>
      </c>
      <c r="D674" t="s">
        <v>2353</v>
      </c>
      <c r="E674" t="str">
        <f>Table1[[#This Row],[Abbreviations]]</f>
        <v>Colquhoun Place</v>
      </c>
      <c r="F674" t="s">
        <v>2443</v>
      </c>
      <c r="G674" t="str">
        <f xml:space="preserve"> PROPER(_xlfn.CONCAT(Table13[[#This Row],[Title]]," ",Table13[[#This Row],[First Name]]," ",Table13[[#This Row],[Last Name]]))</f>
        <v>Mr Frank Brantley</v>
      </c>
      <c r="H674" t="str">
        <f t="shared" si="20"/>
        <v>Mr F.Brantley</v>
      </c>
      <c r="I674" t="str">
        <f t="shared" si="21"/>
        <v>M</v>
      </c>
    </row>
    <row r="675" spans="1:9" x14ac:dyDescent="0.3">
      <c r="A675">
        <v>672</v>
      </c>
      <c r="B675" t="s">
        <v>2444</v>
      </c>
      <c r="C675" t="s">
        <v>475</v>
      </c>
      <c r="D675" t="s">
        <v>2353</v>
      </c>
      <c r="E675" t="str">
        <f>Table1[[#This Row],[Abbreviations]]</f>
        <v>Britannia Close</v>
      </c>
      <c r="F675" t="s">
        <v>1179</v>
      </c>
      <c r="G675" t="str">
        <f xml:space="preserve"> PROPER(_xlfn.CONCAT(Table13[[#This Row],[Title]]," ",Table13[[#This Row],[First Name]]," ",Table13[[#This Row],[Last Name]]))</f>
        <v>Mr Jae Pritchard</v>
      </c>
      <c r="H675" t="str">
        <f t="shared" si="20"/>
        <v>Mr J.Pritchard</v>
      </c>
      <c r="I675" t="str">
        <f t="shared" si="21"/>
        <v>M</v>
      </c>
    </row>
    <row r="676" spans="1:9" x14ac:dyDescent="0.3">
      <c r="A676">
        <v>673</v>
      </c>
      <c r="B676" t="s">
        <v>2446</v>
      </c>
      <c r="C676" t="s">
        <v>398</v>
      </c>
      <c r="D676" t="s">
        <v>2353</v>
      </c>
      <c r="E676" t="str">
        <f>Table1[[#This Row],[Abbreviations]]</f>
        <v>Brixton Station</v>
      </c>
      <c r="F676" t="s">
        <v>1737</v>
      </c>
      <c r="G676" t="str">
        <f xml:space="preserve"> PROPER(_xlfn.CONCAT(Table13[[#This Row],[Title]]," ",Table13[[#This Row],[First Name]]," ",Table13[[#This Row],[Last Name]]))</f>
        <v>Mr Morton Barrow</v>
      </c>
      <c r="H676" t="str">
        <f t="shared" si="20"/>
        <v>Mr M.Barrow</v>
      </c>
      <c r="I676" t="str">
        <f t="shared" si="21"/>
        <v>M</v>
      </c>
    </row>
    <row r="677" spans="1:9" x14ac:dyDescent="0.3">
      <c r="A677">
        <v>674</v>
      </c>
      <c r="B677" t="s">
        <v>2448</v>
      </c>
      <c r="C677" t="s">
        <v>2449</v>
      </c>
      <c r="D677" t="s">
        <v>2353</v>
      </c>
      <c r="E677" t="str">
        <f>Table1[[#This Row],[Abbreviations]]</f>
        <v>Stockwell Terrace</v>
      </c>
      <c r="F677" t="s">
        <v>2010</v>
      </c>
      <c r="G677" t="str">
        <f xml:space="preserve"> PROPER(_xlfn.CONCAT(Table13[[#This Row],[Title]]," ",Table13[[#This Row],[First Name]]," ",Table13[[#This Row],[Last Name]]))</f>
        <v>Mr Mitch Prince</v>
      </c>
      <c r="H677" t="str">
        <f t="shared" si="20"/>
        <v>Mr M.Prince</v>
      </c>
      <c r="I677" t="str">
        <f t="shared" si="21"/>
        <v>M</v>
      </c>
    </row>
    <row r="678" spans="1:9" x14ac:dyDescent="0.3">
      <c r="A678">
        <v>675</v>
      </c>
      <c r="B678" t="s">
        <v>2451</v>
      </c>
      <c r="C678">
        <v>0</v>
      </c>
      <c r="D678" t="s">
        <v>2353</v>
      </c>
      <c r="E678" t="str">
        <f>Table1[[#This Row],[Abbreviations]]</f>
        <v>Benthal Road</v>
      </c>
      <c r="F678" t="s">
        <v>1779</v>
      </c>
      <c r="G678" t="str">
        <f xml:space="preserve"> PROPER(_xlfn.CONCAT(Table13[[#This Row],[Title]]," ",Table13[[#This Row],[First Name]]," ",Table13[[#This Row],[Last Name]]))</f>
        <v>Mr Alonso 0</v>
      </c>
      <c r="H678" t="str">
        <f t="shared" si="20"/>
        <v>Mr A.0</v>
      </c>
      <c r="I678" t="str">
        <f t="shared" si="21"/>
        <v>M</v>
      </c>
    </row>
    <row r="679" spans="1:9" x14ac:dyDescent="0.3">
      <c r="A679">
        <v>676</v>
      </c>
      <c r="B679" t="s">
        <v>2453</v>
      </c>
      <c r="C679" t="s">
        <v>2454</v>
      </c>
      <c r="D679" t="s">
        <v>2353</v>
      </c>
      <c r="E679" t="str">
        <f>Table1[[#This Row],[Abbreviations]]</f>
        <v>Brackenbury Gardens</v>
      </c>
      <c r="F679" t="s">
        <v>2456</v>
      </c>
      <c r="G679" t="str">
        <f xml:space="preserve"> PROPER(_xlfn.CONCAT(Table13[[#This Row],[Title]]," ",Table13[[#This Row],[First Name]]," ",Table13[[#This Row],[Last Name]]))</f>
        <v>Mr Guillermo Giles</v>
      </c>
      <c r="H679" t="str">
        <f t="shared" si="20"/>
        <v>Mr G.Giles</v>
      </c>
      <c r="I679" t="str">
        <f t="shared" si="21"/>
        <v>M</v>
      </c>
    </row>
    <row r="680" spans="1:9" x14ac:dyDescent="0.3">
      <c r="A680">
        <v>677</v>
      </c>
      <c r="B680" t="s">
        <v>2457</v>
      </c>
      <c r="C680" t="s">
        <v>1771</v>
      </c>
      <c r="D680" t="s">
        <v>2353</v>
      </c>
      <c r="E680" t="str">
        <f>Table1[[#This Row],[Abbreviations]]</f>
        <v>Sloane Court</v>
      </c>
      <c r="F680" t="s">
        <v>1099</v>
      </c>
      <c r="G680" t="str">
        <f xml:space="preserve"> PROPER(_xlfn.CONCAT(Table13[[#This Row],[Title]]," ",Table13[[#This Row],[First Name]]," ",Table13[[#This Row],[Last Name]]))</f>
        <v>Mr Adrian Parham</v>
      </c>
      <c r="H680" t="str">
        <f t="shared" si="20"/>
        <v>Mr A.Parham</v>
      </c>
      <c r="I680" t="str">
        <f t="shared" si="21"/>
        <v>M</v>
      </c>
    </row>
    <row r="681" spans="1:9" x14ac:dyDescent="0.3">
      <c r="A681">
        <v>678</v>
      </c>
      <c r="B681" t="s">
        <v>2459</v>
      </c>
      <c r="C681" t="s">
        <v>2460</v>
      </c>
      <c r="D681" t="s">
        <v>2353</v>
      </c>
      <c r="E681" t="str">
        <f>Table1[[#This Row],[Abbreviations]]</f>
        <v>Westminster Bridge</v>
      </c>
      <c r="F681" t="s">
        <v>423</v>
      </c>
      <c r="G681" t="str">
        <f xml:space="preserve"> PROPER(_xlfn.CONCAT(Table13[[#This Row],[Title]]," ",Table13[[#This Row],[First Name]]," ",Table13[[#This Row],[Last Name]]))</f>
        <v>Mr Brain Calloway</v>
      </c>
      <c r="H681" t="str">
        <f t="shared" si="20"/>
        <v>Mr B.Calloway</v>
      </c>
      <c r="I681" t="str">
        <f t="shared" si="21"/>
        <v>M</v>
      </c>
    </row>
    <row r="682" spans="1:9" x14ac:dyDescent="0.3">
      <c r="A682">
        <v>679</v>
      </c>
      <c r="B682" t="s">
        <v>2409</v>
      </c>
      <c r="C682" t="s">
        <v>616</v>
      </c>
      <c r="D682" t="s">
        <v>2353</v>
      </c>
      <c r="E682" t="str">
        <f>Table1[[#This Row],[Abbreviations]]</f>
        <v>Greenwood Terrace</v>
      </c>
      <c r="F682" t="s">
        <v>2462</v>
      </c>
      <c r="G682" t="str">
        <f xml:space="preserve"> PROPER(_xlfn.CONCAT(Table13[[#This Row],[Title]]," ",Table13[[#This Row],[First Name]]," ",Table13[[#This Row],[Last Name]]))</f>
        <v>Mr Ahmed Rudolph</v>
      </c>
      <c r="H682" t="str">
        <f t="shared" si="20"/>
        <v>Mr A.Rudolph</v>
      </c>
      <c r="I682" t="str">
        <f t="shared" si="21"/>
        <v>M</v>
      </c>
    </row>
    <row r="683" spans="1:9" x14ac:dyDescent="0.3">
      <c r="A683">
        <v>680</v>
      </c>
      <c r="B683" t="s">
        <v>1768</v>
      </c>
      <c r="C683" t="s">
        <v>2463</v>
      </c>
      <c r="D683" t="s">
        <v>2353</v>
      </c>
      <c r="E683" t="str">
        <f>Table1[[#This Row],[Abbreviations]]</f>
        <v>Coke Street</v>
      </c>
      <c r="F683" t="s">
        <v>703</v>
      </c>
      <c r="G683" t="str">
        <f xml:space="preserve"> PROPER(_xlfn.CONCAT(Table13[[#This Row],[Title]]," ",Table13[[#This Row],[First Name]]," ",Table13[[#This Row],[Last Name]]))</f>
        <v>Mr Billy Starr</v>
      </c>
      <c r="H683" t="str">
        <f t="shared" si="20"/>
        <v>Mr B.Starr</v>
      </c>
      <c r="I683" t="str">
        <f t="shared" si="21"/>
        <v>M</v>
      </c>
    </row>
    <row r="684" spans="1:9" x14ac:dyDescent="0.3">
      <c r="A684">
        <v>681</v>
      </c>
      <c r="B684" t="s">
        <v>2465</v>
      </c>
      <c r="C684" t="s">
        <v>2422</v>
      </c>
      <c r="D684" t="s">
        <v>2353</v>
      </c>
      <c r="E684" t="str">
        <f>Table1[[#This Row],[Abbreviations]]</f>
        <v>Trafalgar Square</v>
      </c>
      <c r="F684" t="s">
        <v>440</v>
      </c>
      <c r="G684" t="str">
        <f xml:space="preserve"> PROPER(_xlfn.CONCAT(Table13[[#This Row],[Title]]," ",Table13[[#This Row],[First Name]]," ",Table13[[#This Row],[Last Name]]))</f>
        <v>Mr Ezekiel Harden</v>
      </c>
      <c r="H684" t="str">
        <f t="shared" si="20"/>
        <v>Mr E.Harden</v>
      </c>
      <c r="I684" t="str">
        <f t="shared" si="21"/>
        <v>M</v>
      </c>
    </row>
    <row r="685" spans="1:9" x14ac:dyDescent="0.3">
      <c r="A685">
        <v>682</v>
      </c>
      <c r="B685" t="s">
        <v>2467</v>
      </c>
      <c r="C685" t="s">
        <v>2468</v>
      </c>
      <c r="D685" t="s">
        <v>2469</v>
      </c>
      <c r="E685" t="str">
        <f>Table1[[#This Row],[Abbreviations]]</f>
        <v>Courtleigh Gardens</v>
      </c>
      <c r="F685" t="s">
        <v>2471</v>
      </c>
      <c r="G685" t="str">
        <f xml:space="preserve"> PROPER(_xlfn.CONCAT(Table13[[#This Row],[Title]]," ",Table13[[#This Row],[First Name]]," ",Table13[[#This Row],[Last Name]]))</f>
        <v>Rev Josue Marrero</v>
      </c>
      <c r="H685" t="str">
        <f t="shared" si="20"/>
        <v>Rev J.Marrero</v>
      </c>
      <c r="I685" t="str">
        <f t="shared" si="21"/>
        <v>F</v>
      </c>
    </row>
    <row r="686" spans="1:9" x14ac:dyDescent="0.3">
      <c r="A686">
        <v>683</v>
      </c>
      <c r="B686" t="s">
        <v>2472</v>
      </c>
      <c r="C686" t="s">
        <v>2473</v>
      </c>
      <c r="D686" t="s">
        <v>2353</v>
      </c>
      <c r="E686" t="str">
        <f>Table1[[#This Row],[Abbreviations]]</f>
        <v>Esmerelda Road</v>
      </c>
      <c r="F686" t="s">
        <v>607</v>
      </c>
      <c r="G686" t="str">
        <f xml:space="preserve"> PROPER(_xlfn.CONCAT(Table13[[#This Row],[Title]]," ",Table13[[#This Row],[First Name]]," ",Table13[[#This Row],[Last Name]]))</f>
        <v>Mr Adolfo Downing</v>
      </c>
      <c r="H686" t="str">
        <f t="shared" si="20"/>
        <v>Mr A.Downing</v>
      </c>
      <c r="I686" t="str">
        <f t="shared" si="21"/>
        <v>M</v>
      </c>
    </row>
    <row r="687" spans="1:9" x14ac:dyDescent="0.3">
      <c r="A687">
        <v>684</v>
      </c>
      <c r="B687" t="s">
        <v>2475</v>
      </c>
      <c r="C687" t="s">
        <v>618</v>
      </c>
      <c r="D687" t="s">
        <v>2353</v>
      </c>
      <c r="E687" t="str">
        <f>Table1[[#This Row],[Abbreviations]]</f>
        <v>Aftab Terrace</v>
      </c>
      <c r="F687" t="s">
        <v>1163</v>
      </c>
      <c r="G687" t="str">
        <f xml:space="preserve"> PROPER(_xlfn.CONCAT(Table13[[#This Row],[Title]]," ",Table13[[#This Row],[First Name]]," ",Table13[[#This Row],[Last Name]]))</f>
        <v>Mr Armando Kemp</v>
      </c>
      <c r="H687" t="str">
        <f t="shared" si="20"/>
        <v>Mr A.Kemp</v>
      </c>
      <c r="I687" t="str">
        <f t="shared" si="21"/>
        <v>M</v>
      </c>
    </row>
    <row r="688" spans="1:9" x14ac:dyDescent="0.3">
      <c r="A688">
        <v>685</v>
      </c>
      <c r="B688" t="s">
        <v>2477</v>
      </c>
      <c r="C688" t="s">
        <v>2478</v>
      </c>
      <c r="D688" t="s">
        <v>2353</v>
      </c>
      <c r="E688" t="str">
        <f>Table1[[#This Row],[Abbreviations]]</f>
        <v>Redcliffe Mews</v>
      </c>
      <c r="F688" t="s">
        <v>430</v>
      </c>
      <c r="G688" t="str">
        <f xml:space="preserve"> PROPER(_xlfn.CONCAT(Table13[[#This Row],[Title]]," ",Table13[[#This Row],[First Name]]," ",Table13[[#This Row],[Last Name]]))</f>
        <v>Mr Markus Seals</v>
      </c>
      <c r="H688" t="str">
        <f t="shared" si="20"/>
        <v>Mr M.Seals</v>
      </c>
      <c r="I688" t="str">
        <f t="shared" si="21"/>
        <v>M</v>
      </c>
    </row>
    <row r="689" spans="1:9" x14ac:dyDescent="0.3">
      <c r="A689">
        <v>686</v>
      </c>
      <c r="B689" t="s">
        <v>665</v>
      </c>
      <c r="C689" t="s">
        <v>2480</v>
      </c>
      <c r="D689" t="s">
        <v>2353</v>
      </c>
      <c r="E689" t="str">
        <f>Table1[[#This Row],[Abbreviations]]</f>
        <v>Hambledown Chase</v>
      </c>
      <c r="F689" t="s">
        <v>2482</v>
      </c>
      <c r="G689" t="str">
        <f xml:space="preserve"> PROPER(_xlfn.CONCAT(Table13[[#This Row],[Title]]," ",Table13[[#This Row],[First Name]]," ",Table13[[#This Row],[Last Name]]))</f>
        <v>Mr Reyes Swift</v>
      </c>
      <c r="H689" t="str">
        <f t="shared" si="20"/>
        <v>Mr R.Swift</v>
      </c>
      <c r="I689" t="str">
        <f t="shared" si="21"/>
        <v>M</v>
      </c>
    </row>
    <row r="690" spans="1:9" x14ac:dyDescent="0.3">
      <c r="A690">
        <v>687</v>
      </c>
      <c r="B690" t="s">
        <v>2483</v>
      </c>
      <c r="C690" t="s">
        <v>261</v>
      </c>
      <c r="D690" t="s">
        <v>2353</v>
      </c>
      <c r="E690" t="str">
        <f>Table1[[#This Row],[Abbreviations]]</f>
        <v>Shepperton Street</v>
      </c>
      <c r="F690" t="s">
        <v>2485</v>
      </c>
      <c r="G690" t="str">
        <f xml:space="preserve"> PROPER(_xlfn.CONCAT(Table13[[#This Row],[Title]]," ",Table13[[#This Row],[First Name]]," ",Table13[[#This Row],[Last Name]]))</f>
        <v>Mr Graham Payton</v>
      </c>
      <c r="H690" t="str">
        <f t="shared" si="20"/>
        <v>Mr G.Payton</v>
      </c>
      <c r="I690" t="str">
        <f t="shared" si="21"/>
        <v>M</v>
      </c>
    </row>
    <row r="691" spans="1:9" x14ac:dyDescent="0.3">
      <c r="A691">
        <v>688</v>
      </c>
      <c r="B691" t="s">
        <v>2486</v>
      </c>
      <c r="C691" t="s">
        <v>2487</v>
      </c>
      <c r="D691" t="s">
        <v>2353</v>
      </c>
      <c r="E691" t="str">
        <f>Table1[[#This Row],[Abbreviations]]</f>
        <v>Sanders Buildings</v>
      </c>
      <c r="F691" t="s">
        <v>2489</v>
      </c>
      <c r="G691" t="str">
        <f xml:space="preserve"> PROPER(_xlfn.CONCAT(Table13[[#This Row],[Title]]," ",Table13[[#This Row],[First Name]]," ",Table13[[#This Row],[Last Name]]))</f>
        <v>Mr Dominique Zamora</v>
      </c>
      <c r="H691" t="str">
        <f t="shared" si="20"/>
        <v>Mr D.Zamora</v>
      </c>
      <c r="I691" t="str">
        <f t="shared" si="21"/>
        <v>M</v>
      </c>
    </row>
    <row r="692" spans="1:9" x14ac:dyDescent="0.3">
      <c r="A692">
        <v>689</v>
      </c>
      <c r="B692" t="s">
        <v>2490</v>
      </c>
      <c r="C692" t="s">
        <v>2491</v>
      </c>
      <c r="D692" t="s">
        <v>2353</v>
      </c>
      <c r="E692" t="str">
        <f>Table1[[#This Row],[Abbreviations]]</f>
        <v>Edwards Cottages</v>
      </c>
      <c r="F692" t="s">
        <v>587</v>
      </c>
      <c r="G692" t="str">
        <f xml:space="preserve"> PROPER(_xlfn.CONCAT(Table13[[#This Row],[Title]]," ",Table13[[#This Row],[First Name]]," ",Table13[[#This Row],[Last Name]]))</f>
        <v>Mr Rodger Meyer</v>
      </c>
      <c r="H692" t="str">
        <f t="shared" si="20"/>
        <v>Mr R.Meyer</v>
      </c>
      <c r="I692" t="str">
        <f t="shared" si="21"/>
        <v>M</v>
      </c>
    </row>
    <row r="693" spans="1:9" x14ac:dyDescent="0.3">
      <c r="A693">
        <v>690</v>
      </c>
      <c r="B693" t="s">
        <v>2493</v>
      </c>
      <c r="C693" t="s">
        <v>2494</v>
      </c>
      <c r="D693" t="s">
        <v>55</v>
      </c>
      <c r="E693" t="str">
        <f>Table1[[#This Row],[Abbreviations]]</f>
        <v>Perry Avenue</v>
      </c>
      <c r="F693" t="s">
        <v>666</v>
      </c>
      <c r="G693" t="str">
        <f xml:space="preserve"> PROPER(_xlfn.CONCAT(Table13[[#This Row],[Title]]," ",Table13[[#This Row],[First Name]]," ",Table13[[#This Row],[Last Name]]))</f>
        <v>Prof Gerald Buckner</v>
      </c>
      <c r="H693" t="str">
        <f t="shared" si="20"/>
        <v>Prof G.Buckner</v>
      </c>
      <c r="I693" t="str">
        <f t="shared" si="21"/>
        <v>F</v>
      </c>
    </row>
    <row r="694" spans="1:9" x14ac:dyDescent="0.3">
      <c r="A694">
        <v>691</v>
      </c>
      <c r="B694" t="s">
        <v>2496</v>
      </c>
      <c r="C694" t="s">
        <v>2497</v>
      </c>
      <c r="D694" t="s">
        <v>2353</v>
      </c>
      <c r="E694" t="str">
        <f>Table1[[#This Row],[Abbreviations]]</f>
        <v>Capel Road</v>
      </c>
      <c r="F694" t="s">
        <v>92</v>
      </c>
      <c r="G694" t="str">
        <f xml:space="preserve"> PROPER(_xlfn.CONCAT(Table13[[#This Row],[Title]]," ",Table13[[#This Row],[First Name]]," ",Table13[[#This Row],[Last Name]]))</f>
        <v>Mr Derrick Ruffin</v>
      </c>
      <c r="H694" t="str">
        <f t="shared" si="20"/>
        <v>Mr D.Ruffin</v>
      </c>
      <c r="I694" t="str">
        <f t="shared" si="21"/>
        <v>M</v>
      </c>
    </row>
    <row r="695" spans="1:9" x14ac:dyDescent="0.3">
      <c r="A695">
        <v>692</v>
      </c>
      <c r="B695" t="s">
        <v>558</v>
      </c>
      <c r="C695" t="s">
        <v>648</v>
      </c>
      <c r="D695" t="s">
        <v>2353</v>
      </c>
      <c r="E695" t="str">
        <f>Table1[[#This Row],[Abbreviations]]</f>
        <v>Ashworth Road</v>
      </c>
      <c r="F695" t="s">
        <v>392</v>
      </c>
      <c r="G695" t="str">
        <f xml:space="preserve"> PROPER(_xlfn.CONCAT(Table13[[#This Row],[Title]]," ",Table13[[#This Row],[First Name]]," ",Table13[[#This Row],[Last Name]]))</f>
        <v>Mr Jarrett Copeland</v>
      </c>
      <c r="H695" t="str">
        <f t="shared" si="20"/>
        <v>Mr J.Copeland</v>
      </c>
      <c r="I695" t="str">
        <f t="shared" si="21"/>
        <v>M</v>
      </c>
    </row>
    <row r="696" spans="1:9" x14ac:dyDescent="0.3">
      <c r="A696">
        <v>693</v>
      </c>
      <c r="B696" t="s">
        <v>2324</v>
      </c>
      <c r="C696" t="s">
        <v>2500</v>
      </c>
      <c r="D696" t="s">
        <v>318</v>
      </c>
      <c r="E696" t="str">
        <f>Table1[[#This Row],[Abbreviations]]</f>
        <v>Marden Road</v>
      </c>
      <c r="F696" t="s">
        <v>2502</v>
      </c>
      <c r="G696" t="str">
        <f xml:space="preserve"> PROPER(_xlfn.CONCAT(Table13[[#This Row],[Title]]," ",Table13[[#This Row],[First Name]]," ",Table13[[#This Row],[Last Name]]))</f>
        <v>Dr Cortez Shaw</v>
      </c>
      <c r="H696" t="str">
        <f t="shared" si="20"/>
        <v>Dr C.Shaw</v>
      </c>
      <c r="I696" t="str">
        <f t="shared" si="21"/>
        <v>F</v>
      </c>
    </row>
    <row r="697" spans="1:9" x14ac:dyDescent="0.3">
      <c r="A697">
        <v>694</v>
      </c>
      <c r="B697" t="s">
        <v>2503</v>
      </c>
      <c r="C697" t="s">
        <v>2504</v>
      </c>
      <c r="D697" t="s">
        <v>2353</v>
      </c>
      <c r="E697" t="str">
        <f>Table1[[#This Row],[Abbreviations]]</f>
        <v>Dartford Street</v>
      </c>
      <c r="F697" t="s">
        <v>2506</v>
      </c>
      <c r="G697" t="str">
        <f xml:space="preserve"> PROPER(_xlfn.CONCAT(Table13[[#This Row],[Title]]," ",Table13[[#This Row],[First Name]]," ",Table13[[#This Row],[Last Name]]))</f>
        <v>Mr Bradford Nickerson</v>
      </c>
      <c r="H697" t="str">
        <f t="shared" si="20"/>
        <v>Mr B.Nickerson</v>
      </c>
      <c r="I697" t="str">
        <f t="shared" si="21"/>
        <v>M</v>
      </c>
    </row>
    <row r="698" spans="1:9" x14ac:dyDescent="0.3">
      <c r="A698">
        <v>695</v>
      </c>
      <c r="B698" t="s">
        <v>2507</v>
      </c>
      <c r="C698" t="s">
        <v>2508</v>
      </c>
      <c r="D698" t="s">
        <v>2353</v>
      </c>
      <c r="E698" t="str">
        <f>Table1[[#This Row],[Abbreviations]]</f>
        <v>Kimberley Gardens</v>
      </c>
      <c r="F698" t="s">
        <v>2510</v>
      </c>
      <c r="G698" t="str">
        <f xml:space="preserve"> PROPER(_xlfn.CONCAT(Table13[[#This Row],[Title]]," ",Table13[[#This Row],[First Name]]," ",Table13[[#This Row],[Last Name]]))</f>
        <v>Mr Jerrod Xiong</v>
      </c>
      <c r="H698" t="str">
        <f t="shared" si="20"/>
        <v>Mr J.Xiong</v>
      </c>
      <c r="I698" t="str">
        <f t="shared" si="21"/>
        <v>M</v>
      </c>
    </row>
    <row r="699" spans="1:9" x14ac:dyDescent="0.3">
      <c r="A699">
        <v>696</v>
      </c>
      <c r="B699" t="s">
        <v>2511</v>
      </c>
      <c r="C699" t="s">
        <v>660</v>
      </c>
      <c r="D699" t="s">
        <v>2353</v>
      </c>
      <c r="E699" t="str">
        <f>Table1[[#This Row],[Abbreviations]]</f>
        <v>Westholm</v>
      </c>
      <c r="F699" t="s">
        <v>860</v>
      </c>
      <c r="G699" t="str">
        <f xml:space="preserve"> PROPER(_xlfn.CONCAT(Table13[[#This Row],[Title]]," ",Table13[[#This Row],[First Name]]," ",Table13[[#This Row],[Last Name]]))</f>
        <v>Mr Alden Bolden</v>
      </c>
      <c r="H699" t="str">
        <f t="shared" si="20"/>
        <v>Mr A.Bolden</v>
      </c>
      <c r="I699" t="str">
        <f t="shared" si="21"/>
        <v>M</v>
      </c>
    </row>
    <row r="700" spans="1:9" x14ac:dyDescent="0.3">
      <c r="A700">
        <v>697</v>
      </c>
      <c r="B700" t="s">
        <v>2351</v>
      </c>
      <c r="C700" t="s">
        <v>1122</v>
      </c>
      <c r="D700" t="s">
        <v>2353</v>
      </c>
      <c r="E700" t="str">
        <f>Table1[[#This Row],[Abbreviations]]</f>
        <v>Cokers Lane</v>
      </c>
      <c r="F700" t="s">
        <v>2130</v>
      </c>
      <c r="G700" t="str">
        <f xml:space="preserve"> PROPER(_xlfn.CONCAT(Table13[[#This Row],[Title]]," ",Table13[[#This Row],[First Name]]," ",Table13[[#This Row],[Last Name]]))</f>
        <v>Mr Jonathan Laird</v>
      </c>
      <c r="H700" t="str">
        <f t="shared" si="20"/>
        <v>Mr J.Laird</v>
      </c>
      <c r="I700" t="str">
        <f t="shared" si="21"/>
        <v>M</v>
      </c>
    </row>
    <row r="701" spans="1:9" x14ac:dyDescent="0.3">
      <c r="A701">
        <v>698</v>
      </c>
      <c r="B701" t="s">
        <v>2514</v>
      </c>
      <c r="C701" t="s">
        <v>2515</v>
      </c>
      <c r="D701" t="s">
        <v>2353</v>
      </c>
      <c r="E701" t="str">
        <f>Table1[[#This Row],[Abbreviations]]</f>
        <v>Oxgate Court</v>
      </c>
      <c r="F701" t="s">
        <v>1003</v>
      </c>
      <c r="G701" t="str">
        <f xml:space="preserve"> PROPER(_xlfn.CONCAT(Table13[[#This Row],[Title]]," ",Table13[[#This Row],[First Name]]," ",Table13[[#This Row],[Last Name]]))</f>
        <v>Mr Raul Sterling</v>
      </c>
      <c r="H701" t="str">
        <f t="shared" si="20"/>
        <v>Mr R.Sterling</v>
      </c>
      <c r="I701" t="str">
        <f t="shared" si="21"/>
        <v>M</v>
      </c>
    </row>
    <row r="702" spans="1:9" x14ac:dyDescent="0.3">
      <c r="A702">
        <v>699</v>
      </c>
      <c r="B702" t="s">
        <v>2517</v>
      </c>
      <c r="C702" t="s">
        <v>2518</v>
      </c>
      <c r="D702" t="s">
        <v>2353</v>
      </c>
      <c r="E702" t="str">
        <f>Table1[[#This Row],[Abbreviations]]</f>
        <v>Edmund Place</v>
      </c>
      <c r="F702" t="s">
        <v>1510</v>
      </c>
      <c r="G702" t="str">
        <f xml:space="preserve"> PROPER(_xlfn.CONCAT(Table13[[#This Row],[Title]]," ",Table13[[#This Row],[First Name]]," ",Table13[[#This Row],[Last Name]]))</f>
        <v>Mr Joshua Leary</v>
      </c>
      <c r="H702" t="str">
        <f t="shared" si="20"/>
        <v>Mr J.Leary</v>
      </c>
      <c r="I702" t="str">
        <f t="shared" si="21"/>
        <v>M</v>
      </c>
    </row>
    <row r="703" spans="1:9" x14ac:dyDescent="0.3">
      <c r="A703">
        <v>700</v>
      </c>
      <c r="B703" t="s">
        <v>2520</v>
      </c>
      <c r="C703" t="s">
        <v>2521</v>
      </c>
      <c r="D703" t="s">
        <v>2353</v>
      </c>
      <c r="E703" t="str">
        <f>Table1[[#This Row],[Abbreviations]]</f>
        <v>Walton Terrace</v>
      </c>
      <c r="F703" t="s">
        <v>2417</v>
      </c>
      <c r="G703" t="str">
        <f xml:space="preserve"> PROPER(_xlfn.CONCAT(Table13[[#This Row],[Title]]," ",Table13[[#This Row],[First Name]]," ",Table13[[#This Row],[Last Name]]))</f>
        <v>Mr Lamar Naquin</v>
      </c>
      <c r="H703" t="str">
        <f t="shared" si="20"/>
        <v>Mr L.Naquin</v>
      </c>
      <c r="I703" t="str">
        <f t="shared" si="21"/>
        <v>M</v>
      </c>
    </row>
    <row r="704" spans="1:9" x14ac:dyDescent="0.3">
      <c r="A704">
        <v>701</v>
      </c>
      <c r="B704" t="s">
        <v>2523</v>
      </c>
      <c r="C704" t="s">
        <v>2524</v>
      </c>
      <c r="D704" t="s">
        <v>2353</v>
      </c>
      <c r="E704" t="str">
        <f>Table1[[#This Row],[Abbreviations]]</f>
        <v>Stoneyard Place</v>
      </c>
      <c r="F704" t="s">
        <v>2270</v>
      </c>
      <c r="G704" t="str">
        <f xml:space="preserve"> PROPER(_xlfn.CONCAT(Table13[[#This Row],[Title]]," ",Table13[[#This Row],[First Name]]," ",Table13[[#This Row],[Last Name]]))</f>
        <v>Mr Andreas Holt</v>
      </c>
      <c r="H704" t="str">
        <f t="shared" si="20"/>
        <v>Mr A.Holt</v>
      </c>
      <c r="I704" t="str">
        <f t="shared" si="21"/>
        <v>M</v>
      </c>
    </row>
    <row r="705" spans="1:9" x14ac:dyDescent="0.3">
      <c r="A705">
        <v>702</v>
      </c>
      <c r="B705" t="s">
        <v>2526</v>
      </c>
      <c r="C705" t="s">
        <v>623</v>
      </c>
      <c r="D705" t="s">
        <v>2353</v>
      </c>
      <c r="E705" t="str">
        <f>Table1[[#This Row],[Abbreviations]]</f>
        <v>Leathermarket Court</v>
      </c>
      <c r="F705" t="s">
        <v>324</v>
      </c>
      <c r="G705" t="str">
        <f xml:space="preserve"> PROPER(_xlfn.CONCAT(Table13[[#This Row],[Title]]," ",Table13[[#This Row],[First Name]]," ",Table13[[#This Row],[Last Name]]))</f>
        <v>Mr Freddie Tilley</v>
      </c>
      <c r="H705" t="str">
        <f t="shared" si="20"/>
        <v>Mr F.Tilley</v>
      </c>
      <c r="I705" t="str">
        <f t="shared" si="21"/>
        <v>M</v>
      </c>
    </row>
    <row r="706" spans="1:9" x14ac:dyDescent="0.3">
      <c r="A706">
        <v>703</v>
      </c>
      <c r="B706" t="s">
        <v>2528</v>
      </c>
      <c r="C706" t="s">
        <v>650</v>
      </c>
      <c r="D706" t="s">
        <v>2353</v>
      </c>
      <c r="E706" t="str">
        <f>Table1[[#This Row],[Abbreviations]]</f>
        <v>Southholme Close</v>
      </c>
      <c r="F706" t="s">
        <v>2530</v>
      </c>
      <c r="G706" t="str">
        <f xml:space="preserve"> PROPER(_xlfn.CONCAT(Table13[[#This Row],[Title]]," ",Table13[[#This Row],[First Name]]," ",Table13[[#This Row],[Last Name]]))</f>
        <v>Mr Rolando Hyde</v>
      </c>
      <c r="H706" t="str">
        <f t="shared" si="20"/>
        <v>Mr R.Hyde</v>
      </c>
      <c r="I706" t="str">
        <f t="shared" si="21"/>
        <v>M</v>
      </c>
    </row>
    <row r="707" spans="1:9" x14ac:dyDescent="0.3">
      <c r="A707">
        <v>704</v>
      </c>
      <c r="B707" t="s">
        <v>2531</v>
      </c>
      <c r="C707" t="s">
        <v>2532</v>
      </c>
      <c r="D707" t="s">
        <v>2353</v>
      </c>
      <c r="E707" t="str">
        <f>Table1[[#This Row],[Abbreviations]]</f>
        <v>Berryfield Street</v>
      </c>
      <c r="F707" t="s">
        <v>8</v>
      </c>
      <c r="G707" t="str">
        <f xml:space="preserve"> PROPER(_xlfn.CONCAT(Table13[[#This Row],[Title]]," ",Table13[[#This Row],[First Name]]," ",Table13[[#This Row],[Last Name]]))</f>
        <v>Mr Jan Cannon</v>
      </c>
      <c r="H707" t="str">
        <f t="shared" si="20"/>
        <v>Mr J.Cannon</v>
      </c>
      <c r="I707" t="str">
        <f t="shared" si="21"/>
        <v>M</v>
      </c>
    </row>
    <row r="708" spans="1:9" x14ac:dyDescent="0.3">
      <c r="A708">
        <v>705</v>
      </c>
      <c r="B708" t="s">
        <v>2534</v>
      </c>
      <c r="C708" t="s">
        <v>2535</v>
      </c>
      <c r="D708" t="s">
        <v>2353</v>
      </c>
      <c r="E708" t="str">
        <f>Table1[[#This Row],[Abbreviations]]</f>
        <v>Roland Villas</v>
      </c>
      <c r="F708" t="s">
        <v>2537</v>
      </c>
      <c r="G708" t="str">
        <f xml:space="preserve"> PROPER(_xlfn.CONCAT(Table13[[#This Row],[Title]]," ",Table13[[#This Row],[First Name]]," ",Table13[[#This Row],[Last Name]]))</f>
        <v>Mr Rayford Merritt</v>
      </c>
      <c r="H708" t="str">
        <f t="shared" ref="H708:H771" si="22">_xlfn.CONCAT(D708)&amp;" "&amp; LEFT(B708,1)&amp;"."&amp;C708</f>
        <v>Mr R.Merritt</v>
      </c>
      <c r="I708" t="str">
        <f t="shared" ref="I708:I771" si="23">IF(LEFT(D708,3)="Mr","M","F")</f>
        <v>M</v>
      </c>
    </row>
    <row r="709" spans="1:9" x14ac:dyDescent="0.3">
      <c r="A709">
        <v>706</v>
      </c>
      <c r="B709" t="s">
        <v>2538</v>
      </c>
      <c r="C709" t="s">
        <v>2539</v>
      </c>
      <c r="D709" t="s">
        <v>318</v>
      </c>
      <c r="E709" t="str">
        <f>Table1[[#This Row],[Abbreviations]]</f>
        <v>Spring Mount</v>
      </c>
      <c r="F709" t="s">
        <v>2541</v>
      </c>
      <c r="G709" t="str">
        <f xml:space="preserve"> PROPER(_xlfn.CONCAT(Table13[[#This Row],[Title]]," ",Table13[[#This Row],[First Name]]," ",Table13[[#This Row],[Last Name]]))</f>
        <v>Dr Danilo Riley</v>
      </c>
      <c r="H709" t="str">
        <f t="shared" si="22"/>
        <v>Dr D.Riley</v>
      </c>
      <c r="I709" t="str">
        <f t="shared" si="23"/>
        <v>F</v>
      </c>
    </row>
    <row r="710" spans="1:9" x14ac:dyDescent="0.3">
      <c r="A710">
        <v>707</v>
      </c>
      <c r="B710" t="s">
        <v>456</v>
      </c>
      <c r="C710" t="s">
        <v>492</v>
      </c>
      <c r="D710" t="s">
        <v>2353</v>
      </c>
      <c r="E710" t="str">
        <f>Table1[[#This Row],[Abbreviations]]</f>
        <v>Passmore Street</v>
      </c>
      <c r="F710" t="s">
        <v>2543</v>
      </c>
      <c r="G710" t="str">
        <f xml:space="preserve"> PROPER(_xlfn.CONCAT(Table13[[#This Row],[Title]]," ",Table13[[#This Row],[First Name]]," ",Table13[[#This Row],[Last Name]]))</f>
        <v>Mr Victor Beltran</v>
      </c>
      <c r="H710" t="str">
        <f t="shared" si="22"/>
        <v>Mr V.Beltran</v>
      </c>
      <c r="I710" t="str">
        <f t="shared" si="23"/>
        <v>M</v>
      </c>
    </row>
    <row r="711" spans="1:9" x14ac:dyDescent="0.3">
      <c r="A711">
        <v>708</v>
      </c>
      <c r="B711" t="s">
        <v>2544</v>
      </c>
      <c r="C711" t="s">
        <v>265</v>
      </c>
      <c r="D711" t="s">
        <v>2353</v>
      </c>
      <c r="E711" t="str">
        <f>Table1[[#This Row],[Abbreviations]]</f>
        <v>Parkdale Road</v>
      </c>
      <c r="F711" t="s">
        <v>2546</v>
      </c>
      <c r="G711" t="str">
        <f xml:space="preserve"> PROPER(_xlfn.CONCAT(Table13[[#This Row],[Title]]," ",Table13[[#This Row],[First Name]]," ",Table13[[#This Row],[Last Name]]))</f>
        <v>Mr Arnoldo Abel</v>
      </c>
      <c r="H711" t="str">
        <f t="shared" si="22"/>
        <v>Mr A.Abel</v>
      </c>
      <c r="I711" t="str">
        <f t="shared" si="23"/>
        <v>M</v>
      </c>
    </row>
    <row r="712" spans="1:9" x14ac:dyDescent="0.3">
      <c r="A712">
        <v>709</v>
      </c>
      <c r="B712" t="s">
        <v>2154</v>
      </c>
      <c r="C712" t="s">
        <v>2268</v>
      </c>
      <c r="D712" t="s">
        <v>2353</v>
      </c>
      <c r="E712" t="str">
        <f>Table1[[#This Row],[Abbreviations]]</f>
        <v>East Place</v>
      </c>
      <c r="F712" t="s">
        <v>737</v>
      </c>
      <c r="G712" t="str">
        <f xml:space="preserve"> PROPER(_xlfn.CONCAT(Table13[[#This Row],[Title]]," ",Table13[[#This Row],[First Name]]," ",Table13[[#This Row],[Last Name]]))</f>
        <v>Mr Dewitt Bruce</v>
      </c>
      <c r="H712" t="str">
        <f t="shared" si="22"/>
        <v>Mr D.Bruce</v>
      </c>
      <c r="I712" t="str">
        <f t="shared" si="23"/>
        <v>M</v>
      </c>
    </row>
    <row r="713" spans="1:9" x14ac:dyDescent="0.3">
      <c r="A713">
        <v>710</v>
      </c>
      <c r="B713" t="s">
        <v>2548</v>
      </c>
      <c r="C713" t="s">
        <v>2087</v>
      </c>
      <c r="D713" t="s">
        <v>2353</v>
      </c>
      <c r="E713" t="str">
        <f>Table1[[#This Row],[Abbreviations]]</f>
        <v>Leeson Road</v>
      </c>
      <c r="F713" t="s">
        <v>1167</v>
      </c>
      <c r="G713" t="str">
        <f xml:space="preserve"> PROPER(_xlfn.CONCAT(Table13[[#This Row],[Title]]," ",Table13[[#This Row],[First Name]]," ",Table13[[#This Row],[Last Name]]))</f>
        <v>Mr Louis Skinner</v>
      </c>
      <c r="H713" t="str">
        <f t="shared" si="22"/>
        <v>Mr L.Skinner</v>
      </c>
      <c r="I713" t="str">
        <f t="shared" si="23"/>
        <v>M</v>
      </c>
    </row>
    <row r="714" spans="1:9" x14ac:dyDescent="0.3">
      <c r="A714">
        <v>711</v>
      </c>
      <c r="B714" t="s">
        <v>2550</v>
      </c>
      <c r="C714" t="s">
        <v>691</v>
      </c>
      <c r="D714" t="s">
        <v>55</v>
      </c>
      <c r="E714" t="str">
        <f>Table1[[#This Row],[Abbreviations]]</f>
        <v>Findon Close</v>
      </c>
      <c r="F714" t="s">
        <v>484</v>
      </c>
      <c r="G714" t="str">
        <f xml:space="preserve"> PROPER(_xlfn.CONCAT(Table13[[#This Row],[Title]]," ",Table13[[#This Row],[First Name]]," ",Table13[[#This Row],[Last Name]]))</f>
        <v>Prof Scottie Delaney</v>
      </c>
      <c r="H714" t="str">
        <f t="shared" si="22"/>
        <v>Prof S.Delaney</v>
      </c>
      <c r="I714" t="str">
        <f t="shared" si="23"/>
        <v>F</v>
      </c>
    </row>
    <row r="715" spans="1:9" x14ac:dyDescent="0.3">
      <c r="A715">
        <v>712</v>
      </c>
      <c r="B715" t="s">
        <v>2552</v>
      </c>
      <c r="C715" t="s">
        <v>2553</v>
      </c>
      <c r="D715" t="s">
        <v>2353</v>
      </c>
      <c r="E715" t="str">
        <f>Table1[[#This Row],[Abbreviations]]</f>
        <v>Rockhampton Road</v>
      </c>
      <c r="F715" t="s">
        <v>148</v>
      </c>
      <c r="G715" t="str">
        <f xml:space="preserve"> PROPER(_xlfn.CONCAT(Table13[[#This Row],[Title]]," ",Table13[[#This Row],[First Name]]," ",Table13[[#This Row],[Last Name]]))</f>
        <v>Mr Felipe Inman</v>
      </c>
      <c r="H715" t="str">
        <f t="shared" si="22"/>
        <v>Mr F.Inman</v>
      </c>
      <c r="I715" t="str">
        <f t="shared" si="23"/>
        <v>M</v>
      </c>
    </row>
    <row r="716" spans="1:9" x14ac:dyDescent="0.3">
      <c r="A716">
        <v>713</v>
      </c>
      <c r="B716" t="s">
        <v>2554</v>
      </c>
      <c r="C716" t="s">
        <v>2555</v>
      </c>
      <c r="D716" t="s">
        <v>2353</v>
      </c>
      <c r="E716" t="str">
        <f>Table1[[#This Row],[Abbreviations]]</f>
        <v>Francis Court</v>
      </c>
      <c r="F716" t="s">
        <v>2177</v>
      </c>
      <c r="G716" t="str">
        <f xml:space="preserve"> PROPER(_xlfn.CONCAT(Table13[[#This Row],[Title]]," ",Table13[[#This Row],[First Name]]," ",Table13[[#This Row],[Last Name]]))</f>
        <v>Mr Domenic Reed</v>
      </c>
      <c r="H716" t="str">
        <f t="shared" si="22"/>
        <v>Mr D.Reed</v>
      </c>
      <c r="I716" t="str">
        <f t="shared" si="23"/>
        <v>M</v>
      </c>
    </row>
    <row r="717" spans="1:9" x14ac:dyDescent="0.3">
      <c r="A717">
        <v>714</v>
      </c>
      <c r="B717" t="s">
        <v>2557</v>
      </c>
      <c r="C717" t="s">
        <v>2558</v>
      </c>
      <c r="D717" t="s">
        <v>2469</v>
      </c>
      <c r="E717" t="str">
        <f>Table1[[#This Row],[Abbreviations]]</f>
        <v>Beckett Street</v>
      </c>
      <c r="F717" t="s">
        <v>2240</v>
      </c>
      <c r="G717" t="str">
        <f xml:space="preserve"> PROPER(_xlfn.CONCAT(Table13[[#This Row],[Title]]," ",Table13[[#This Row],[First Name]]," ",Table13[[#This Row],[Last Name]]))</f>
        <v>Rev Malcolm Mahoney</v>
      </c>
      <c r="H717" t="str">
        <f t="shared" si="22"/>
        <v>Rev M.Mahoney</v>
      </c>
      <c r="I717" t="str">
        <f t="shared" si="23"/>
        <v>F</v>
      </c>
    </row>
    <row r="718" spans="1:9" x14ac:dyDescent="0.3">
      <c r="A718">
        <v>715</v>
      </c>
      <c r="B718" t="s">
        <v>2560</v>
      </c>
      <c r="C718" t="s">
        <v>2561</v>
      </c>
      <c r="D718" t="s">
        <v>2353</v>
      </c>
      <c r="E718" t="str">
        <f>Table1[[#This Row],[Abbreviations]]</f>
        <v>Leaf Grove</v>
      </c>
      <c r="F718" t="s">
        <v>373</v>
      </c>
      <c r="G718" t="str">
        <f xml:space="preserve"> PROPER(_xlfn.CONCAT(Table13[[#This Row],[Title]]," ",Table13[[#This Row],[First Name]]," ",Table13[[#This Row],[Last Name]]))</f>
        <v>Mr Emil Lund</v>
      </c>
      <c r="H718" t="str">
        <f t="shared" si="22"/>
        <v>Mr E.Lund</v>
      </c>
      <c r="I718" t="str">
        <f t="shared" si="23"/>
        <v>M</v>
      </c>
    </row>
    <row r="719" spans="1:9" x14ac:dyDescent="0.3">
      <c r="A719">
        <v>716</v>
      </c>
      <c r="B719" t="s">
        <v>1355</v>
      </c>
      <c r="C719" t="s">
        <v>2563</v>
      </c>
      <c r="D719" t="s">
        <v>2353</v>
      </c>
      <c r="E719" t="str">
        <f>Table1[[#This Row],[Abbreviations]]</f>
        <v>Knights Chambers</v>
      </c>
      <c r="F719" t="s">
        <v>2565</v>
      </c>
      <c r="G719" t="str">
        <f xml:space="preserve"> PROPER(_xlfn.CONCAT(Table13[[#This Row],[Title]]," ",Table13[[#This Row],[First Name]]," ",Table13[[#This Row],[Last Name]]))</f>
        <v>Mr Willard Booker</v>
      </c>
      <c r="H719" t="str">
        <f t="shared" si="22"/>
        <v>Mr W.Booker</v>
      </c>
      <c r="I719" t="str">
        <f t="shared" si="23"/>
        <v>M</v>
      </c>
    </row>
    <row r="720" spans="1:9" x14ac:dyDescent="0.3">
      <c r="A720">
        <v>717</v>
      </c>
      <c r="B720" t="s">
        <v>2566</v>
      </c>
      <c r="C720" t="s">
        <v>2095</v>
      </c>
      <c r="D720" t="s">
        <v>2353</v>
      </c>
      <c r="E720" t="str">
        <f>Table1[[#This Row],[Abbreviations]]</f>
        <v>Vine Place</v>
      </c>
      <c r="F720" t="s">
        <v>669</v>
      </c>
      <c r="G720" t="str">
        <f xml:space="preserve"> PROPER(_xlfn.CONCAT(Table13[[#This Row],[Title]]," ",Table13[[#This Row],[First Name]]," ",Table13[[#This Row],[Last Name]]))</f>
        <v>Mr Alejandro Harding</v>
      </c>
      <c r="H720" t="str">
        <f t="shared" si="22"/>
        <v>Mr A.Harding</v>
      </c>
      <c r="I720" t="str">
        <f t="shared" si="23"/>
        <v>M</v>
      </c>
    </row>
    <row r="721" spans="1:9" x14ac:dyDescent="0.3">
      <c r="A721">
        <v>718</v>
      </c>
      <c r="B721" t="s">
        <v>2459</v>
      </c>
      <c r="C721" t="s">
        <v>2568</v>
      </c>
      <c r="D721" t="s">
        <v>2353</v>
      </c>
      <c r="E721" t="str">
        <f>Table1[[#This Row],[Abbreviations]]</f>
        <v>Shere Road</v>
      </c>
      <c r="F721" t="s">
        <v>2570</v>
      </c>
      <c r="G721" t="str">
        <f xml:space="preserve"> PROPER(_xlfn.CONCAT(Table13[[#This Row],[Title]]," ",Table13[[#This Row],[First Name]]," ",Table13[[#This Row],[Last Name]]))</f>
        <v>Mr Brain Clifton</v>
      </c>
      <c r="H721" t="str">
        <f t="shared" si="22"/>
        <v>Mr B.CLIFTON</v>
      </c>
      <c r="I721" t="str">
        <f t="shared" si="23"/>
        <v>M</v>
      </c>
    </row>
    <row r="722" spans="1:9" x14ac:dyDescent="0.3">
      <c r="A722">
        <v>719</v>
      </c>
      <c r="B722" t="s">
        <v>2571</v>
      </c>
      <c r="C722" t="s">
        <v>415</v>
      </c>
      <c r="D722" t="s">
        <v>2353</v>
      </c>
      <c r="E722" t="str">
        <f>Table1[[#This Row],[Abbreviations]]</f>
        <v>Taunton Avenue</v>
      </c>
      <c r="F722" t="s">
        <v>2573</v>
      </c>
      <c r="G722" t="str">
        <f xml:space="preserve"> PROPER(_xlfn.CONCAT(Table13[[#This Row],[Title]]," ",Table13[[#This Row],[First Name]]," ",Table13[[#This Row],[Last Name]]))</f>
        <v>Mr Margarito Osborne</v>
      </c>
      <c r="H722" t="str">
        <f t="shared" si="22"/>
        <v>Mr M.Osborne</v>
      </c>
      <c r="I722" t="str">
        <f t="shared" si="23"/>
        <v>M</v>
      </c>
    </row>
    <row r="723" spans="1:9" x14ac:dyDescent="0.3">
      <c r="A723">
        <v>720</v>
      </c>
      <c r="B723" t="s">
        <v>2574</v>
      </c>
      <c r="C723" t="s">
        <v>2575</v>
      </c>
      <c r="D723" t="s">
        <v>2353</v>
      </c>
      <c r="E723" t="str">
        <f>Table1[[#This Row],[Abbreviations]]</f>
        <v>Sturdys Cottage</v>
      </c>
      <c r="F723" t="s">
        <v>1867</v>
      </c>
      <c r="G723" t="str">
        <f xml:space="preserve"> PROPER(_xlfn.CONCAT(Table13[[#This Row],[Title]]," ",Table13[[#This Row],[First Name]]," ",Table13[[#This Row],[Last Name]]))</f>
        <v>Mr Gerardo Stokes</v>
      </c>
      <c r="H723" t="str">
        <f t="shared" si="22"/>
        <v>Mr G.Stokes</v>
      </c>
      <c r="I723" t="str">
        <f t="shared" si="23"/>
        <v>M</v>
      </c>
    </row>
    <row r="724" spans="1:9" x14ac:dyDescent="0.3">
      <c r="A724">
        <v>721</v>
      </c>
      <c r="B724" t="s">
        <v>166</v>
      </c>
      <c r="C724" t="s">
        <v>2091</v>
      </c>
      <c r="D724" t="s">
        <v>2353</v>
      </c>
      <c r="E724" t="str">
        <f>Table1[[#This Row],[Abbreviations]]</f>
        <v>Memess Path</v>
      </c>
      <c r="F724" t="s">
        <v>640</v>
      </c>
      <c r="G724" t="str">
        <f xml:space="preserve"> PROPER(_xlfn.CONCAT(Table13[[#This Row],[Title]]," ",Table13[[#This Row],[First Name]]," ",Table13[[#This Row],[Last Name]]))</f>
        <v>Mr Joseph Cornett</v>
      </c>
      <c r="H724" t="str">
        <f t="shared" si="22"/>
        <v>Mr J.Cornett</v>
      </c>
      <c r="I724" t="str">
        <f t="shared" si="23"/>
        <v>M</v>
      </c>
    </row>
    <row r="725" spans="1:9" x14ac:dyDescent="0.3">
      <c r="A725">
        <v>722</v>
      </c>
      <c r="B725" t="s">
        <v>2578</v>
      </c>
      <c r="C725" t="s">
        <v>2579</v>
      </c>
      <c r="D725" t="s">
        <v>2353</v>
      </c>
      <c r="E725" t="str">
        <f>Table1[[#This Row],[Abbreviations]]</f>
        <v>Lower Woolwich</v>
      </c>
      <c r="F725" t="s">
        <v>2581</v>
      </c>
      <c r="G725" t="str">
        <f xml:space="preserve"> PROPER(_xlfn.CONCAT(Table13[[#This Row],[Title]]," ",Table13[[#This Row],[First Name]]," ",Table13[[#This Row],[Last Name]]))</f>
        <v>Mr Walker Cormier</v>
      </c>
      <c r="H725" t="str">
        <f t="shared" si="22"/>
        <v>Mr W.Cormier</v>
      </c>
      <c r="I725" t="str">
        <f t="shared" si="23"/>
        <v>M</v>
      </c>
    </row>
    <row r="726" spans="1:9" x14ac:dyDescent="0.3">
      <c r="A726">
        <v>723</v>
      </c>
      <c r="B726" t="s">
        <v>2582</v>
      </c>
      <c r="C726" t="s">
        <v>2583</v>
      </c>
      <c r="D726" t="s">
        <v>2353</v>
      </c>
      <c r="E726" t="str">
        <f>Table1[[#This Row],[Abbreviations]]</f>
        <v>Doctor Street</v>
      </c>
      <c r="F726" t="s">
        <v>2026</v>
      </c>
      <c r="G726" t="str">
        <f xml:space="preserve"> PROPER(_xlfn.CONCAT(Table13[[#This Row],[Title]]," ",Table13[[#This Row],[First Name]]," ",Table13[[#This Row],[Last Name]]))</f>
        <v>Mr Olen Pugh</v>
      </c>
      <c r="H726" t="str">
        <f t="shared" si="22"/>
        <v>Mr O.Pugh</v>
      </c>
      <c r="I726" t="str">
        <f t="shared" si="23"/>
        <v>M</v>
      </c>
    </row>
    <row r="727" spans="1:9" x14ac:dyDescent="0.3">
      <c r="A727">
        <v>724</v>
      </c>
      <c r="B727" t="s">
        <v>210</v>
      </c>
      <c r="C727" t="s">
        <v>2585</v>
      </c>
      <c r="D727" t="s">
        <v>2353</v>
      </c>
      <c r="E727" t="str">
        <f>Table1[[#This Row],[Abbreviations]]</f>
        <v>Torrington Villas</v>
      </c>
      <c r="F727" t="s">
        <v>2587</v>
      </c>
      <c r="G727" t="str">
        <f xml:space="preserve"> PROPER(_xlfn.CONCAT(Table13[[#This Row],[Title]]," ",Table13[[#This Row],[First Name]]," ",Table13[[#This Row],[Last Name]]))</f>
        <v>Mr Dannie Herrera</v>
      </c>
      <c r="H727" t="str">
        <f t="shared" si="22"/>
        <v>Mr D.Herrera</v>
      </c>
      <c r="I727" t="str">
        <f t="shared" si="23"/>
        <v>M</v>
      </c>
    </row>
    <row r="728" spans="1:9" x14ac:dyDescent="0.3">
      <c r="A728">
        <v>725</v>
      </c>
      <c r="B728" t="s">
        <v>2588</v>
      </c>
      <c r="C728" t="s">
        <v>1785</v>
      </c>
      <c r="D728" t="s">
        <v>2353</v>
      </c>
      <c r="E728" t="str">
        <f>Table1[[#This Row],[Abbreviations]]</f>
        <v>Appach Road</v>
      </c>
      <c r="F728" t="s">
        <v>713</v>
      </c>
      <c r="G728" t="str">
        <f xml:space="preserve"> PROPER(_xlfn.CONCAT(Table13[[#This Row],[Title]]," ",Table13[[#This Row],[First Name]]," ",Table13[[#This Row],[Last Name]]))</f>
        <v>Mr Colby Hopper</v>
      </c>
      <c r="H728" t="str">
        <f t="shared" si="22"/>
        <v>Mr C.Hopper</v>
      </c>
      <c r="I728" t="str">
        <f t="shared" si="23"/>
        <v>M</v>
      </c>
    </row>
    <row r="729" spans="1:9" x14ac:dyDescent="0.3">
      <c r="A729">
        <v>726</v>
      </c>
      <c r="B729" t="s">
        <v>2589</v>
      </c>
      <c r="C729" t="s">
        <v>2590</v>
      </c>
      <c r="D729" t="s">
        <v>2353</v>
      </c>
      <c r="E729" t="str">
        <f>Table1[[#This Row],[Abbreviations]]</f>
        <v>Buckmaster Road</v>
      </c>
      <c r="F729" t="s">
        <v>2592</v>
      </c>
      <c r="G729" t="str">
        <f xml:space="preserve"> PROPER(_xlfn.CONCAT(Table13[[#This Row],[Title]]," ",Table13[[#This Row],[First Name]]," ",Table13[[#This Row],[Last Name]]))</f>
        <v>Mr Quentin Lugo</v>
      </c>
      <c r="H729" t="str">
        <f t="shared" si="22"/>
        <v>Mr Q.Lugo</v>
      </c>
      <c r="I729" t="str">
        <f t="shared" si="23"/>
        <v>M</v>
      </c>
    </row>
    <row r="730" spans="1:9" x14ac:dyDescent="0.3">
      <c r="A730">
        <v>727</v>
      </c>
      <c r="B730" t="s">
        <v>2593</v>
      </c>
      <c r="C730" t="s">
        <v>2424</v>
      </c>
      <c r="D730" t="s">
        <v>2353</v>
      </c>
      <c r="E730" t="str">
        <f>Table1[[#This Row],[Abbreviations]]</f>
        <v>Julian Avenue</v>
      </c>
      <c r="F730" t="s">
        <v>2595</v>
      </c>
      <c r="G730" t="str">
        <f xml:space="preserve"> PROPER(_xlfn.CONCAT(Table13[[#This Row],[Title]]," ",Table13[[#This Row],[First Name]]," ",Table13[[#This Row],[Last Name]]))</f>
        <v>Mr David Spencer</v>
      </c>
      <c r="H730" t="str">
        <f t="shared" si="22"/>
        <v>Mr D.Spencer</v>
      </c>
      <c r="I730" t="str">
        <f t="shared" si="23"/>
        <v>M</v>
      </c>
    </row>
    <row r="731" spans="1:9" x14ac:dyDescent="0.3">
      <c r="A731">
        <v>728</v>
      </c>
      <c r="B731" t="s">
        <v>2596</v>
      </c>
      <c r="C731" t="s">
        <v>2597</v>
      </c>
      <c r="D731" t="s">
        <v>2353</v>
      </c>
      <c r="E731" t="str">
        <f>Table1[[#This Row],[Abbreviations]]</f>
        <v>Homer Street</v>
      </c>
      <c r="F731" t="s">
        <v>186</v>
      </c>
      <c r="G731" t="str">
        <f xml:space="preserve"> PROPER(_xlfn.CONCAT(Table13[[#This Row],[Title]]," ",Table13[[#This Row],[First Name]]," ",Table13[[#This Row],[Last Name]]))</f>
        <v>Mr Wayne Logan</v>
      </c>
      <c r="H731" t="str">
        <f t="shared" si="22"/>
        <v>Mr W.Logan</v>
      </c>
      <c r="I731" t="str">
        <f t="shared" si="23"/>
        <v>M</v>
      </c>
    </row>
    <row r="732" spans="1:9" x14ac:dyDescent="0.3">
      <c r="A732">
        <v>729</v>
      </c>
      <c r="B732" t="s">
        <v>2599</v>
      </c>
      <c r="C732" t="s">
        <v>158</v>
      </c>
      <c r="D732" t="s">
        <v>2353</v>
      </c>
      <c r="E732" t="str">
        <f>Table1[[#This Row],[Abbreviations]]</f>
        <v>Hardwicke Villas</v>
      </c>
      <c r="F732" t="s">
        <v>645</v>
      </c>
      <c r="G732" t="str">
        <f xml:space="preserve"> PROPER(_xlfn.CONCAT(Table13[[#This Row],[Title]]," ",Table13[[#This Row],[First Name]]," ",Table13[[#This Row],[Last Name]]))</f>
        <v>Mr Lauren Surname</v>
      </c>
      <c r="H732" t="str">
        <f t="shared" si="22"/>
        <v>Mr L.Surname</v>
      </c>
      <c r="I732" t="str">
        <f t="shared" si="23"/>
        <v>M</v>
      </c>
    </row>
    <row r="733" spans="1:9" x14ac:dyDescent="0.3">
      <c r="A733">
        <v>730</v>
      </c>
      <c r="B733" t="s">
        <v>2601</v>
      </c>
      <c r="C733" t="s">
        <v>2602</v>
      </c>
      <c r="D733" t="s">
        <v>2353</v>
      </c>
      <c r="E733" t="str">
        <f>Table1[[#This Row],[Abbreviations]]</f>
        <v>Ravensbury Road</v>
      </c>
      <c r="F733" t="s">
        <v>375</v>
      </c>
      <c r="G733" t="str">
        <f xml:space="preserve"> PROPER(_xlfn.CONCAT(Table13[[#This Row],[Title]]," ",Table13[[#This Row],[First Name]]," ",Table13[[#This Row],[Last Name]]))</f>
        <v>Mr Jordon Chambers</v>
      </c>
      <c r="H733" t="str">
        <f t="shared" si="22"/>
        <v>Mr J.Chambers</v>
      </c>
      <c r="I733" t="str">
        <f t="shared" si="23"/>
        <v>M</v>
      </c>
    </row>
    <row r="734" spans="1:9" x14ac:dyDescent="0.3">
      <c r="A734">
        <v>731</v>
      </c>
      <c r="B734" t="s">
        <v>2604</v>
      </c>
      <c r="C734" t="s">
        <v>2605</v>
      </c>
      <c r="D734" t="s">
        <v>2353</v>
      </c>
      <c r="E734" t="str">
        <f>Table1[[#This Row],[Abbreviations]]</f>
        <v>Messeter Place</v>
      </c>
      <c r="F734" t="s">
        <v>1571</v>
      </c>
      <c r="G734" t="str">
        <f xml:space="preserve"> PROPER(_xlfn.CONCAT(Table13[[#This Row],[Title]]," ",Table13[[#This Row],[First Name]]," ",Table13[[#This Row],[Last Name]]))</f>
        <v>Mr Arron Donahue</v>
      </c>
      <c r="H734" t="str">
        <f t="shared" si="22"/>
        <v>Mr A.Donahue</v>
      </c>
      <c r="I734" t="str">
        <f t="shared" si="23"/>
        <v>M</v>
      </c>
    </row>
    <row r="735" spans="1:9" x14ac:dyDescent="0.3">
      <c r="A735">
        <v>732</v>
      </c>
      <c r="B735" t="s">
        <v>2607</v>
      </c>
      <c r="C735" t="s">
        <v>2608</v>
      </c>
      <c r="D735" t="s">
        <v>2353</v>
      </c>
      <c r="E735" t="str">
        <f>Table1[[#This Row],[Abbreviations]]</f>
        <v>Luttrell Avenue</v>
      </c>
      <c r="F735" t="s">
        <v>1494</v>
      </c>
      <c r="G735" t="str">
        <f xml:space="preserve"> PROPER(_xlfn.CONCAT(Table13[[#This Row],[Title]]," ",Table13[[#This Row],[First Name]]," ",Table13[[#This Row],[Last Name]]))</f>
        <v>Mr Waylon Brady</v>
      </c>
      <c r="H735" t="str">
        <f t="shared" si="22"/>
        <v>Mr W.Brady</v>
      </c>
      <c r="I735" t="str">
        <f t="shared" si="23"/>
        <v>M</v>
      </c>
    </row>
    <row r="736" spans="1:9" x14ac:dyDescent="0.3">
      <c r="A736">
        <v>733</v>
      </c>
      <c r="B736" t="s">
        <v>2610</v>
      </c>
      <c r="C736" t="s">
        <v>2611</v>
      </c>
      <c r="D736" t="s">
        <v>2353</v>
      </c>
      <c r="E736" t="str">
        <f>Table1[[#This Row],[Abbreviations]]</f>
        <v>Blackett Street</v>
      </c>
      <c r="F736" t="s">
        <v>546</v>
      </c>
      <c r="G736" t="str">
        <f xml:space="preserve"> PROPER(_xlfn.CONCAT(Table13[[#This Row],[Title]]," ",Table13[[#This Row],[First Name]]," ",Table13[[#This Row],[Last Name]]))</f>
        <v>Mr Nestor Goldsmith</v>
      </c>
      <c r="H736" t="str">
        <f t="shared" si="22"/>
        <v>Mr N.Goldsmith</v>
      </c>
      <c r="I736" t="str">
        <f t="shared" si="23"/>
        <v>M</v>
      </c>
    </row>
    <row r="737" spans="1:9" x14ac:dyDescent="0.3">
      <c r="A737">
        <v>734</v>
      </c>
      <c r="B737" t="s">
        <v>2613</v>
      </c>
      <c r="C737" t="s">
        <v>123</v>
      </c>
      <c r="D737" t="s">
        <v>2353</v>
      </c>
      <c r="E737" t="str">
        <f>Table1[[#This Row],[Abbreviations]]</f>
        <v>Lyme Grove</v>
      </c>
      <c r="F737" t="s">
        <v>1305</v>
      </c>
      <c r="G737" t="str">
        <f xml:space="preserve"> PROPER(_xlfn.CONCAT(Table13[[#This Row],[Title]]," ",Table13[[#This Row],[First Name]]," ",Table13[[#This Row],[Last Name]]))</f>
        <v>Mr Otha Oneal</v>
      </c>
      <c r="H737" t="str">
        <f t="shared" si="22"/>
        <v>Mr O.Oneal</v>
      </c>
      <c r="I737" t="str">
        <f t="shared" si="23"/>
        <v>M</v>
      </c>
    </row>
    <row r="738" spans="1:9" x14ac:dyDescent="0.3">
      <c r="A738">
        <v>735</v>
      </c>
      <c r="B738" t="s">
        <v>2615</v>
      </c>
      <c r="C738" t="s">
        <v>2616</v>
      </c>
      <c r="D738" t="s">
        <v>2353</v>
      </c>
      <c r="E738" t="str">
        <f>Table1[[#This Row],[Abbreviations]]</f>
        <v>Leamington Villas</v>
      </c>
      <c r="F738" t="s">
        <v>838</v>
      </c>
      <c r="G738" t="str">
        <f xml:space="preserve"> PROPER(_xlfn.CONCAT(Table13[[#This Row],[Title]]," ",Table13[[#This Row],[First Name]]," ",Table13[[#This Row],[Last Name]]))</f>
        <v>Mr Chris Hanley</v>
      </c>
      <c r="H738" t="str">
        <f t="shared" si="22"/>
        <v>Mr C.Hanley</v>
      </c>
      <c r="I738" t="str">
        <f t="shared" si="23"/>
        <v>M</v>
      </c>
    </row>
    <row r="739" spans="1:9" x14ac:dyDescent="0.3">
      <c r="A739">
        <v>736</v>
      </c>
      <c r="B739" t="s">
        <v>2618</v>
      </c>
      <c r="C739" t="s">
        <v>2619</v>
      </c>
      <c r="D739" t="s">
        <v>2353</v>
      </c>
      <c r="E739" t="str">
        <f>Table1[[#This Row],[Abbreviations]]</f>
        <v>Waterfield Close</v>
      </c>
      <c r="F739" t="s">
        <v>537</v>
      </c>
      <c r="G739" t="str">
        <f xml:space="preserve"> PROPER(_xlfn.CONCAT(Table13[[#This Row],[Title]]," ",Table13[[#This Row],[First Name]]," ",Table13[[#This Row],[Last Name]]))</f>
        <v>Mr Jerome Lujan</v>
      </c>
      <c r="H739" t="str">
        <f t="shared" si="22"/>
        <v>Mr J.Lujan</v>
      </c>
      <c r="I739" t="str">
        <f t="shared" si="23"/>
        <v>M</v>
      </c>
    </row>
    <row r="740" spans="1:9" x14ac:dyDescent="0.3">
      <c r="A740">
        <v>737</v>
      </c>
      <c r="B740" t="s">
        <v>2486</v>
      </c>
      <c r="C740" t="s">
        <v>608</v>
      </c>
      <c r="D740" t="s">
        <v>2353</v>
      </c>
      <c r="E740" t="str">
        <f>Table1[[#This Row],[Abbreviations]]</f>
        <v>Vardens Road</v>
      </c>
      <c r="F740" t="s">
        <v>668</v>
      </c>
      <c r="G740" t="str">
        <f xml:space="preserve"> PROPER(_xlfn.CONCAT(Table13[[#This Row],[Title]]," ",Table13[[#This Row],[First Name]]," ",Table13[[#This Row],[Last Name]]))</f>
        <v>Mr Dominique Grubbs</v>
      </c>
      <c r="H740" t="str">
        <f t="shared" si="22"/>
        <v>Mr D.Grubbs</v>
      </c>
      <c r="I740" t="str">
        <f t="shared" si="23"/>
        <v>M</v>
      </c>
    </row>
    <row r="741" spans="1:9" x14ac:dyDescent="0.3">
      <c r="A741">
        <v>738</v>
      </c>
      <c r="B741" t="s">
        <v>2622</v>
      </c>
      <c r="C741" t="s">
        <v>629</v>
      </c>
      <c r="D741" t="s">
        <v>2353</v>
      </c>
      <c r="E741" t="str">
        <f>Table1[[#This Row],[Abbreviations]]</f>
        <v>Deepdene Road</v>
      </c>
      <c r="F741" t="s">
        <v>2624</v>
      </c>
      <c r="G741" t="str">
        <f xml:space="preserve"> PROPER(_xlfn.CONCAT(Table13[[#This Row],[Title]]," ",Table13[[#This Row],[First Name]]," ",Table13[[#This Row],[Last Name]]))</f>
        <v>Mr Maximo Mcdowell</v>
      </c>
      <c r="H741" t="str">
        <f t="shared" si="22"/>
        <v>Mr M.Mcdowell</v>
      </c>
      <c r="I741" t="str">
        <f t="shared" si="23"/>
        <v>M</v>
      </c>
    </row>
    <row r="742" spans="1:9" x14ac:dyDescent="0.3">
      <c r="A742">
        <v>739</v>
      </c>
      <c r="B742" t="s">
        <v>2625</v>
      </c>
      <c r="C742" t="s">
        <v>521</v>
      </c>
      <c r="D742" t="s">
        <v>2353</v>
      </c>
      <c r="E742" t="str">
        <f>Table1[[#This Row],[Abbreviations]]</f>
        <v>Kelfield Mews</v>
      </c>
      <c r="F742" t="s">
        <v>2627</v>
      </c>
      <c r="G742" t="str">
        <f xml:space="preserve"> PROPER(_xlfn.CONCAT(Table13[[#This Row],[Title]]," ",Table13[[#This Row],[First Name]]," ",Table13[[#This Row],[Last Name]]))</f>
        <v>Mr Hipolito Sanford</v>
      </c>
      <c r="H742" t="str">
        <f t="shared" si="22"/>
        <v>Mr H.Sanford</v>
      </c>
      <c r="I742" t="str">
        <f t="shared" si="23"/>
        <v>M</v>
      </c>
    </row>
    <row r="743" spans="1:9" x14ac:dyDescent="0.3">
      <c r="A743">
        <v>740</v>
      </c>
      <c r="B743" t="s">
        <v>2628</v>
      </c>
      <c r="C743" t="s">
        <v>2629</v>
      </c>
      <c r="D743" t="s">
        <v>318</v>
      </c>
      <c r="E743" t="str">
        <f>Table1[[#This Row],[Abbreviations]]</f>
        <v>Knightly Court</v>
      </c>
      <c r="F743" t="s">
        <v>2631</v>
      </c>
      <c r="G743" t="str">
        <f xml:space="preserve"> PROPER(_xlfn.CONCAT(Table13[[#This Row],[Title]]," ",Table13[[#This Row],[First Name]]," ",Table13[[#This Row],[Last Name]]))</f>
        <v>Dr Donovan Saldana</v>
      </c>
      <c r="H743" t="str">
        <f t="shared" si="22"/>
        <v>Dr D.Saldana</v>
      </c>
      <c r="I743" t="str">
        <f t="shared" si="23"/>
        <v>F</v>
      </c>
    </row>
    <row r="744" spans="1:9" x14ac:dyDescent="0.3">
      <c r="A744">
        <v>741</v>
      </c>
      <c r="B744" t="s">
        <v>2632</v>
      </c>
      <c r="C744" t="s">
        <v>2633</v>
      </c>
      <c r="D744" t="s">
        <v>2353</v>
      </c>
      <c r="E744" t="str">
        <f>Table1[[#This Row],[Abbreviations]]</f>
        <v>Theodore Road</v>
      </c>
      <c r="F744" t="s">
        <v>781</v>
      </c>
      <c r="G744" t="str">
        <f xml:space="preserve"> PROPER(_xlfn.CONCAT(Table13[[#This Row],[Title]]," ",Table13[[#This Row],[First Name]]," ",Table13[[#This Row],[Last Name]]))</f>
        <v>Mr Deandre Choi</v>
      </c>
      <c r="H744" t="str">
        <f t="shared" si="22"/>
        <v>Mr D.Choi</v>
      </c>
      <c r="I744" t="str">
        <f t="shared" si="23"/>
        <v>M</v>
      </c>
    </row>
    <row r="745" spans="1:9" x14ac:dyDescent="0.3">
      <c r="A745">
        <v>742</v>
      </c>
      <c r="B745" t="s">
        <v>2635</v>
      </c>
      <c r="C745" t="s">
        <v>2636</v>
      </c>
      <c r="D745" t="s">
        <v>2353</v>
      </c>
      <c r="E745" t="str">
        <f>Table1[[#This Row],[Abbreviations]]</f>
        <v>Grovehall Terrace</v>
      </c>
      <c r="F745" t="s">
        <v>2638</v>
      </c>
      <c r="G745" t="str">
        <f xml:space="preserve"> PROPER(_xlfn.CONCAT(Table13[[#This Row],[Title]]," ",Table13[[#This Row],[First Name]]," ",Table13[[#This Row],[Last Name]]))</f>
        <v>Mr Steve Bower</v>
      </c>
      <c r="H745" t="str">
        <f t="shared" si="22"/>
        <v>Mr S.Bower</v>
      </c>
      <c r="I745" t="str">
        <f t="shared" si="23"/>
        <v>M</v>
      </c>
    </row>
    <row r="746" spans="1:9" x14ac:dyDescent="0.3">
      <c r="A746">
        <v>743</v>
      </c>
      <c r="B746" t="s">
        <v>2639</v>
      </c>
      <c r="C746" t="s">
        <v>635</v>
      </c>
      <c r="D746" t="s">
        <v>2353</v>
      </c>
      <c r="E746" t="str">
        <f>Table1[[#This Row],[Abbreviations]]</f>
        <v>Lorrimore Street</v>
      </c>
      <c r="F746" t="s">
        <v>1454</v>
      </c>
      <c r="G746" t="str">
        <f xml:space="preserve"> PROPER(_xlfn.CONCAT(Table13[[#This Row],[Title]]," ",Table13[[#This Row],[First Name]]," ",Table13[[#This Row],[Last Name]]))</f>
        <v>Mr Albert Dougherty</v>
      </c>
      <c r="H746" t="str">
        <f t="shared" si="22"/>
        <v>Mr A.Dougherty</v>
      </c>
      <c r="I746" t="str">
        <f t="shared" si="23"/>
        <v>M</v>
      </c>
    </row>
    <row r="747" spans="1:9" x14ac:dyDescent="0.3">
      <c r="A747">
        <v>744</v>
      </c>
      <c r="B747" t="s">
        <v>2641</v>
      </c>
      <c r="C747" t="s">
        <v>2642</v>
      </c>
      <c r="D747" t="s">
        <v>2353</v>
      </c>
      <c r="E747" t="str">
        <f>Table1[[#This Row],[Abbreviations]]</f>
        <v>Tritton Street</v>
      </c>
      <c r="F747" t="s">
        <v>2033</v>
      </c>
      <c r="G747" t="str">
        <f xml:space="preserve"> PROPER(_xlfn.CONCAT(Table13[[#This Row],[Title]]," ",Table13[[#This Row],[First Name]]," ",Table13[[#This Row],[Last Name]]))</f>
        <v>Mr Agustin Schafer</v>
      </c>
      <c r="H747" t="str">
        <f t="shared" si="22"/>
        <v>Mr A.Schafer</v>
      </c>
      <c r="I747" t="str">
        <f t="shared" si="23"/>
        <v>M</v>
      </c>
    </row>
    <row r="748" spans="1:9" x14ac:dyDescent="0.3">
      <c r="A748">
        <v>745</v>
      </c>
      <c r="B748" t="s">
        <v>2644</v>
      </c>
      <c r="C748" t="s">
        <v>1029</v>
      </c>
      <c r="D748" t="s">
        <v>2353</v>
      </c>
      <c r="E748" t="str">
        <f>Table1[[#This Row],[Abbreviations]]</f>
        <v>Kingsmead Avenue</v>
      </c>
      <c r="F748" t="s">
        <v>1750</v>
      </c>
      <c r="G748" t="str">
        <f xml:space="preserve"> PROPER(_xlfn.CONCAT(Table13[[#This Row],[Title]]," ",Table13[[#This Row],[First Name]]," ",Table13[[#This Row],[Last Name]]))</f>
        <v>Mr Rodrick Moseley</v>
      </c>
      <c r="H748" t="str">
        <f t="shared" si="22"/>
        <v>Mr R.Moseley</v>
      </c>
      <c r="I748" t="str">
        <f t="shared" si="23"/>
        <v>M</v>
      </c>
    </row>
    <row r="749" spans="1:9" x14ac:dyDescent="0.3">
      <c r="A749">
        <v>746</v>
      </c>
      <c r="B749" t="s">
        <v>2646</v>
      </c>
      <c r="C749" t="s">
        <v>2647</v>
      </c>
      <c r="D749" t="s">
        <v>2353</v>
      </c>
      <c r="E749" t="str">
        <f>Table1[[#This Row],[Abbreviations]]</f>
        <v>Autumn Street</v>
      </c>
      <c r="F749" t="s">
        <v>2649</v>
      </c>
      <c r="G749" t="str">
        <f xml:space="preserve"> PROPER(_xlfn.CONCAT(Table13[[#This Row],[Title]]," ",Table13[[#This Row],[First Name]]," ",Table13[[#This Row],[Last Name]]))</f>
        <v>Mr Buster Snider</v>
      </c>
      <c r="H749" t="str">
        <f t="shared" si="22"/>
        <v>Mr B.Snider</v>
      </c>
      <c r="I749" t="str">
        <f t="shared" si="23"/>
        <v>M</v>
      </c>
    </row>
    <row r="750" spans="1:9" x14ac:dyDescent="0.3">
      <c r="A750">
        <v>747</v>
      </c>
      <c r="B750" t="s">
        <v>2650</v>
      </c>
      <c r="C750" t="s">
        <v>2480</v>
      </c>
      <c r="D750" t="s">
        <v>2353</v>
      </c>
      <c r="E750" t="str">
        <f>Table1[[#This Row],[Abbreviations]]</f>
        <v>Brompton Terrace</v>
      </c>
      <c r="F750" t="s">
        <v>448</v>
      </c>
      <c r="G750" t="str">
        <f xml:space="preserve"> PROPER(_xlfn.CONCAT(Table13[[#This Row],[Title]]," ",Table13[[#This Row],[First Name]]," ",Table13[[#This Row],[Last Name]]))</f>
        <v>Mr Orville Swift</v>
      </c>
      <c r="H750" t="str">
        <f t="shared" si="22"/>
        <v>Mr O.Swift</v>
      </c>
      <c r="I750" t="str">
        <f t="shared" si="23"/>
        <v>M</v>
      </c>
    </row>
    <row r="751" spans="1:9" x14ac:dyDescent="0.3">
      <c r="A751">
        <v>748</v>
      </c>
      <c r="B751" t="s">
        <v>2396</v>
      </c>
      <c r="C751" t="s">
        <v>517</v>
      </c>
      <c r="D751" t="s">
        <v>2353</v>
      </c>
      <c r="E751" t="str">
        <f>Table1[[#This Row],[Abbreviations]]</f>
        <v>West Row</v>
      </c>
      <c r="F751" t="s">
        <v>2653</v>
      </c>
      <c r="G751" t="str">
        <f xml:space="preserve"> PROPER(_xlfn.CONCAT(Table13[[#This Row],[Title]]," ",Table13[[#This Row],[First Name]]," ",Table13[[#This Row],[Last Name]]))</f>
        <v>Mr Jared Burroughs</v>
      </c>
      <c r="H751" t="str">
        <f t="shared" si="22"/>
        <v>Mr J.Burroughs</v>
      </c>
      <c r="I751" t="str">
        <f t="shared" si="23"/>
        <v>M</v>
      </c>
    </row>
    <row r="752" spans="1:9" x14ac:dyDescent="0.3">
      <c r="A752">
        <v>749</v>
      </c>
      <c r="B752" t="s">
        <v>1017</v>
      </c>
      <c r="C752" t="s">
        <v>2363</v>
      </c>
      <c r="D752" t="s">
        <v>2353</v>
      </c>
      <c r="E752" t="str">
        <f>Table1[[#This Row],[Abbreviations]]</f>
        <v>Hardens Manorway</v>
      </c>
      <c r="F752" t="s">
        <v>405</v>
      </c>
      <c r="G752" t="str">
        <f xml:space="preserve"> PROPER(_xlfn.CONCAT(Table13[[#This Row],[Title]]," ",Table13[[#This Row],[First Name]]," ",Table13[[#This Row],[Last Name]]))</f>
        <v>Mr Jefferson Bouchard</v>
      </c>
      <c r="H752" t="str">
        <f t="shared" si="22"/>
        <v>Mr J.Bouchard</v>
      </c>
      <c r="I752" t="str">
        <f t="shared" si="23"/>
        <v>M</v>
      </c>
    </row>
    <row r="753" spans="1:9" x14ac:dyDescent="0.3">
      <c r="A753">
        <v>750</v>
      </c>
      <c r="B753" t="s">
        <v>2486</v>
      </c>
      <c r="C753" t="s">
        <v>2655</v>
      </c>
      <c r="D753" t="s">
        <v>2353</v>
      </c>
      <c r="E753" t="str">
        <f>Table1[[#This Row],[Abbreviations]]</f>
        <v>Charles Grinling</v>
      </c>
      <c r="F753" t="s">
        <v>117</v>
      </c>
      <c r="G753" t="str">
        <f xml:space="preserve"> PROPER(_xlfn.CONCAT(Table13[[#This Row],[Title]]," ",Table13[[#This Row],[First Name]]," ",Table13[[#This Row],[Last Name]]))</f>
        <v>Mr Dominique Bush</v>
      </c>
      <c r="H753" t="str">
        <f t="shared" si="22"/>
        <v>Mr D.Bush</v>
      </c>
      <c r="I753" t="str">
        <f t="shared" si="23"/>
        <v>M</v>
      </c>
    </row>
    <row r="754" spans="1:9" x14ac:dyDescent="0.3">
      <c r="A754">
        <v>751</v>
      </c>
      <c r="B754" t="s">
        <v>2657</v>
      </c>
      <c r="C754" t="s">
        <v>2500</v>
      </c>
      <c r="D754" t="s">
        <v>2353</v>
      </c>
      <c r="E754" t="str">
        <f>Table1[[#This Row],[Abbreviations]]</f>
        <v>Haarlem Road</v>
      </c>
      <c r="F754" t="s">
        <v>662</v>
      </c>
      <c r="G754" t="str">
        <f xml:space="preserve"> PROPER(_xlfn.CONCAT(Table13[[#This Row],[Title]]," ",Table13[[#This Row],[First Name]]," ",Table13[[#This Row],[Last Name]]))</f>
        <v>Mr Stacey Shaw</v>
      </c>
      <c r="H754" t="str">
        <f t="shared" si="22"/>
        <v>Mr S.Shaw</v>
      </c>
      <c r="I754" t="str">
        <f t="shared" si="23"/>
        <v>M</v>
      </c>
    </row>
    <row r="755" spans="1:9" x14ac:dyDescent="0.3">
      <c r="A755">
        <v>752</v>
      </c>
      <c r="B755" t="s">
        <v>2659</v>
      </c>
      <c r="C755" t="s">
        <v>2660</v>
      </c>
      <c r="D755" t="s">
        <v>2353</v>
      </c>
      <c r="E755" t="str">
        <f>Table1[[#This Row],[Abbreviations]]</f>
        <v>Claybrook Close</v>
      </c>
      <c r="F755" t="s">
        <v>576</v>
      </c>
      <c r="G755" t="str">
        <f xml:space="preserve"> PROPER(_xlfn.CONCAT(Table13[[#This Row],[Title]]," ",Table13[[#This Row],[First Name]]," ",Table13[[#This Row],[Last Name]]))</f>
        <v>Mr Landon Berry</v>
      </c>
      <c r="H755" t="str">
        <f t="shared" si="22"/>
        <v>Mr L.Berry</v>
      </c>
      <c r="I755" t="str">
        <f t="shared" si="23"/>
        <v>M</v>
      </c>
    </row>
    <row r="756" spans="1:9" x14ac:dyDescent="0.3">
      <c r="A756">
        <v>753</v>
      </c>
      <c r="B756" t="s">
        <v>920</v>
      </c>
      <c r="C756" t="s">
        <v>2662</v>
      </c>
      <c r="D756" t="s">
        <v>2353</v>
      </c>
      <c r="E756" t="str">
        <f>Table1[[#This Row],[Abbreviations]]</f>
        <v>Sidney Cottages</v>
      </c>
      <c r="F756" t="s">
        <v>2664</v>
      </c>
      <c r="G756" t="str">
        <f xml:space="preserve"> PROPER(_xlfn.CONCAT(Table13[[#This Row],[Title]]," ",Table13[[#This Row],[First Name]]," ",Table13[[#This Row],[Last Name]]))</f>
        <v>Mr Gerry Blair</v>
      </c>
      <c r="H756" t="str">
        <f t="shared" si="22"/>
        <v>Mr G.Blair</v>
      </c>
      <c r="I756" t="str">
        <f t="shared" si="23"/>
        <v>M</v>
      </c>
    </row>
    <row r="757" spans="1:9" x14ac:dyDescent="0.3">
      <c r="A757">
        <v>754</v>
      </c>
      <c r="B757" t="s">
        <v>939</v>
      </c>
      <c r="C757" t="s">
        <v>2665</v>
      </c>
      <c r="D757" t="s">
        <v>2353</v>
      </c>
      <c r="E757" t="str">
        <f>Table1[[#This Row],[Abbreviations]]</f>
        <v>Darlington Place</v>
      </c>
      <c r="F757" t="s">
        <v>579</v>
      </c>
      <c r="G757" t="str">
        <f xml:space="preserve"> PROPER(_xlfn.CONCAT(Table13[[#This Row],[Title]]," ",Table13[[#This Row],[First Name]]," ",Table13[[#This Row],[Last Name]]))</f>
        <v>Mr Lynn Doty</v>
      </c>
      <c r="H757" t="str">
        <f t="shared" si="22"/>
        <v>Mr L.Doty</v>
      </c>
      <c r="I757" t="str">
        <f t="shared" si="23"/>
        <v>M</v>
      </c>
    </row>
    <row r="758" spans="1:9" x14ac:dyDescent="0.3">
      <c r="A758">
        <v>755</v>
      </c>
      <c r="B758" t="s">
        <v>380</v>
      </c>
      <c r="C758" t="s">
        <v>2667</v>
      </c>
      <c r="D758" t="s">
        <v>2353</v>
      </c>
      <c r="E758" t="str">
        <f>Table1[[#This Row],[Abbreviations]]</f>
        <v>West Drive</v>
      </c>
      <c r="F758" t="s">
        <v>2669</v>
      </c>
      <c r="G758" t="str">
        <f xml:space="preserve"> PROPER(_xlfn.CONCAT(Table13[[#This Row],[Title]]," ",Table13[[#This Row],[First Name]]," ",Table13[[#This Row],[Last Name]]))</f>
        <v>Mr Carson Holcomb</v>
      </c>
      <c r="H758" t="str">
        <f t="shared" si="22"/>
        <v>Mr C.Holcomb</v>
      </c>
      <c r="I758" t="str">
        <f t="shared" si="23"/>
        <v>M</v>
      </c>
    </row>
    <row r="759" spans="1:9" x14ac:dyDescent="0.3">
      <c r="A759">
        <v>756</v>
      </c>
      <c r="B759" t="s">
        <v>2670</v>
      </c>
      <c r="C759" t="s">
        <v>2671</v>
      </c>
      <c r="D759" t="s">
        <v>2353</v>
      </c>
      <c r="E759" t="str">
        <f>Table1[[#This Row],[Abbreviations]]</f>
        <v>Glongall Terrace</v>
      </c>
      <c r="F759" t="s">
        <v>512</v>
      </c>
      <c r="G759" t="str">
        <f xml:space="preserve"> PROPER(_xlfn.CONCAT(Table13[[#This Row],[Title]]," ",Table13[[#This Row],[First Name]]," ",Table13[[#This Row],[Last Name]]))</f>
        <v>Mr Rhett Melvin</v>
      </c>
      <c r="H759" t="str">
        <f t="shared" si="22"/>
        <v>Mr R.Melvin</v>
      </c>
      <c r="I759" t="str">
        <f t="shared" si="23"/>
        <v>M</v>
      </c>
    </row>
    <row r="760" spans="1:9" x14ac:dyDescent="0.3">
      <c r="A760">
        <v>757</v>
      </c>
      <c r="B760" t="s">
        <v>1078</v>
      </c>
      <c r="C760" t="s">
        <v>2673</v>
      </c>
      <c r="D760" t="s">
        <v>2353</v>
      </c>
      <c r="E760" t="str">
        <f>Table1[[#This Row],[Abbreviations]]</f>
        <v>Westcroft Mews</v>
      </c>
      <c r="F760" t="s">
        <v>1922</v>
      </c>
      <c r="G760" t="str">
        <f xml:space="preserve"> PROPER(_xlfn.CONCAT(Table13[[#This Row],[Title]]," ",Table13[[#This Row],[First Name]]," ",Table13[[#This Row],[Last Name]]))</f>
        <v>Mr Sydney Rock</v>
      </c>
      <c r="H760" t="str">
        <f t="shared" si="22"/>
        <v>Mr S.Rock</v>
      </c>
      <c r="I760" t="str">
        <f t="shared" si="23"/>
        <v>M</v>
      </c>
    </row>
    <row r="761" spans="1:9" x14ac:dyDescent="0.3">
      <c r="A761">
        <v>758</v>
      </c>
      <c r="B761" t="s">
        <v>2674</v>
      </c>
      <c r="C761" t="s">
        <v>265</v>
      </c>
      <c r="D761" t="s">
        <v>2353</v>
      </c>
      <c r="E761" t="str">
        <f>Table1[[#This Row],[Abbreviations]]</f>
        <v>Pancras Street</v>
      </c>
      <c r="F761" t="s">
        <v>510</v>
      </c>
      <c r="G761" t="str">
        <f xml:space="preserve"> PROPER(_xlfn.CONCAT(Table13[[#This Row],[Title]]," ",Table13[[#This Row],[First Name]]," ",Table13[[#This Row],[Last Name]]))</f>
        <v>Mr Lewis Abel</v>
      </c>
      <c r="H761" t="str">
        <f t="shared" si="22"/>
        <v>Mr L.Abel</v>
      </c>
      <c r="I761" t="str">
        <f t="shared" si="23"/>
        <v>M</v>
      </c>
    </row>
    <row r="762" spans="1:9" x14ac:dyDescent="0.3">
      <c r="A762">
        <v>759</v>
      </c>
      <c r="B762" t="s">
        <v>1340</v>
      </c>
      <c r="C762" t="s">
        <v>1238</v>
      </c>
      <c r="D762" t="s">
        <v>2353</v>
      </c>
      <c r="E762" t="str">
        <f>Table1[[#This Row],[Abbreviations]]</f>
        <v>Burston Villas</v>
      </c>
      <c r="F762" t="s">
        <v>2677</v>
      </c>
      <c r="G762" t="str">
        <f xml:space="preserve"> PROPER(_xlfn.CONCAT(Table13[[#This Row],[Title]]," ",Table13[[#This Row],[First Name]]," ",Table13[[#This Row],[Last Name]]))</f>
        <v>Mr Sheldon Langston</v>
      </c>
      <c r="H762" t="str">
        <f t="shared" si="22"/>
        <v>Mr S.Langston</v>
      </c>
      <c r="I762" t="str">
        <f t="shared" si="23"/>
        <v>M</v>
      </c>
    </row>
    <row r="763" spans="1:9" x14ac:dyDescent="0.3">
      <c r="A763">
        <v>760</v>
      </c>
      <c r="B763" t="s">
        <v>469</v>
      </c>
      <c r="C763" t="s">
        <v>1836</v>
      </c>
      <c r="D763" t="s">
        <v>2353</v>
      </c>
      <c r="E763" t="str">
        <f>Table1[[#This Row],[Abbreviations]]</f>
        <v>Virginia Stone</v>
      </c>
      <c r="F763" t="s">
        <v>376</v>
      </c>
      <c r="G763" t="str">
        <f xml:space="preserve"> PROPER(_xlfn.CONCAT(Table13[[#This Row],[Title]]," ",Table13[[#This Row],[First Name]]," ",Table13[[#This Row],[Last Name]]))</f>
        <v>Mr Shelton Kirk</v>
      </c>
      <c r="H763" t="str">
        <f t="shared" si="22"/>
        <v>Mr S.Kirk</v>
      </c>
      <c r="I763" t="str">
        <f t="shared" si="23"/>
        <v>M</v>
      </c>
    </row>
    <row r="764" spans="1:9" x14ac:dyDescent="0.3">
      <c r="A764">
        <v>761</v>
      </c>
      <c r="B764" t="s">
        <v>2679</v>
      </c>
      <c r="C764" t="s">
        <v>2680</v>
      </c>
      <c r="D764" t="s">
        <v>2353</v>
      </c>
      <c r="E764" t="str">
        <f>Table1[[#This Row],[Abbreviations]]</f>
        <v>Plum Lane</v>
      </c>
      <c r="F764" t="s">
        <v>1589</v>
      </c>
      <c r="G764" t="str">
        <f xml:space="preserve"> PROPER(_xlfn.CONCAT(Table13[[#This Row],[Title]]," ",Table13[[#This Row],[First Name]]," ",Table13[[#This Row],[Last Name]]))</f>
        <v>Mr Joan Rossi</v>
      </c>
      <c r="H764" t="str">
        <f t="shared" si="22"/>
        <v>Mr J.Rossi</v>
      </c>
      <c r="I764" t="str">
        <f t="shared" si="23"/>
        <v>M</v>
      </c>
    </row>
    <row r="765" spans="1:9" x14ac:dyDescent="0.3">
      <c r="A765">
        <v>762</v>
      </c>
      <c r="B765" t="s">
        <v>2682</v>
      </c>
      <c r="C765" t="s">
        <v>1185</v>
      </c>
      <c r="D765" t="s">
        <v>2353</v>
      </c>
      <c r="E765" t="str">
        <f>Table1[[#This Row],[Abbreviations]]</f>
        <v>Esmond Street</v>
      </c>
      <c r="F765" t="s">
        <v>707</v>
      </c>
      <c r="G765" t="str">
        <f xml:space="preserve"> PROPER(_xlfn.CONCAT(Table13[[#This Row],[Title]]," ",Table13[[#This Row],[First Name]]," ",Table13[[#This Row],[Last Name]]))</f>
        <v>Mr Fermin Henley</v>
      </c>
      <c r="H765" t="str">
        <f t="shared" si="22"/>
        <v>Mr F.Henley</v>
      </c>
      <c r="I765" t="str">
        <f t="shared" si="23"/>
        <v>M</v>
      </c>
    </row>
    <row r="766" spans="1:9" x14ac:dyDescent="0.3">
      <c r="A766">
        <v>763</v>
      </c>
      <c r="B766" t="s">
        <v>2684</v>
      </c>
      <c r="C766" t="s">
        <v>1105</v>
      </c>
      <c r="D766" t="s">
        <v>2353</v>
      </c>
      <c r="E766" t="str">
        <f>Table1[[#This Row],[Abbreviations]]</f>
        <v>Osnaburgh Street</v>
      </c>
      <c r="F766" t="s">
        <v>2686</v>
      </c>
      <c r="G766" t="str">
        <f xml:space="preserve"> PROPER(_xlfn.CONCAT(Table13[[#This Row],[Title]]," ",Table13[[#This Row],[First Name]]," ",Table13[[#This Row],[Last Name]]))</f>
        <v>Mr Kim Lancaster</v>
      </c>
      <c r="H766" t="str">
        <f t="shared" si="22"/>
        <v>Mr K.Lancaster</v>
      </c>
      <c r="I766" t="str">
        <f t="shared" si="23"/>
        <v>M</v>
      </c>
    </row>
    <row r="767" spans="1:9" x14ac:dyDescent="0.3">
      <c r="A767">
        <v>764</v>
      </c>
      <c r="B767" t="s">
        <v>2687</v>
      </c>
      <c r="C767" t="s">
        <v>2688</v>
      </c>
      <c r="D767" t="s">
        <v>2353</v>
      </c>
      <c r="E767" t="str">
        <f>Table1[[#This Row],[Abbreviations]]</f>
        <v>Kirby Grove</v>
      </c>
      <c r="F767" t="s">
        <v>2689</v>
      </c>
      <c r="G767" t="str">
        <f xml:space="preserve"> PROPER(_xlfn.CONCAT(Table13[[#This Row],[Title]]," ",Table13[[#This Row],[First Name]]," ",Table13[[#This Row],[Last Name]]))</f>
        <v>Mr Normand Delarosa</v>
      </c>
      <c r="H767" t="str">
        <f t="shared" si="22"/>
        <v>Mr N.Delarosa</v>
      </c>
      <c r="I767" t="str">
        <f t="shared" si="23"/>
        <v>M</v>
      </c>
    </row>
    <row r="768" spans="1:9" x14ac:dyDescent="0.3">
      <c r="A768">
        <v>765</v>
      </c>
      <c r="B768" t="s">
        <v>2690</v>
      </c>
      <c r="C768" t="s">
        <v>2691</v>
      </c>
      <c r="D768" t="s">
        <v>2353</v>
      </c>
      <c r="E768" t="str">
        <f>Table1[[#This Row],[Abbreviations]]</f>
        <v>Alcester Crescent</v>
      </c>
      <c r="F768" t="s">
        <v>2693</v>
      </c>
      <c r="G768" t="str">
        <f xml:space="preserve"> PROPER(_xlfn.CONCAT(Table13[[#This Row],[Title]]," ",Table13[[#This Row],[First Name]]," ",Table13[[#This Row],[Last Name]]))</f>
        <v>Mr Willard Rojas</v>
      </c>
      <c r="H768" t="str">
        <f t="shared" si="22"/>
        <v>Mr w.Rojas</v>
      </c>
      <c r="I768" t="str">
        <f t="shared" si="23"/>
        <v>M</v>
      </c>
    </row>
    <row r="769" spans="1:9" x14ac:dyDescent="0.3">
      <c r="A769">
        <v>766</v>
      </c>
      <c r="B769" t="s">
        <v>1526</v>
      </c>
      <c r="C769" t="s">
        <v>2694</v>
      </c>
      <c r="D769" t="s">
        <v>2353</v>
      </c>
      <c r="E769" t="str">
        <f>Table1[[#This Row],[Abbreviations]]</f>
        <v>Whittington Road</v>
      </c>
      <c r="F769" t="s">
        <v>587</v>
      </c>
      <c r="G769" t="str">
        <f xml:space="preserve"> PROPER(_xlfn.CONCAT(Table13[[#This Row],[Title]]," ",Table13[[#This Row],[First Name]]," ",Table13[[#This Row],[Last Name]]))</f>
        <v>Mr Stanley Lozano</v>
      </c>
      <c r="H769" t="str">
        <f t="shared" si="22"/>
        <v>Mr S.Lozano</v>
      </c>
      <c r="I769" t="str">
        <f t="shared" si="23"/>
        <v>M</v>
      </c>
    </row>
    <row r="770" spans="1:9" x14ac:dyDescent="0.3">
      <c r="A770">
        <v>767</v>
      </c>
      <c r="B770" t="s">
        <v>2696</v>
      </c>
      <c r="C770" t="s">
        <v>2697</v>
      </c>
      <c r="D770" t="s">
        <v>2353</v>
      </c>
      <c r="E770" t="str">
        <f>Table1[[#This Row],[Abbreviations]]</f>
        <v>Bishopsgate</v>
      </c>
      <c r="F770" t="s">
        <v>748</v>
      </c>
      <c r="G770" t="str">
        <f xml:space="preserve"> PROPER(_xlfn.CONCAT(Table13[[#This Row],[Title]]," ",Table13[[#This Row],[First Name]]," ",Table13[[#This Row],[Last Name]]))</f>
        <v>Mr Leon Gallegos</v>
      </c>
      <c r="H770" t="str">
        <f t="shared" si="22"/>
        <v>Mr l.Gallegos</v>
      </c>
      <c r="I770" t="str">
        <f t="shared" si="23"/>
        <v>M</v>
      </c>
    </row>
    <row r="771" spans="1:9" x14ac:dyDescent="0.3">
      <c r="A771">
        <v>768</v>
      </c>
      <c r="B771" t="s">
        <v>2698</v>
      </c>
      <c r="C771" t="s">
        <v>2699</v>
      </c>
      <c r="D771" t="s">
        <v>2353</v>
      </c>
      <c r="E771" t="str">
        <f>Table1[[#This Row],[Abbreviations]]</f>
        <v>Holmshaw Close</v>
      </c>
      <c r="F771" t="s">
        <v>2701</v>
      </c>
      <c r="G771" t="str">
        <f xml:space="preserve"> PROPER(_xlfn.CONCAT(Table13[[#This Row],[Title]]," ",Table13[[#This Row],[First Name]]," ",Table13[[#This Row],[Last Name]]))</f>
        <v>Mr Lyndon Chappell</v>
      </c>
      <c r="H771" t="str">
        <f t="shared" si="22"/>
        <v>Mr L.Chappell</v>
      </c>
      <c r="I771" t="str">
        <f t="shared" si="23"/>
        <v>M</v>
      </c>
    </row>
    <row r="772" spans="1:9" x14ac:dyDescent="0.3">
      <c r="A772">
        <v>769</v>
      </c>
      <c r="B772" t="s">
        <v>2702</v>
      </c>
      <c r="C772" t="s">
        <v>265</v>
      </c>
      <c r="D772" t="s">
        <v>2353</v>
      </c>
      <c r="E772" t="str">
        <f>Table1[[#This Row],[Abbreviations]]</f>
        <v>Fryatt Road</v>
      </c>
      <c r="F772" t="s">
        <v>397</v>
      </c>
      <c r="G772" t="str">
        <f xml:space="preserve"> PROPER(_xlfn.CONCAT(Table13[[#This Row],[Title]]," ",Table13[[#This Row],[First Name]]," ",Table13[[#This Row],[Last Name]]))</f>
        <v>Mr Linwood Abel</v>
      </c>
      <c r="H772" t="str">
        <f t="shared" ref="H772:H835" si="24">_xlfn.CONCAT(D772)&amp;" "&amp; LEFT(B772,1)&amp;"."&amp;C772</f>
        <v>Mr L.Abel</v>
      </c>
      <c r="I772" t="str">
        <f t="shared" ref="I772:I835" si="25">IF(LEFT(D772,3)="Mr","M","F")</f>
        <v>M</v>
      </c>
    </row>
    <row r="773" spans="1:9" x14ac:dyDescent="0.3">
      <c r="A773">
        <v>770</v>
      </c>
      <c r="B773" t="s">
        <v>2704</v>
      </c>
      <c r="C773" t="s">
        <v>2705</v>
      </c>
      <c r="D773" t="s">
        <v>2353</v>
      </c>
      <c r="E773" t="str">
        <f>Table1[[#This Row],[Abbreviations]]</f>
        <v>Tollington Place</v>
      </c>
      <c r="F773" t="s">
        <v>673</v>
      </c>
      <c r="G773" t="str">
        <f xml:space="preserve"> PROPER(_xlfn.CONCAT(Table13[[#This Row],[Title]]," ",Table13[[#This Row],[First Name]]," ",Table13[[#This Row],[Last Name]]))</f>
        <v>Mr Gonzalo Ransom</v>
      </c>
      <c r="H773" t="str">
        <f t="shared" si="24"/>
        <v>Mr G.Ransom</v>
      </c>
      <c r="I773" t="str">
        <f t="shared" si="25"/>
        <v>M</v>
      </c>
    </row>
    <row r="774" spans="1:9" x14ac:dyDescent="0.3">
      <c r="A774">
        <v>771</v>
      </c>
      <c r="B774" t="s">
        <v>2707</v>
      </c>
      <c r="C774" t="s">
        <v>984</v>
      </c>
      <c r="D774" t="s">
        <v>2353</v>
      </c>
      <c r="E774" t="str">
        <f>Table1[[#This Row],[Abbreviations]]</f>
        <v>Cromwell Road</v>
      </c>
      <c r="F774" t="s">
        <v>2709</v>
      </c>
      <c r="G774" t="str">
        <f xml:space="preserve"> PROPER(_xlfn.CONCAT(Table13[[#This Row],[Title]]," ",Table13[[#This Row],[First Name]]," ",Table13[[#This Row],[Last Name]]))</f>
        <v>Mr Curt Field</v>
      </c>
      <c r="H774" t="str">
        <f t="shared" si="24"/>
        <v>Mr C.Field</v>
      </c>
      <c r="I774" t="str">
        <f t="shared" si="25"/>
        <v>M</v>
      </c>
    </row>
    <row r="775" spans="1:9" x14ac:dyDescent="0.3">
      <c r="A775">
        <v>772</v>
      </c>
      <c r="B775" t="s">
        <v>2710</v>
      </c>
      <c r="C775" t="s">
        <v>2393</v>
      </c>
      <c r="D775" t="s">
        <v>2353</v>
      </c>
      <c r="E775" t="str">
        <f>Table1[[#This Row],[Abbreviations]]</f>
        <v>Ferriby Close</v>
      </c>
      <c r="F775" t="s">
        <v>2712</v>
      </c>
      <c r="G775" t="str">
        <f xml:space="preserve"> PROPER(_xlfn.CONCAT(Table13[[#This Row],[Title]]," ",Table13[[#This Row],[First Name]]," ",Table13[[#This Row],[Last Name]]))</f>
        <v>Mr Luciano Shultz</v>
      </c>
      <c r="H775" t="str">
        <f t="shared" si="24"/>
        <v>Mr L.Shultz</v>
      </c>
      <c r="I775" t="str">
        <f t="shared" si="25"/>
        <v>M</v>
      </c>
    </row>
    <row r="776" spans="1:9" x14ac:dyDescent="0.3">
      <c r="A776">
        <v>773</v>
      </c>
      <c r="B776" t="s">
        <v>2713</v>
      </c>
      <c r="C776" t="s">
        <v>2714</v>
      </c>
      <c r="D776" t="s">
        <v>2353</v>
      </c>
      <c r="E776" t="str">
        <f>Table1[[#This Row],[Abbreviations]]</f>
        <v>Fitchet'S Court</v>
      </c>
      <c r="F776" t="s">
        <v>2177</v>
      </c>
      <c r="G776" t="str">
        <f xml:space="preserve"> PROPER(_xlfn.CONCAT(Table13[[#This Row],[Title]]," ",Table13[[#This Row],[First Name]]," ",Table13[[#This Row],[Last Name]]))</f>
        <v>Mr Tommie Buck</v>
      </c>
      <c r="H776" t="str">
        <f t="shared" si="24"/>
        <v>Mr T.Buck</v>
      </c>
      <c r="I776" t="str">
        <f t="shared" si="25"/>
        <v>M</v>
      </c>
    </row>
    <row r="777" spans="1:9" x14ac:dyDescent="0.3">
      <c r="A777">
        <v>774</v>
      </c>
      <c r="B777" t="s">
        <v>2449</v>
      </c>
      <c r="C777" t="s">
        <v>2716</v>
      </c>
      <c r="D777" t="s">
        <v>2353</v>
      </c>
      <c r="E777" t="str">
        <f>Table1[[#This Row],[Abbreviations]]</f>
        <v>Eswyn Road</v>
      </c>
      <c r="F777" t="s">
        <v>2718</v>
      </c>
      <c r="G777" t="str">
        <f xml:space="preserve"> PROPER(_xlfn.CONCAT(Table13[[#This Row],[Title]]," ",Table13[[#This Row],[First Name]]," ",Table13[[#This Row],[Last Name]]))</f>
        <v>Mr Prince Ervin</v>
      </c>
      <c r="H777" t="str">
        <f t="shared" si="24"/>
        <v>Mr P.Ervin</v>
      </c>
      <c r="I777" t="str">
        <f t="shared" si="25"/>
        <v>M</v>
      </c>
    </row>
    <row r="778" spans="1:9" x14ac:dyDescent="0.3">
      <c r="A778">
        <v>775</v>
      </c>
      <c r="B778" t="s">
        <v>2719</v>
      </c>
      <c r="C778" t="s">
        <v>2720</v>
      </c>
      <c r="D778" t="s">
        <v>2353</v>
      </c>
      <c r="E778" t="str">
        <f>Table1[[#This Row],[Abbreviations]]</f>
        <v>Southgate Business</v>
      </c>
      <c r="F778" t="s">
        <v>2722</v>
      </c>
      <c r="G778" t="str">
        <f xml:space="preserve"> PROPER(_xlfn.CONCAT(Table13[[#This Row],[Title]]," ",Table13[[#This Row],[First Name]]," ",Table13[[#This Row],[Last Name]]))</f>
        <v>Mr Monty Mccormick</v>
      </c>
      <c r="H778" t="str">
        <f t="shared" si="24"/>
        <v>Mr M.Mccormick</v>
      </c>
      <c r="I778" t="str">
        <f t="shared" si="25"/>
        <v>M</v>
      </c>
    </row>
    <row r="779" spans="1:9" x14ac:dyDescent="0.3">
      <c r="A779">
        <v>776</v>
      </c>
      <c r="B779" t="s">
        <v>845</v>
      </c>
      <c r="C779" t="s">
        <v>115</v>
      </c>
      <c r="D779" t="s">
        <v>2353</v>
      </c>
      <c r="E779" t="str">
        <f>Table1[[#This Row],[Abbreviations]]</f>
        <v>Grant Close</v>
      </c>
      <c r="F779" t="s">
        <v>199</v>
      </c>
      <c r="G779" t="str">
        <f xml:space="preserve"> PROPER(_xlfn.CONCAT(Table13[[#This Row],[Title]]," ",Table13[[#This Row],[First Name]]," ",Table13[[#This Row],[Last Name]]))</f>
        <v>Mr Cole Simons</v>
      </c>
      <c r="H779" t="str">
        <f t="shared" si="24"/>
        <v>Mr C.Simons</v>
      </c>
      <c r="I779" t="str">
        <f t="shared" si="25"/>
        <v>M</v>
      </c>
    </row>
    <row r="780" spans="1:9" x14ac:dyDescent="0.3">
      <c r="A780">
        <v>777</v>
      </c>
      <c r="B780" t="s">
        <v>2724</v>
      </c>
      <c r="C780" t="s">
        <v>2725</v>
      </c>
      <c r="D780" t="s">
        <v>2353</v>
      </c>
      <c r="E780" t="str">
        <f>Table1[[#This Row],[Abbreviations]]</f>
        <v>Brodlove Lane</v>
      </c>
      <c r="F780" t="s">
        <v>2727</v>
      </c>
      <c r="G780" t="str">
        <f xml:space="preserve"> PROPER(_xlfn.CONCAT(Table13[[#This Row],[Title]]," ",Table13[[#This Row],[First Name]]," ",Table13[[#This Row],[Last Name]]))</f>
        <v>Mr Jay Meeks</v>
      </c>
      <c r="H780" t="str">
        <f t="shared" si="24"/>
        <v>Mr J.Meeks</v>
      </c>
      <c r="I780" t="str">
        <f t="shared" si="25"/>
        <v>M</v>
      </c>
    </row>
    <row r="781" spans="1:9" x14ac:dyDescent="0.3">
      <c r="A781">
        <v>778</v>
      </c>
      <c r="B781" t="s">
        <v>2728</v>
      </c>
      <c r="C781" t="s">
        <v>1808</v>
      </c>
      <c r="D781" t="s">
        <v>2353</v>
      </c>
      <c r="E781" t="str">
        <f>Table1[[#This Row],[Abbreviations]]</f>
        <v>Trust Walk</v>
      </c>
      <c r="F781" t="s">
        <v>2592</v>
      </c>
      <c r="G781" t="str">
        <f xml:space="preserve"> PROPER(_xlfn.CONCAT(Table13[[#This Row],[Title]]," ",Table13[[#This Row],[First Name]]," ",Table13[[#This Row],[Last Name]]))</f>
        <v>Mr Francesco Potts</v>
      </c>
      <c r="H781" t="str">
        <f t="shared" si="24"/>
        <v>Mr F.Potts</v>
      </c>
      <c r="I781" t="str">
        <f t="shared" si="25"/>
        <v>M</v>
      </c>
    </row>
    <row r="782" spans="1:9" x14ac:dyDescent="0.3">
      <c r="A782">
        <v>779</v>
      </c>
      <c r="B782" t="s">
        <v>2730</v>
      </c>
      <c r="C782" t="s">
        <v>2731</v>
      </c>
      <c r="D782" t="s">
        <v>2353</v>
      </c>
      <c r="E782" t="str">
        <f>Table1[[#This Row],[Abbreviations]]</f>
        <v>Streathbourne Road</v>
      </c>
      <c r="F782" t="s">
        <v>502</v>
      </c>
      <c r="G782" t="str">
        <f xml:space="preserve"> PROPER(_xlfn.CONCAT(Table13[[#This Row],[Title]]," ",Table13[[#This Row],[First Name]]," ",Table13[[#This Row],[Last Name]]))</f>
        <v>Mr Aaron Clements</v>
      </c>
      <c r="H782" t="str">
        <f t="shared" si="24"/>
        <v>Mr A.Clements</v>
      </c>
      <c r="I782" t="str">
        <f t="shared" si="25"/>
        <v>M</v>
      </c>
    </row>
    <row r="783" spans="1:9" x14ac:dyDescent="0.3">
      <c r="A783">
        <v>780</v>
      </c>
      <c r="B783" t="s">
        <v>2381</v>
      </c>
      <c r="C783" t="s">
        <v>1561</v>
      </c>
      <c r="D783" t="s">
        <v>2353</v>
      </c>
      <c r="E783" t="str">
        <f>Table1[[#This Row],[Abbreviations]]</f>
        <v>Berrymans Lane</v>
      </c>
      <c r="F783" t="s">
        <v>2733</v>
      </c>
      <c r="G783" t="str">
        <f xml:space="preserve"> PROPER(_xlfn.CONCAT(Table13[[#This Row],[Title]]," ",Table13[[#This Row],[First Name]]," ",Table13[[#This Row],[Last Name]]))</f>
        <v>Mr Chas Nguyen</v>
      </c>
      <c r="H783" t="str">
        <f t="shared" si="24"/>
        <v>Mr C.Nguyen</v>
      </c>
      <c r="I783" t="str">
        <f t="shared" si="25"/>
        <v>M</v>
      </c>
    </row>
    <row r="784" spans="1:9" x14ac:dyDescent="0.3">
      <c r="A784">
        <v>781</v>
      </c>
      <c r="B784" t="s">
        <v>2187</v>
      </c>
      <c r="C784" t="s">
        <v>2734</v>
      </c>
      <c r="D784" t="s">
        <v>2353</v>
      </c>
      <c r="E784" t="str">
        <f>Table1[[#This Row],[Abbreviations]]</f>
        <v>Westfield Way</v>
      </c>
      <c r="F784" t="s">
        <v>2736</v>
      </c>
      <c r="G784" t="str">
        <f xml:space="preserve"> PROPER(_xlfn.CONCAT(Table13[[#This Row],[Title]]," ",Table13[[#This Row],[First Name]]," ",Table13[[#This Row],[Last Name]]))</f>
        <v>Mr Angelo Dailey</v>
      </c>
      <c r="H784" t="str">
        <f t="shared" si="24"/>
        <v>Mr A.Dailey</v>
      </c>
      <c r="I784" t="str">
        <f t="shared" si="25"/>
        <v>M</v>
      </c>
    </row>
    <row r="785" spans="1:9" x14ac:dyDescent="0.3">
      <c r="A785">
        <v>782</v>
      </c>
      <c r="B785" t="s">
        <v>2503</v>
      </c>
      <c r="C785" t="s">
        <v>173</v>
      </c>
      <c r="D785" t="s">
        <v>2353</v>
      </c>
      <c r="E785" t="str">
        <f>Table1[[#This Row],[Abbreviations]]</f>
        <v>Dryburgh Gardens</v>
      </c>
      <c r="F785" t="s">
        <v>2738</v>
      </c>
      <c r="G785" t="str">
        <f xml:space="preserve"> PROPER(_xlfn.CONCAT(Table13[[#This Row],[Title]]," ",Table13[[#This Row],[First Name]]," ",Table13[[#This Row],[Last Name]]))</f>
        <v>Mr Bradford Cullen</v>
      </c>
      <c r="H785" t="str">
        <f t="shared" si="24"/>
        <v>Mr B.Cullen</v>
      </c>
      <c r="I785" t="str">
        <f t="shared" si="25"/>
        <v>M</v>
      </c>
    </row>
    <row r="786" spans="1:9" x14ac:dyDescent="0.3">
      <c r="A786">
        <v>783</v>
      </c>
      <c r="B786" t="s">
        <v>2739</v>
      </c>
      <c r="C786" t="s">
        <v>2740</v>
      </c>
      <c r="D786" t="s">
        <v>2353</v>
      </c>
      <c r="E786" t="str">
        <f>Table1[[#This Row],[Abbreviations]]</f>
        <v>Cedars</v>
      </c>
      <c r="F786" t="s">
        <v>459</v>
      </c>
      <c r="G786" t="str">
        <f xml:space="preserve"> PROPER(_xlfn.CONCAT(Table13[[#This Row],[Title]]," ",Table13[[#This Row],[First Name]]," ",Table13[[#This Row],[Last Name]]))</f>
        <v>Mr Erin Mayes</v>
      </c>
      <c r="H786" t="str">
        <f t="shared" si="24"/>
        <v>Mr E.Mayes</v>
      </c>
      <c r="I786" t="str">
        <f t="shared" si="25"/>
        <v>M</v>
      </c>
    </row>
    <row r="787" spans="1:9" x14ac:dyDescent="0.3">
      <c r="A787">
        <v>784</v>
      </c>
      <c r="B787" t="s">
        <v>2713</v>
      </c>
      <c r="C787" t="s">
        <v>431</v>
      </c>
      <c r="D787" t="s">
        <v>2353</v>
      </c>
      <c r="E787" t="str">
        <f>Table1[[#This Row],[Abbreviations]]</f>
        <v>Lytcott Grove</v>
      </c>
      <c r="F787" t="s">
        <v>903</v>
      </c>
      <c r="G787" t="str">
        <f xml:space="preserve"> PROPER(_xlfn.CONCAT(Table13[[#This Row],[Title]]," ",Table13[[#This Row],[First Name]]," ",Table13[[#This Row],[Last Name]]))</f>
        <v>Mr Tommie Jaramillo</v>
      </c>
      <c r="H787" t="str">
        <f t="shared" si="24"/>
        <v>Mr T.Jaramillo</v>
      </c>
      <c r="I787" t="str">
        <f t="shared" si="25"/>
        <v>M</v>
      </c>
    </row>
    <row r="788" spans="1:9" x14ac:dyDescent="0.3">
      <c r="A788">
        <v>785</v>
      </c>
      <c r="B788" t="s">
        <v>2743</v>
      </c>
      <c r="C788" t="s">
        <v>2660</v>
      </c>
      <c r="D788" t="s">
        <v>2353</v>
      </c>
      <c r="E788" t="str">
        <f>Table1[[#This Row],[Abbreviations]]</f>
        <v>Northumberland Terrace</v>
      </c>
      <c r="F788" t="s">
        <v>1148</v>
      </c>
      <c r="G788" t="str">
        <f xml:space="preserve"> PROPER(_xlfn.CONCAT(Table13[[#This Row],[Title]]," ",Table13[[#This Row],[First Name]]," ",Table13[[#This Row],[Last Name]]))</f>
        <v>Mr Samual Berry</v>
      </c>
      <c r="H788" t="str">
        <f t="shared" si="24"/>
        <v>Mr S.Berry</v>
      </c>
      <c r="I788" t="str">
        <f t="shared" si="25"/>
        <v>M</v>
      </c>
    </row>
    <row r="789" spans="1:9" x14ac:dyDescent="0.3">
      <c r="A789">
        <v>786</v>
      </c>
      <c r="B789" t="s">
        <v>2745</v>
      </c>
      <c r="C789" t="s">
        <v>2746</v>
      </c>
      <c r="D789" t="s">
        <v>2353</v>
      </c>
      <c r="E789" t="str">
        <f>Table1[[#This Row],[Abbreviations]]</f>
        <v>Lancer Square</v>
      </c>
      <c r="F789" t="s">
        <v>2748</v>
      </c>
      <c r="G789" t="str">
        <f xml:space="preserve"> PROPER(_xlfn.CONCAT(Table13[[#This Row],[Title]]," ",Table13[[#This Row],[First Name]]," ",Table13[[#This Row],[Last Name]]))</f>
        <v>Mr Pete Hall</v>
      </c>
      <c r="H789" t="str">
        <f t="shared" si="24"/>
        <v>Mr P.Hall</v>
      </c>
      <c r="I789" t="str">
        <f t="shared" si="25"/>
        <v>M</v>
      </c>
    </row>
    <row r="790" spans="1:9" x14ac:dyDescent="0.3">
      <c r="A790">
        <v>787</v>
      </c>
      <c r="B790" t="s">
        <v>2749</v>
      </c>
      <c r="C790" t="s">
        <v>1752</v>
      </c>
      <c r="D790" t="s">
        <v>2353</v>
      </c>
      <c r="E790" t="str">
        <f>Table1[[#This Row],[Abbreviations]]</f>
        <v>Wesley Square</v>
      </c>
      <c r="F790" t="s">
        <v>413</v>
      </c>
      <c r="G790" t="str">
        <f xml:space="preserve"> PROPER(_xlfn.CONCAT(Table13[[#This Row],[Title]]," ",Table13[[#This Row],[First Name]]," ",Table13[[#This Row],[Last Name]]))</f>
        <v>Mr Cory Bergman</v>
      </c>
      <c r="H790" t="str">
        <f t="shared" si="24"/>
        <v>Mr C.Bergman</v>
      </c>
      <c r="I790" t="str">
        <f t="shared" si="25"/>
        <v>M</v>
      </c>
    </row>
    <row r="791" spans="1:9" x14ac:dyDescent="0.3">
      <c r="A791">
        <v>788</v>
      </c>
      <c r="B791" t="s">
        <v>2750</v>
      </c>
      <c r="C791" t="s">
        <v>2751</v>
      </c>
      <c r="D791" t="s">
        <v>2353</v>
      </c>
      <c r="E791" t="str">
        <f>Table1[[#This Row],[Abbreviations]]</f>
        <v>Countess Road</v>
      </c>
      <c r="F791" t="s">
        <v>754</v>
      </c>
      <c r="G791" t="str">
        <f xml:space="preserve"> PROPER(_xlfn.CONCAT(Table13[[#This Row],[Title]]," ",Table13[[#This Row],[First Name]]," ",Table13[[#This Row],[Last Name]]))</f>
        <v>Mr Ron Wilkerson</v>
      </c>
      <c r="H791" t="str">
        <f t="shared" si="24"/>
        <v>Mr R.Wilkerson</v>
      </c>
      <c r="I791" t="str">
        <f t="shared" si="25"/>
        <v>M</v>
      </c>
    </row>
    <row r="792" spans="1:9" x14ac:dyDescent="0.3">
      <c r="A792">
        <v>789</v>
      </c>
      <c r="B792" t="s">
        <v>1406</v>
      </c>
      <c r="C792" t="s">
        <v>2753</v>
      </c>
      <c r="D792" t="s">
        <v>2353</v>
      </c>
      <c r="E792" t="str">
        <f>Table1[[#This Row],[Abbreviations]]</f>
        <v>Bromells Buildings</v>
      </c>
      <c r="F792" t="s">
        <v>440</v>
      </c>
      <c r="G792" t="str">
        <f xml:space="preserve"> PROPER(_xlfn.CONCAT(Table13[[#This Row],[Title]]," ",Table13[[#This Row],[First Name]]," ",Table13[[#This Row],[Last Name]]))</f>
        <v>Mr Elliott Aguirre</v>
      </c>
      <c r="H792" t="str">
        <f t="shared" si="24"/>
        <v>Mr E.Aguirre</v>
      </c>
      <c r="I792" t="str">
        <f t="shared" si="25"/>
        <v>M</v>
      </c>
    </row>
    <row r="793" spans="1:9" x14ac:dyDescent="0.3">
      <c r="A793">
        <v>790</v>
      </c>
      <c r="B793" t="s">
        <v>2444</v>
      </c>
      <c r="C793" t="s">
        <v>2755</v>
      </c>
      <c r="D793" t="s">
        <v>2353</v>
      </c>
      <c r="E793" t="str">
        <f>Table1[[#This Row],[Abbreviations]]</f>
        <v>Nightingale Close</v>
      </c>
      <c r="F793" t="s">
        <v>967</v>
      </c>
      <c r="G793" t="str">
        <f xml:space="preserve"> PROPER(_xlfn.CONCAT(Table13[[#This Row],[Title]]," ",Table13[[#This Row],[First Name]]," ",Table13[[#This Row],[Last Name]]))</f>
        <v>Mr Jae Carver</v>
      </c>
      <c r="H793" t="str">
        <f t="shared" si="24"/>
        <v>Mr J.Carver</v>
      </c>
      <c r="I793" t="str">
        <f t="shared" si="25"/>
        <v>M</v>
      </c>
    </row>
    <row r="794" spans="1:9" x14ac:dyDescent="0.3">
      <c r="A794">
        <v>791</v>
      </c>
      <c r="B794" t="s">
        <v>2757</v>
      </c>
      <c r="C794" t="s">
        <v>637</v>
      </c>
      <c r="D794" t="s">
        <v>2353</v>
      </c>
      <c r="E794" t="str">
        <f>Table1[[#This Row],[Abbreviations]]</f>
        <v>Clifford Street</v>
      </c>
      <c r="F794" t="s">
        <v>428</v>
      </c>
      <c r="G794" t="str">
        <f xml:space="preserve"> PROPER(_xlfn.CONCAT(Table13[[#This Row],[Title]]," ",Table13[[#This Row],[First Name]]," ",Table13[[#This Row],[Last Name]]))</f>
        <v>Mr Mariano Noble</v>
      </c>
      <c r="H794" t="str">
        <f t="shared" si="24"/>
        <v>Mr M.Noble</v>
      </c>
      <c r="I794" t="str">
        <f t="shared" si="25"/>
        <v>M</v>
      </c>
    </row>
    <row r="795" spans="1:9" x14ac:dyDescent="0.3">
      <c r="A795">
        <v>792</v>
      </c>
      <c r="B795" t="s">
        <v>2759</v>
      </c>
      <c r="C795" t="s">
        <v>2760</v>
      </c>
      <c r="D795" t="s">
        <v>2353</v>
      </c>
      <c r="E795" t="str">
        <f>Table1[[#This Row],[Abbreviations]]</f>
        <v>Bridges Street</v>
      </c>
      <c r="F795" t="s">
        <v>2762</v>
      </c>
      <c r="G795" t="str">
        <f xml:space="preserve"> PROPER(_xlfn.CONCAT(Table13[[#This Row],[Title]]," ",Table13[[#This Row],[First Name]]," ",Table13[[#This Row],[Last Name]]))</f>
        <v>Mr Roscoe Cantu</v>
      </c>
      <c r="H795" t="str">
        <f t="shared" si="24"/>
        <v>Mr R.Cantu</v>
      </c>
      <c r="I795" t="str">
        <f t="shared" si="25"/>
        <v>M</v>
      </c>
    </row>
    <row r="796" spans="1:9" x14ac:dyDescent="0.3">
      <c r="A796">
        <v>793</v>
      </c>
      <c r="B796" t="s">
        <v>2763</v>
      </c>
      <c r="C796" t="s">
        <v>580</v>
      </c>
      <c r="D796" t="s">
        <v>2353</v>
      </c>
      <c r="E796" t="str">
        <f>Table1[[#This Row],[Abbreviations]]</f>
        <v>Stanswood Gardens</v>
      </c>
      <c r="F796" t="s">
        <v>2765</v>
      </c>
      <c r="G796" t="str">
        <f xml:space="preserve"> PROPER(_xlfn.CONCAT(Table13[[#This Row],[Title]]," ",Table13[[#This Row],[First Name]]," ",Table13[[#This Row],[Last Name]]))</f>
        <v>Mr Rey Drummond</v>
      </c>
      <c r="H796" t="str">
        <f t="shared" si="24"/>
        <v>Mr R.Drummond</v>
      </c>
      <c r="I796" t="str">
        <f t="shared" si="25"/>
        <v>M</v>
      </c>
    </row>
    <row r="797" spans="1:9" x14ac:dyDescent="0.3">
      <c r="A797">
        <v>794</v>
      </c>
      <c r="B797" t="s">
        <v>2766</v>
      </c>
      <c r="C797" t="s">
        <v>2767</v>
      </c>
      <c r="D797" t="s">
        <v>2353</v>
      </c>
      <c r="E797" t="str">
        <f>Table1[[#This Row],[Abbreviations]]</f>
        <v>Canal Wharf</v>
      </c>
      <c r="F797" t="s">
        <v>2769</v>
      </c>
      <c r="G797" t="str">
        <f xml:space="preserve"> PROPER(_xlfn.CONCAT(Table13[[#This Row],[Title]]," ",Table13[[#This Row],[First Name]]," ",Table13[[#This Row],[Last Name]]))</f>
        <v>Mr Kyle Dalton</v>
      </c>
      <c r="H797" t="str">
        <f t="shared" si="24"/>
        <v>Mr K.Dalton</v>
      </c>
      <c r="I797" t="str">
        <f t="shared" si="25"/>
        <v>M</v>
      </c>
    </row>
    <row r="798" spans="1:9" x14ac:dyDescent="0.3">
      <c r="A798">
        <v>795</v>
      </c>
      <c r="B798" t="s">
        <v>2770</v>
      </c>
      <c r="C798" t="s">
        <v>2771</v>
      </c>
      <c r="D798" t="s">
        <v>2353</v>
      </c>
      <c r="E798" t="str">
        <f>Table1[[#This Row],[Abbreviations]]</f>
        <v>Culford Mews</v>
      </c>
      <c r="F798" t="s">
        <v>2773</v>
      </c>
      <c r="G798" t="str">
        <f xml:space="preserve"> PROPER(_xlfn.CONCAT(Table13[[#This Row],[Title]]," ",Table13[[#This Row],[First Name]]," ",Table13[[#This Row],[Last Name]]))</f>
        <v>Mr Preston Moser</v>
      </c>
      <c r="H798" t="str">
        <f t="shared" si="24"/>
        <v>Mr P.Moser</v>
      </c>
      <c r="I798" t="str">
        <f t="shared" si="25"/>
        <v>M</v>
      </c>
    </row>
    <row r="799" spans="1:9" x14ac:dyDescent="0.3">
      <c r="A799">
        <v>796</v>
      </c>
      <c r="B799" t="s">
        <v>2774</v>
      </c>
      <c r="C799" t="s">
        <v>888</v>
      </c>
      <c r="D799" t="s">
        <v>2353</v>
      </c>
      <c r="E799" t="str">
        <f>Table1[[#This Row],[Abbreviations]]</f>
        <v>Kirkdale Corner</v>
      </c>
      <c r="F799" t="s">
        <v>407</v>
      </c>
      <c r="G799" t="str">
        <f xml:space="preserve"> PROPER(_xlfn.CONCAT(Table13[[#This Row],[Title]]," ",Table13[[#This Row],[First Name]]," ",Table13[[#This Row],[Last Name]]))</f>
        <v>Mr Israel Trevino</v>
      </c>
      <c r="H799" t="str">
        <f t="shared" si="24"/>
        <v>Mr I.Trevino</v>
      </c>
      <c r="I799" t="str">
        <f t="shared" si="25"/>
        <v>M</v>
      </c>
    </row>
    <row r="800" spans="1:9" x14ac:dyDescent="0.3">
      <c r="A800">
        <v>797</v>
      </c>
      <c r="B800" t="s">
        <v>2776</v>
      </c>
      <c r="C800" t="s">
        <v>2049</v>
      </c>
      <c r="D800" t="s">
        <v>2353</v>
      </c>
      <c r="E800" t="str">
        <f>Table1[[#This Row],[Abbreviations]]</f>
        <v>Frostic Place</v>
      </c>
      <c r="F800" t="s">
        <v>556</v>
      </c>
      <c r="G800" t="str">
        <f xml:space="preserve"> PROPER(_xlfn.CONCAT(Table13[[#This Row],[Title]]," ",Table13[[#This Row],[First Name]]," ",Table13[[#This Row],[Last Name]]))</f>
        <v>Mr Robby Ballard</v>
      </c>
      <c r="H800" t="str">
        <f t="shared" si="24"/>
        <v>Mr R.Ballard</v>
      </c>
      <c r="I800" t="str">
        <f t="shared" si="25"/>
        <v>M</v>
      </c>
    </row>
    <row r="801" spans="1:9" x14ac:dyDescent="0.3">
      <c r="A801">
        <v>798</v>
      </c>
      <c r="B801" t="s">
        <v>2778</v>
      </c>
      <c r="C801" t="s">
        <v>2779</v>
      </c>
      <c r="D801" t="s">
        <v>2353</v>
      </c>
      <c r="E801" t="str">
        <f>Table1[[#This Row],[Abbreviations]]</f>
        <v>Horsmonden Road</v>
      </c>
      <c r="F801" t="s">
        <v>1579</v>
      </c>
      <c r="G801" t="str">
        <f xml:space="preserve"> PROPER(_xlfn.CONCAT(Table13[[#This Row],[Title]]," ",Table13[[#This Row],[First Name]]," ",Table13[[#This Row],[Last Name]]))</f>
        <v>Mr Malik Swanson</v>
      </c>
      <c r="H801" t="str">
        <f t="shared" si="24"/>
        <v>Mr M.Swanson</v>
      </c>
      <c r="I801" t="str">
        <f t="shared" si="25"/>
        <v>M</v>
      </c>
    </row>
    <row r="802" spans="1:9" x14ac:dyDescent="0.3">
      <c r="A802">
        <v>799</v>
      </c>
      <c r="B802" t="s">
        <v>2781</v>
      </c>
      <c r="C802" t="s">
        <v>408</v>
      </c>
      <c r="D802" t="s">
        <v>2353</v>
      </c>
      <c r="E802" t="str">
        <f>Table1[[#This Row],[Abbreviations]]</f>
        <v>Crown Dale</v>
      </c>
      <c r="F802" t="s">
        <v>687</v>
      </c>
      <c r="G802" t="str">
        <f xml:space="preserve"> PROPER(_xlfn.CONCAT(Table13[[#This Row],[Title]]," ",Table13[[#This Row],[First Name]]," ",Table13[[#This Row],[Last Name]]))</f>
        <v>Mr Filiberto Wilson</v>
      </c>
      <c r="H802" t="str">
        <f t="shared" si="24"/>
        <v>Mr F.Wilson</v>
      </c>
      <c r="I802" t="str">
        <f t="shared" si="25"/>
        <v>M</v>
      </c>
    </row>
    <row r="803" spans="1:9" x14ac:dyDescent="0.3">
      <c r="A803">
        <v>800</v>
      </c>
      <c r="B803" t="s">
        <v>2783</v>
      </c>
      <c r="C803" t="s">
        <v>329</v>
      </c>
      <c r="D803" t="s">
        <v>2353</v>
      </c>
      <c r="E803" t="str">
        <f>Table1[[#This Row],[Abbreviations]]</f>
        <v>Golderton</v>
      </c>
      <c r="F803" t="s">
        <v>2785</v>
      </c>
      <c r="G803" t="str">
        <f xml:space="preserve"> PROPER(_xlfn.CONCAT(Table13[[#This Row],[Title]]," ",Table13[[#This Row],[First Name]]," ",Table13[[#This Row],[Last Name]]))</f>
        <v>Mr Ward Paulson</v>
      </c>
      <c r="H803" t="str">
        <f t="shared" si="24"/>
        <v>Mr W.Paulson</v>
      </c>
      <c r="I803" t="str">
        <f t="shared" si="25"/>
        <v>M</v>
      </c>
    </row>
    <row r="804" spans="1:9" x14ac:dyDescent="0.3">
      <c r="A804">
        <v>801</v>
      </c>
      <c r="B804" t="s">
        <v>2786</v>
      </c>
      <c r="C804" t="s">
        <v>597</v>
      </c>
      <c r="D804" t="s">
        <v>2353</v>
      </c>
      <c r="E804" t="str">
        <f>Table1[[#This Row],[Abbreviations]]</f>
        <v>Shrubbery Close</v>
      </c>
      <c r="F804" t="s">
        <v>1956</v>
      </c>
      <c r="G804" t="str">
        <f xml:space="preserve"> PROPER(_xlfn.CONCAT(Table13[[#This Row],[Title]]," ",Table13[[#This Row],[First Name]]," ",Table13[[#This Row],[Last Name]]))</f>
        <v>Mr Eldon Bass</v>
      </c>
      <c r="H804" t="str">
        <f t="shared" si="24"/>
        <v>Mr E.Bass</v>
      </c>
      <c r="I804" t="str">
        <f t="shared" si="25"/>
        <v>M</v>
      </c>
    </row>
    <row r="805" spans="1:9" x14ac:dyDescent="0.3">
      <c r="A805">
        <v>802</v>
      </c>
      <c r="B805" t="s">
        <v>2788</v>
      </c>
      <c r="C805" t="s">
        <v>2789</v>
      </c>
      <c r="D805" t="s">
        <v>2353</v>
      </c>
      <c r="E805" t="str">
        <f>Table1[[#This Row],[Abbreviations]]</f>
        <v>India Road</v>
      </c>
      <c r="F805" t="s">
        <v>2791</v>
      </c>
      <c r="G805" t="str">
        <f xml:space="preserve"> PROPER(_xlfn.CONCAT(Table13[[#This Row],[Title]]," ",Table13[[#This Row],[First Name]]," ",Table13[[#This Row],[Last Name]]))</f>
        <v>Mr Pat Chu</v>
      </c>
      <c r="H805" t="str">
        <f t="shared" si="24"/>
        <v>Mr P.Chu</v>
      </c>
      <c r="I805" t="str">
        <f t="shared" si="25"/>
        <v>M</v>
      </c>
    </row>
    <row r="806" spans="1:9" x14ac:dyDescent="0.3">
      <c r="A806">
        <v>803</v>
      </c>
      <c r="B806" t="s">
        <v>2607</v>
      </c>
      <c r="C806" t="s">
        <v>422</v>
      </c>
      <c r="D806" t="s">
        <v>318</v>
      </c>
      <c r="E806" t="str">
        <f>Table1[[#This Row],[Abbreviations]]</f>
        <v>Pakeman Street</v>
      </c>
      <c r="F806" t="s">
        <v>2793</v>
      </c>
      <c r="G806" t="str">
        <f xml:space="preserve"> PROPER(_xlfn.CONCAT(Table13[[#This Row],[Title]]," ",Table13[[#This Row],[First Name]]," ",Table13[[#This Row],[Last Name]]))</f>
        <v>Dr Waylon Scott</v>
      </c>
      <c r="H806" t="str">
        <f t="shared" si="24"/>
        <v>Dr W.Scott</v>
      </c>
      <c r="I806" t="str">
        <f t="shared" si="25"/>
        <v>F</v>
      </c>
    </row>
    <row r="807" spans="1:9" x14ac:dyDescent="0.3">
      <c r="A807">
        <v>804</v>
      </c>
      <c r="B807" t="s">
        <v>2794</v>
      </c>
      <c r="C807" t="s">
        <v>2795</v>
      </c>
      <c r="D807" t="s">
        <v>2353</v>
      </c>
      <c r="E807" t="str">
        <f>Table1[[#This Row],[Abbreviations]]</f>
        <v>Trollope Street</v>
      </c>
      <c r="F807" t="s">
        <v>2797</v>
      </c>
      <c r="G807" t="str">
        <f xml:space="preserve"> PROPER(_xlfn.CONCAT(Table13[[#This Row],[Title]]," ",Table13[[#This Row],[First Name]]," ",Table13[[#This Row],[Last Name]]))</f>
        <v>Mr Noe Suggs</v>
      </c>
      <c r="H807" t="str">
        <f t="shared" si="24"/>
        <v>Mr N.Suggs</v>
      </c>
      <c r="I807" t="str">
        <f t="shared" si="25"/>
        <v>M</v>
      </c>
    </row>
    <row r="808" spans="1:9" x14ac:dyDescent="0.3">
      <c r="A808">
        <v>805</v>
      </c>
      <c r="B808" t="s">
        <v>2798</v>
      </c>
      <c r="C808" t="s">
        <v>2799</v>
      </c>
      <c r="D808" t="s">
        <v>2353</v>
      </c>
      <c r="E808" t="str">
        <f>Table1[[#This Row],[Abbreviations]]</f>
        <v>Halcrow Street</v>
      </c>
      <c r="F808" t="s">
        <v>1274</v>
      </c>
      <c r="G808" t="str">
        <f xml:space="preserve"> PROPER(_xlfn.CONCAT(Table13[[#This Row],[Title]]," ",Table13[[#This Row],[First Name]]," ",Table13[[#This Row],[Last Name]]))</f>
        <v>Mr Edmundo Fitzgerald</v>
      </c>
      <c r="H808" t="str">
        <f t="shared" si="24"/>
        <v>Mr E.Fitzgerald</v>
      </c>
      <c r="I808" t="str">
        <f t="shared" si="25"/>
        <v>M</v>
      </c>
    </row>
    <row r="809" spans="1:9" x14ac:dyDescent="0.3">
      <c r="A809">
        <v>806</v>
      </c>
      <c r="B809" t="s">
        <v>2801</v>
      </c>
      <c r="C809" t="s">
        <v>2802</v>
      </c>
      <c r="D809" t="s">
        <v>2353</v>
      </c>
      <c r="E809" t="str">
        <f>Table1[[#This Row],[Abbreviations]]</f>
        <v>Anns Close</v>
      </c>
      <c r="F809" t="s">
        <v>2803</v>
      </c>
      <c r="G809" t="str">
        <f xml:space="preserve"> PROPER(_xlfn.CONCAT(Table13[[#This Row],[Title]]," ",Table13[[#This Row],[First Name]]," ",Table13[[#This Row],[Last Name]]))</f>
        <v>Mr Benjamin Dodson</v>
      </c>
      <c r="H809" t="str">
        <f t="shared" si="24"/>
        <v>Mr B.Dodson</v>
      </c>
      <c r="I809" t="str">
        <f t="shared" si="25"/>
        <v>M</v>
      </c>
    </row>
    <row r="810" spans="1:9" x14ac:dyDescent="0.3">
      <c r="A810">
        <v>807</v>
      </c>
      <c r="B810" t="s">
        <v>2804</v>
      </c>
      <c r="C810" t="s">
        <v>1907</v>
      </c>
      <c r="D810" t="s">
        <v>2353</v>
      </c>
      <c r="E810" t="str">
        <f>Table1[[#This Row],[Abbreviations]]</f>
        <v>Telford Avenue</v>
      </c>
      <c r="F810" t="s">
        <v>2806</v>
      </c>
      <c r="G810" t="str">
        <f xml:space="preserve"> PROPER(_xlfn.CONCAT(Table13[[#This Row],[Title]]," ",Table13[[#This Row],[First Name]]," ",Table13[[#This Row],[Last Name]]))</f>
        <v>Mr Burton Lassiter</v>
      </c>
      <c r="H810" t="str">
        <f t="shared" si="24"/>
        <v>Mr B.Lassiter</v>
      </c>
      <c r="I810" t="str">
        <f t="shared" si="25"/>
        <v>M</v>
      </c>
    </row>
    <row r="811" spans="1:9" x14ac:dyDescent="0.3">
      <c r="A811">
        <v>808</v>
      </c>
      <c r="B811" t="s">
        <v>2807</v>
      </c>
      <c r="C811">
        <v>0</v>
      </c>
      <c r="D811" t="s">
        <v>2353</v>
      </c>
      <c r="E811" t="str">
        <f>Table1[[#This Row],[Abbreviations]]</f>
        <v>Whitehall Yard</v>
      </c>
      <c r="F811" t="s">
        <v>2809</v>
      </c>
      <c r="G811" t="str">
        <f xml:space="preserve"> PROPER(_xlfn.CONCAT(Table13[[#This Row],[Title]]," ",Table13[[#This Row],[First Name]]," ",Table13[[#This Row],[Last Name]]))</f>
        <v>Mr Vincenzo 0</v>
      </c>
      <c r="H811" t="str">
        <f t="shared" si="24"/>
        <v>Mr V.0</v>
      </c>
      <c r="I811" t="str">
        <f t="shared" si="25"/>
        <v>M</v>
      </c>
    </row>
    <row r="812" spans="1:9" x14ac:dyDescent="0.3">
      <c r="A812">
        <v>809</v>
      </c>
      <c r="B812" t="s">
        <v>2810</v>
      </c>
      <c r="C812" t="s">
        <v>2811</v>
      </c>
      <c r="D812" t="s">
        <v>2353</v>
      </c>
      <c r="E812" t="str">
        <f>Table1[[#This Row],[Abbreviations]]</f>
        <v>Well Grove</v>
      </c>
      <c r="F812" t="s">
        <v>2813</v>
      </c>
      <c r="G812" t="str">
        <f xml:space="preserve"> PROPER(_xlfn.CONCAT(Table13[[#This Row],[Title]]," ",Table13[[#This Row],[First Name]]," ",Table13[[#This Row],[Last Name]]))</f>
        <v>Mr Orval Blount</v>
      </c>
      <c r="H812" t="str">
        <f t="shared" si="24"/>
        <v>Mr O.Blount</v>
      </c>
      <c r="I812" t="str">
        <f t="shared" si="25"/>
        <v>M</v>
      </c>
    </row>
    <row r="813" spans="1:9" x14ac:dyDescent="0.3">
      <c r="A813">
        <v>810</v>
      </c>
      <c r="B813" t="s">
        <v>2814</v>
      </c>
      <c r="C813" t="s">
        <v>2815</v>
      </c>
      <c r="D813" t="s">
        <v>2353</v>
      </c>
      <c r="E813" t="str">
        <f>Table1[[#This Row],[Abbreviations]]</f>
        <v>Gunter Grove</v>
      </c>
      <c r="F813" t="s">
        <v>2817</v>
      </c>
      <c r="G813" t="str">
        <f xml:space="preserve"> PROPER(_xlfn.CONCAT(Table13[[#This Row],[Title]]," ",Table13[[#This Row],[First Name]]," ",Table13[[#This Row],[Last Name]]))</f>
        <v>Mr Maynard Mcmillan</v>
      </c>
      <c r="H813" t="str">
        <f t="shared" si="24"/>
        <v>Mr M.Mcmillan</v>
      </c>
      <c r="I813" t="str">
        <f t="shared" si="25"/>
        <v>M</v>
      </c>
    </row>
    <row r="814" spans="1:9" x14ac:dyDescent="0.3">
      <c r="A814">
        <v>811</v>
      </c>
      <c r="B814" t="s">
        <v>2818</v>
      </c>
      <c r="C814" t="s">
        <v>1074</v>
      </c>
      <c r="D814" t="s">
        <v>2353</v>
      </c>
      <c r="E814" t="str">
        <f>Table1[[#This Row],[Abbreviations]]</f>
        <v>Holbein Mews</v>
      </c>
      <c r="F814" t="s">
        <v>2820</v>
      </c>
      <c r="G814" t="str">
        <f xml:space="preserve"> PROPER(_xlfn.CONCAT(Table13[[#This Row],[Title]]," ",Table13[[#This Row],[First Name]]," ",Table13[[#This Row],[Last Name]]))</f>
        <v>Mr Rodrigo Stacy</v>
      </c>
      <c r="H814" t="str">
        <f t="shared" si="24"/>
        <v>Mr R.Stacy</v>
      </c>
      <c r="I814" t="str">
        <f t="shared" si="25"/>
        <v>M</v>
      </c>
    </row>
    <row r="815" spans="1:9" x14ac:dyDescent="0.3">
      <c r="A815">
        <v>812</v>
      </c>
      <c r="B815" t="s">
        <v>2821</v>
      </c>
      <c r="C815" t="s">
        <v>927</v>
      </c>
      <c r="D815" t="s">
        <v>2353</v>
      </c>
      <c r="E815" t="str">
        <f>Table1[[#This Row],[Abbreviations]]</f>
        <v>New Bond</v>
      </c>
      <c r="F815" t="s">
        <v>226</v>
      </c>
      <c r="G815" t="str">
        <f xml:space="preserve"> PROPER(_xlfn.CONCAT(Table13[[#This Row],[Title]]," ",Table13[[#This Row],[First Name]]," ",Table13[[#This Row],[Last Name]]))</f>
        <v>Mr Leo Farrell</v>
      </c>
      <c r="H815" t="str">
        <f t="shared" si="24"/>
        <v>Mr L.Farrell</v>
      </c>
      <c r="I815" t="str">
        <f t="shared" si="25"/>
        <v>M</v>
      </c>
    </row>
    <row r="816" spans="1:9" x14ac:dyDescent="0.3">
      <c r="A816">
        <v>813</v>
      </c>
      <c r="B816" t="s">
        <v>2778</v>
      </c>
      <c r="C816" t="s">
        <v>462</v>
      </c>
      <c r="D816" t="s">
        <v>2353</v>
      </c>
      <c r="E816" t="str">
        <f>Table1[[#This Row],[Abbreviations]]</f>
        <v>Edith Green</v>
      </c>
      <c r="F816" t="s">
        <v>2824</v>
      </c>
      <c r="G816" t="str">
        <f xml:space="preserve"> PROPER(_xlfn.CONCAT(Table13[[#This Row],[Title]]," ",Table13[[#This Row],[First Name]]," ",Table13[[#This Row],[Last Name]]))</f>
        <v>Mr Malik Bridges</v>
      </c>
      <c r="H816" t="str">
        <f t="shared" si="24"/>
        <v>Mr M.Bridges</v>
      </c>
      <c r="I816" t="str">
        <f t="shared" si="25"/>
        <v>M</v>
      </c>
    </row>
    <row r="817" spans="1:9" x14ac:dyDescent="0.3">
      <c r="A817">
        <v>814</v>
      </c>
      <c r="B817" t="s">
        <v>2825</v>
      </c>
      <c r="C817" t="s">
        <v>2454</v>
      </c>
      <c r="D817" t="s">
        <v>2353</v>
      </c>
      <c r="E817" t="str">
        <f>Table1[[#This Row],[Abbreviations]]</f>
        <v>Taplow Street</v>
      </c>
      <c r="F817" t="s">
        <v>680</v>
      </c>
      <c r="G817" t="str">
        <f xml:space="preserve"> PROPER(_xlfn.CONCAT(Table13[[#This Row],[Title]]," ",Table13[[#This Row],[First Name]]," ",Table13[[#This Row],[Last Name]]))</f>
        <v>Mr Jame Giles</v>
      </c>
      <c r="H817" t="str">
        <f t="shared" si="24"/>
        <v>Mr J.Giles</v>
      </c>
      <c r="I817" t="str">
        <f t="shared" si="25"/>
        <v>M</v>
      </c>
    </row>
    <row r="818" spans="1:9" x14ac:dyDescent="0.3">
      <c r="A818">
        <v>815</v>
      </c>
      <c r="B818" t="s">
        <v>2827</v>
      </c>
      <c r="C818" t="s">
        <v>805</v>
      </c>
      <c r="D818" t="s">
        <v>2353</v>
      </c>
      <c r="E818" t="str">
        <f>Table1[[#This Row],[Abbreviations]]</f>
        <v>Tuckers Rents</v>
      </c>
      <c r="F818" t="s">
        <v>61</v>
      </c>
      <c r="G818" t="str">
        <f xml:space="preserve"> PROPER(_xlfn.CONCAT(Table13[[#This Row],[Title]]," ",Table13[[#This Row],[First Name]]," ",Table13[[#This Row],[Last Name]]))</f>
        <v>Mr Cristobal Sanders</v>
      </c>
      <c r="H818" t="str">
        <f t="shared" si="24"/>
        <v>Mr C.Sanders</v>
      </c>
      <c r="I818" t="str">
        <f t="shared" si="25"/>
        <v>M</v>
      </c>
    </row>
    <row r="819" spans="1:9" x14ac:dyDescent="0.3">
      <c r="A819">
        <v>816</v>
      </c>
      <c r="B819" t="s">
        <v>2829</v>
      </c>
      <c r="C819" t="s">
        <v>2830</v>
      </c>
      <c r="D819" t="s">
        <v>2353</v>
      </c>
      <c r="E819" t="str">
        <f>Table1[[#This Row],[Abbreviations]]</f>
        <v>Priors Dean</v>
      </c>
      <c r="F819" t="s">
        <v>2047</v>
      </c>
      <c r="G819" t="str">
        <f xml:space="preserve"> PROPER(_xlfn.CONCAT(Table13[[#This Row],[Title]]," ",Table13[[#This Row],[First Name]]," ",Table13[[#This Row],[Last Name]]))</f>
        <v>Mr Jim Adair</v>
      </c>
      <c r="H819" t="str">
        <f t="shared" si="24"/>
        <v>Mr J.Adair</v>
      </c>
      <c r="I819" t="str">
        <f t="shared" si="25"/>
        <v>M</v>
      </c>
    </row>
    <row r="820" spans="1:9" x14ac:dyDescent="0.3">
      <c r="A820">
        <v>817</v>
      </c>
      <c r="B820" t="s">
        <v>2832</v>
      </c>
      <c r="C820" t="s">
        <v>2833</v>
      </c>
      <c r="D820" t="s">
        <v>2353</v>
      </c>
      <c r="E820" t="str">
        <f>Table1[[#This Row],[Abbreviations]]</f>
        <v>Trehurst Street</v>
      </c>
      <c r="F820" t="s">
        <v>440</v>
      </c>
      <c r="G820" t="str">
        <f xml:space="preserve"> PROPER(_xlfn.CONCAT(Table13[[#This Row],[Title]]," ",Table13[[#This Row],[First Name]]," ",Table13[[#This Row],[Last Name]]))</f>
        <v>Mr Gaylord Lopez</v>
      </c>
      <c r="H820" t="str">
        <f t="shared" si="24"/>
        <v>Mr G.Lopez</v>
      </c>
      <c r="I820" t="str">
        <f t="shared" si="25"/>
        <v>M</v>
      </c>
    </row>
    <row r="821" spans="1:9" x14ac:dyDescent="0.3">
      <c r="A821">
        <v>818</v>
      </c>
      <c r="B821" t="s">
        <v>2835</v>
      </c>
      <c r="C821" t="s">
        <v>601</v>
      </c>
      <c r="D821" t="s">
        <v>2353</v>
      </c>
      <c r="E821" t="str">
        <f>Table1[[#This Row],[Abbreviations]]</f>
        <v>Bradshaws Close</v>
      </c>
      <c r="F821" t="s">
        <v>2295</v>
      </c>
      <c r="G821" t="str">
        <f xml:space="preserve"> PROPER(_xlfn.CONCAT(Table13[[#This Row],[Title]]," ",Table13[[#This Row],[First Name]]," ",Table13[[#This Row],[Last Name]]))</f>
        <v>Mr Merlin Earl</v>
      </c>
      <c r="H821" t="str">
        <f t="shared" si="24"/>
        <v>Mr M.Earl</v>
      </c>
      <c r="I821" t="str">
        <f t="shared" si="25"/>
        <v>M</v>
      </c>
    </row>
    <row r="822" spans="1:9" x14ac:dyDescent="0.3">
      <c r="A822">
        <v>819</v>
      </c>
      <c r="B822" t="s">
        <v>355</v>
      </c>
      <c r="C822" t="s">
        <v>1554</v>
      </c>
      <c r="D822" t="s">
        <v>2353</v>
      </c>
      <c r="E822" t="str">
        <f>Table1[[#This Row],[Abbreviations]]</f>
        <v>Amelia Street</v>
      </c>
      <c r="F822" t="s">
        <v>2838</v>
      </c>
      <c r="G822" t="str">
        <f xml:space="preserve"> PROPER(_xlfn.CONCAT(Table13[[#This Row],[Title]]," ",Table13[[#This Row],[First Name]]," ",Table13[[#This Row],[Last Name]]))</f>
        <v>Mr Leslie Krause</v>
      </c>
      <c r="H822" t="str">
        <f t="shared" si="24"/>
        <v>Mr L.Krause</v>
      </c>
      <c r="I822" t="str">
        <f t="shared" si="25"/>
        <v>M</v>
      </c>
    </row>
    <row r="823" spans="1:9" x14ac:dyDescent="0.3">
      <c r="A823">
        <v>820</v>
      </c>
      <c r="B823" t="s">
        <v>2839</v>
      </c>
      <c r="C823" t="s">
        <v>567</v>
      </c>
      <c r="D823" t="s">
        <v>2353</v>
      </c>
      <c r="E823" t="str">
        <f>Table1[[#This Row],[Abbreviations]]</f>
        <v>Clonmore Street</v>
      </c>
      <c r="F823" t="s">
        <v>2841</v>
      </c>
      <c r="G823" t="str">
        <f xml:space="preserve"> PROPER(_xlfn.CONCAT(Table13[[#This Row],[Title]]," ",Table13[[#This Row],[First Name]]," ",Table13[[#This Row],[Last Name]]))</f>
        <v>Mr Stevie Staples</v>
      </c>
      <c r="H823" t="str">
        <f t="shared" si="24"/>
        <v>Mr S.Staples</v>
      </c>
      <c r="I823" t="str">
        <f t="shared" si="25"/>
        <v>M</v>
      </c>
    </row>
    <row r="824" spans="1:9" x14ac:dyDescent="0.3">
      <c r="A824">
        <v>821</v>
      </c>
      <c r="B824" t="s">
        <v>2842</v>
      </c>
      <c r="C824" t="s">
        <v>2087</v>
      </c>
      <c r="D824" t="s">
        <v>2353</v>
      </c>
      <c r="E824" t="str">
        <f>Table1[[#This Row],[Abbreviations]]</f>
        <v>Dulwich High</v>
      </c>
      <c r="F824" t="s">
        <v>2844</v>
      </c>
      <c r="G824" t="str">
        <f xml:space="preserve"> PROPER(_xlfn.CONCAT(Table13[[#This Row],[Title]]," ",Table13[[#This Row],[First Name]]," ",Table13[[#This Row],[Last Name]]))</f>
        <v>Mr Garfield Skinner</v>
      </c>
      <c r="H824" t="str">
        <f t="shared" si="24"/>
        <v>Mr G.Skinner</v>
      </c>
      <c r="I824" t="str">
        <f t="shared" si="25"/>
        <v>M</v>
      </c>
    </row>
    <row r="825" spans="1:9" x14ac:dyDescent="0.3">
      <c r="A825">
        <v>822</v>
      </c>
      <c r="B825" t="s">
        <v>2845</v>
      </c>
      <c r="C825" t="s">
        <v>2846</v>
      </c>
      <c r="D825" t="s">
        <v>2353</v>
      </c>
      <c r="E825" t="str">
        <f>Table1[[#This Row],[Abbreviations]]</f>
        <v>Sandringham Close</v>
      </c>
      <c r="F825" t="s">
        <v>550</v>
      </c>
      <c r="G825" t="str">
        <f xml:space="preserve"> PROPER(_xlfn.CONCAT(Table13[[#This Row],[Title]]," ",Table13[[#This Row],[First Name]]," ",Table13[[#This Row],[Last Name]]))</f>
        <v>Mr Cyril Rubio</v>
      </c>
      <c r="H825" t="str">
        <f t="shared" si="24"/>
        <v>Mr C.Rubio</v>
      </c>
      <c r="I825" t="str">
        <f t="shared" si="25"/>
        <v>M</v>
      </c>
    </row>
    <row r="826" spans="1:9" x14ac:dyDescent="0.3">
      <c r="A826">
        <v>823</v>
      </c>
      <c r="B826" t="s">
        <v>2848</v>
      </c>
      <c r="C826" t="s">
        <v>2849</v>
      </c>
      <c r="D826" t="s">
        <v>318</v>
      </c>
      <c r="E826" t="str">
        <f>Table1[[#This Row],[Abbreviations]]</f>
        <v>Harrow Manor</v>
      </c>
      <c r="F826" t="s">
        <v>523</v>
      </c>
      <c r="G826" t="str">
        <f xml:space="preserve"> PROPER(_xlfn.CONCAT(Table13[[#This Row],[Title]]," ",Table13[[#This Row],[First Name]]," ",Table13[[#This Row],[Last Name]]))</f>
        <v>Dr Reggie Hawkins</v>
      </c>
      <c r="H826" t="str">
        <f t="shared" si="24"/>
        <v>Dr R.Hawkins</v>
      </c>
      <c r="I826" t="str">
        <f t="shared" si="25"/>
        <v>F</v>
      </c>
    </row>
    <row r="827" spans="1:9" x14ac:dyDescent="0.3">
      <c r="A827">
        <v>824</v>
      </c>
      <c r="B827" t="s">
        <v>2851</v>
      </c>
      <c r="C827" t="s">
        <v>2852</v>
      </c>
      <c r="D827" t="s">
        <v>2353</v>
      </c>
      <c r="E827" t="str">
        <f>Table1[[#This Row],[Abbreviations]]</f>
        <v>Rotherwick Hill</v>
      </c>
      <c r="F827" t="s">
        <v>2160</v>
      </c>
      <c r="G827" t="str">
        <f xml:space="preserve"> PROPER(_xlfn.CONCAT(Table13[[#This Row],[Title]]," ",Table13[[#This Row],[First Name]]," ",Table13[[#This Row],[Last Name]]))</f>
        <v>Mr Truman Mccall</v>
      </c>
      <c r="H827" t="str">
        <f t="shared" si="24"/>
        <v>Mr T.Mccall</v>
      </c>
      <c r="I827" t="str">
        <f t="shared" si="25"/>
        <v>M</v>
      </c>
    </row>
    <row r="828" spans="1:9" x14ac:dyDescent="0.3">
      <c r="A828">
        <v>825</v>
      </c>
      <c r="B828" t="s">
        <v>2854</v>
      </c>
      <c r="C828" t="s">
        <v>261</v>
      </c>
      <c r="D828" t="s">
        <v>2353</v>
      </c>
      <c r="E828" t="str">
        <f>Table1[[#This Row],[Abbreviations]]</f>
        <v>Little Cloisters</v>
      </c>
      <c r="F828" t="s">
        <v>2856</v>
      </c>
      <c r="G828" t="str">
        <f xml:space="preserve"> PROPER(_xlfn.CONCAT(Table13[[#This Row],[Title]]," ",Table13[[#This Row],[First Name]]," ",Table13[[#This Row],[Last Name]]))</f>
        <v>Mr Stan Payton</v>
      </c>
      <c r="H828" t="str">
        <f t="shared" si="24"/>
        <v>Mr S.Payton</v>
      </c>
      <c r="I828" t="str">
        <f t="shared" si="25"/>
        <v>M</v>
      </c>
    </row>
    <row r="829" spans="1:9" x14ac:dyDescent="0.3">
      <c r="A829">
        <v>826</v>
      </c>
      <c r="B829" t="s">
        <v>2857</v>
      </c>
      <c r="C829" t="s">
        <v>2858</v>
      </c>
      <c r="D829" t="s">
        <v>2353</v>
      </c>
      <c r="E829" t="str">
        <f>Table1[[#This Row],[Abbreviations]]</f>
        <v>Aeroville</v>
      </c>
      <c r="F829" t="s">
        <v>2860</v>
      </c>
      <c r="G829" t="str">
        <f xml:space="preserve"> PROPER(_xlfn.CONCAT(Table13[[#This Row],[Title]]," ",Table13[[#This Row],[First Name]]," ",Table13[[#This Row],[Last Name]]))</f>
        <v>Mr Keneth Shipley</v>
      </c>
      <c r="H829" t="str">
        <f t="shared" si="24"/>
        <v>Mr K.Shipley</v>
      </c>
      <c r="I829" t="str">
        <f t="shared" si="25"/>
        <v>M</v>
      </c>
    </row>
    <row r="830" spans="1:9" x14ac:dyDescent="0.3">
      <c r="A830">
        <v>827</v>
      </c>
      <c r="B830" t="s">
        <v>2861</v>
      </c>
      <c r="C830" t="s">
        <v>1715</v>
      </c>
      <c r="D830" t="s">
        <v>2353</v>
      </c>
      <c r="E830" t="str">
        <f>Table1[[#This Row],[Abbreviations]]</f>
        <v>Bell Alley</v>
      </c>
      <c r="F830" t="s">
        <v>386</v>
      </c>
      <c r="G830" t="str">
        <f xml:space="preserve"> PROPER(_xlfn.CONCAT(Table13[[#This Row],[Title]]," ",Table13[[#This Row],[First Name]]," ",Table13[[#This Row],[Last Name]]))</f>
        <v>Mr Garland Cartwright</v>
      </c>
      <c r="H830" t="str">
        <f t="shared" si="24"/>
        <v>Mr G.Cartwright</v>
      </c>
      <c r="I830" t="str">
        <f t="shared" si="25"/>
        <v>M</v>
      </c>
    </row>
    <row r="831" spans="1:9" x14ac:dyDescent="0.3">
      <c r="A831">
        <v>828</v>
      </c>
      <c r="B831" t="s">
        <v>2863</v>
      </c>
      <c r="C831" t="s">
        <v>676</v>
      </c>
      <c r="D831" t="s">
        <v>2353</v>
      </c>
      <c r="E831" t="str">
        <f>Table1[[#This Row],[Abbreviations]]</f>
        <v>Everards Place</v>
      </c>
      <c r="F831" t="s">
        <v>2865</v>
      </c>
      <c r="G831" t="str">
        <f xml:space="preserve"> PROPER(_xlfn.CONCAT(Table13[[#This Row],[Title]]," ",Table13[[#This Row],[First Name]]," ",Table13[[#This Row],[Last Name]]))</f>
        <v>Mr Phil Gary</v>
      </c>
      <c r="H831" t="str">
        <f t="shared" si="24"/>
        <v>Mr P.Gary</v>
      </c>
      <c r="I831" t="str">
        <f t="shared" si="25"/>
        <v>M</v>
      </c>
    </row>
    <row r="832" spans="1:9" x14ac:dyDescent="0.3">
      <c r="A832">
        <v>829</v>
      </c>
      <c r="B832" t="s">
        <v>2866</v>
      </c>
      <c r="C832" t="s">
        <v>536</v>
      </c>
      <c r="D832" t="s">
        <v>2353</v>
      </c>
      <c r="E832" t="str">
        <f>Table1[[#This Row],[Abbreviations]]</f>
        <v>The Grove</v>
      </c>
      <c r="F832" t="s">
        <v>2868</v>
      </c>
      <c r="G832" t="str">
        <f xml:space="preserve"> PROPER(_xlfn.CONCAT(Table13[[#This Row],[Title]]," ",Table13[[#This Row],[First Name]]," ",Table13[[#This Row],[Last Name]]))</f>
        <v>Mr Christopher Richey</v>
      </c>
      <c r="H832" t="str">
        <f t="shared" si="24"/>
        <v>Mr C.Richey</v>
      </c>
      <c r="I832" t="str">
        <f t="shared" si="25"/>
        <v>M</v>
      </c>
    </row>
    <row r="833" spans="1:9" x14ac:dyDescent="0.3">
      <c r="A833">
        <v>830</v>
      </c>
      <c r="B833" t="s">
        <v>2869</v>
      </c>
      <c r="C833" t="s">
        <v>1417</v>
      </c>
      <c r="D833" t="s">
        <v>2353</v>
      </c>
      <c r="E833" t="str">
        <f>Table1[[#This Row],[Abbreviations]]</f>
        <v>Spa Green</v>
      </c>
      <c r="F833" t="s">
        <v>2871</v>
      </c>
      <c r="G833" t="str">
        <f xml:space="preserve"> PROPER(_xlfn.CONCAT(Table13[[#This Row],[Title]]," ",Table13[[#This Row],[First Name]]," ",Table13[[#This Row],[Last Name]]))</f>
        <v>Mr Russel Kilgore</v>
      </c>
      <c r="H833" t="str">
        <f t="shared" si="24"/>
        <v>Mr R.Kilgore</v>
      </c>
      <c r="I833" t="str">
        <f t="shared" si="25"/>
        <v>M</v>
      </c>
    </row>
    <row r="834" spans="1:9" x14ac:dyDescent="0.3">
      <c r="A834">
        <v>831</v>
      </c>
      <c r="B834" t="s">
        <v>2872</v>
      </c>
      <c r="C834" t="s">
        <v>440</v>
      </c>
      <c r="D834" t="s">
        <v>2353</v>
      </c>
      <c r="E834" t="str">
        <f>Table1[[#This Row],[Abbreviations]]</f>
        <v>Regent Street</v>
      </c>
      <c r="F834" t="s">
        <v>2210</v>
      </c>
      <c r="G834" t="str">
        <f xml:space="preserve"> PROPER(_xlfn.CONCAT(Table13[[#This Row],[Title]]," ",Table13[[#This Row],[First Name]]," ",Table13[[#This Row],[Last Name]]))</f>
        <v>Mr Manual Kent</v>
      </c>
      <c r="H834" t="str">
        <f t="shared" si="24"/>
        <v>Mr M.Kent</v>
      </c>
      <c r="I834" t="str">
        <f t="shared" si="25"/>
        <v>M</v>
      </c>
    </row>
    <row r="835" spans="1:9" x14ac:dyDescent="0.3">
      <c r="A835">
        <v>832</v>
      </c>
      <c r="B835" t="s">
        <v>2874</v>
      </c>
      <c r="C835" t="s">
        <v>2875</v>
      </c>
      <c r="D835" t="s">
        <v>2353</v>
      </c>
      <c r="E835" t="str">
        <f>Table1[[#This Row],[Abbreviations]]</f>
        <v>Hilton House</v>
      </c>
      <c r="F835" t="s">
        <v>2244</v>
      </c>
      <c r="G835" t="str">
        <f xml:space="preserve"> PROPER(_xlfn.CONCAT(Table13[[#This Row],[Title]]," ",Table13[[#This Row],[First Name]]," ",Table13[[#This Row],[Last Name]]))</f>
        <v>Mr Lawerence Phipps</v>
      </c>
      <c r="H835" t="str">
        <f t="shared" si="24"/>
        <v>Mr L.Phipps</v>
      </c>
      <c r="I835" t="str">
        <f t="shared" si="25"/>
        <v>M</v>
      </c>
    </row>
    <row r="836" spans="1:9" x14ac:dyDescent="0.3">
      <c r="A836">
        <v>833</v>
      </c>
      <c r="B836" t="s">
        <v>2877</v>
      </c>
      <c r="C836" t="s">
        <v>307</v>
      </c>
      <c r="D836" t="s">
        <v>2353</v>
      </c>
      <c r="E836" t="str">
        <f>Table1[[#This Row],[Abbreviations]]</f>
        <v>Arlesey Close</v>
      </c>
      <c r="F836" t="s">
        <v>1045</v>
      </c>
      <c r="G836" t="str">
        <f xml:space="preserve"> PROPER(_xlfn.CONCAT(Table13[[#This Row],[Title]]," ",Table13[[#This Row],[First Name]]," ",Table13[[#This Row],[Last Name]]))</f>
        <v>Mr Rex Rollins</v>
      </c>
      <c r="H836" t="str">
        <f t="shared" ref="H836:H899" si="26">_xlfn.CONCAT(D836)&amp;" "&amp; LEFT(B836,1)&amp;"."&amp;C836</f>
        <v>Mr R.Rollins</v>
      </c>
      <c r="I836" t="str">
        <f t="shared" ref="I836:I899" si="27">IF(LEFT(D836,3)="Mr","M","F")</f>
        <v>M</v>
      </c>
    </row>
    <row r="837" spans="1:9" x14ac:dyDescent="0.3">
      <c r="A837">
        <v>834</v>
      </c>
      <c r="B837" t="s">
        <v>2879</v>
      </c>
      <c r="C837" t="s">
        <v>2880</v>
      </c>
      <c r="D837" t="s">
        <v>2353</v>
      </c>
      <c r="E837" t="str">
        <f>Table1[[#This Row],[Abbreviations]]</f>
        <v>Rock Green</v>
      </c>
      <c r="F837" t="s">
        <v>2882</v>
      </c>
      <c r="G837" t="str">
        <f xml:space="preserve"> PROPER(_xlfn.CONCAT(Table13[[#This Row],[Title]]," ",Table13[[#This Row],[First Name]]," ",Table13[[#This Row],[Last Name]]))</f>
        <v>Mr Aubrey Woodward</v>
      </c>
      <c r="H837" t="str">
        <f t="shared" si="26"/>
        <v>Mr A.Woodward</v>
      </c>
      <c r="I837" t="str">
        <f t="shared" si="27"/>
        <v>M</v>
      </c>
    </row>
    <row r="838" spans="1:9" x14ac:dyDescent="0.3">
      <c r="A838">
        <v>835</v>
      </c>
      <c r="B838" t="s">
        <v>2883</v>
      </c>
      <c r="C838" t="s">
        <v>2590</v>
      </c>
      <c r="D838" t="s">
        <v>2353</v>
      </c>
      <c r="E838" t="str">
        <f>Table1[[#This Row],[Abbreviations]]</f>
        <v>Loughbourough Park</v>
      </c>
      <c r="F838" t="s">
        <v>2885</v>
      </c>
      <c r="G838" t="str">
        <f xml:space="preserve"> PROPER(_xlfn.CONCAT(Table13[[#This Row],[Title]]," ",Table13[[#This Row],[First Name]]," ",Table13[[#This Row],[Last Name]]))</f>
        <v>Mr Hyman Lugo</v>
      </c>
      <c r="H838" t="str">
        <f t="shared" si="26"/>
        <v>Mr H.Lugo</v>
      </c>
      <c r="I838" t="str">
        <f t="shared" si="27"/>
        <v>M</v>
      </c>
    </row>
    <row r="839" spans="1:9" x14ac:dyDescent="0.3">
      <c r="A839">
        <v>836</v>
      </c>
      <c r="B839" t="s">
        <v>2615</v>
      </c>
      <c r="C839" t="s">
        <v>391</v>
      </c>
      <c r="D839" t="s">
        <v>318</v>
      </c>
      <c r="E839" t="str">
        <f>Table1[[#This Row],[Abbreviations]]</f>
        <v>Willow Gardens</v>
      </c>
      <c r="F839" t="s">
        <v>1507</v>
      </c>
      <c r="G839" t="str">
        <f xml:space="preserve"> PROPER(_xlfn.CONCAT(Table13[[#This Row],[Title]]," ",Table13[[#This Row],[First Name]]," ",Table13[[#This Row],[Last Name]]))</f>
        <v>Dr Chris Zapata</v>
      </c>
      <c r="H839" t="str">
        <f t="shared" si="26"/>
        <v>Dr C.Zapata</v>
      </c>
      <c r="I839" t="str">
        <f t="shared" si="27"/>
        <v>F</v>
      </c>
    </row>
    <row r="840" spans="1:9" x14ac:dyDescent="0.3">
      <c r="A840">
        <v>837</v>
      </c>
      <c r="B840" t="s">
        <v>996</v>
      </c>
      <c r="C840" t="s">
        <v>2887</v>
      </c>
      <c r="D840" t="s">
        <v>2353</v>
      </c>
      <c r="E840" t="str">
        <f>Table1[[#This Row],[Abbreviations]]</f>
        <v>Sterling Close</v>
      </c>
      <c r="F840" t="s">
        <v>1205</v>
      </c>
      <c r="G840" t="str">
        <f xml:space="preserve"> PROPER(_xlfn.CONCAT(Table13[[#This Row],[Title]]," ",Table13[[#This Row],[First Name]]," ",Table13[[#This Row],[Last Name]]))</f>
        <v>Mr Ellis Barr</v>
      </c>
      <c r="H840" t="str">
        <f t="shared" si="26"/>
        <v>Mr E.Barr</v>
      </c>
      <c r="I840" t="str">
        <f t="shared" si="27"/>
        <v>M</v>
      </c>
    </row>
    <row r="841" spans="1:9" x14ac:dyDescent="0.3">
      <c r="A841">
        <v>838</v>
      </c>
      <c r="B841" t="s">
        <v>2889</v>
      </c>
      <c r="C841" t="s">
        <v>2890</v>
      </c>
      <c r="D841" t="s">
        <v>2353</v>
      </c>
      <c r="E841" t="str">
        <f>Table1[[#This Row],[Abbreviations]]</f>
        <v>Dovercourt Estate</v>
      </c>
      <c r="F841" t="s">
        <v>2892</v>
      </c>
      <c r="G841" t="str">
        <f xml:space="preserve"> PROPER(_xlfn.CONCAT(Table13[[#This Row],[Title]]," ",Table13[[#This Row],[First Name]]," ",Table13[[#This Row],[Last Name]]))</f>
        <v>Mr Millard Crowley</v>
      </c>
      <c r="H841" t="str">
        <f t="shared" si="26"/>
        <v>Mr M.Crowley</v>
      </c>
      <c r="I841" t="str">
        <f t="shared" si="27"/>
        <v>M</v>
      </c>
    </row>
    <row r="842" spans="1:9" x14ac:dyDescent="0.3">
      <c r="A842">
        <v>839</v>
      </c>
      <c r="B842" t="s">
        <v>389</v>
      </c>
      <c r="C842" t="s">
        <v>1989</v>
      </c>
      <c r="D842" t="s">
        <v>2353</v>
      </c>
      <c r="E842" t="str">
        <f>Table1[[#This Row],[Abbreviations]]</f>
        <v>Hobart Place</v>
      </c>
      <c r="F842" t="s">
        <v>2894</v>
      </c>
      <c r="G842" t="str">
        <f xml:space="preserve"> PROPER(_xlfn.CONCAT(Table13[[#This Row],[Title]]," ",Table13[[#This Row],[First Name]]," ",Table13[[#This Row],[Last Name]]))</f>
        <v>Mr Johnie Morgan</v>
      </c>
      <c r="H842" t="str">
        <f t="shared" si="26"/>
        <v>Mr J.Morgan</v>
      </c>
      <c r="I842" t="str">
        <f t="shared" si="27"/>
        <v>M</v>
      </c>
    </row>
    <row r="843" spans="1:9" x14ac:dyDescent="0.3">
      <c r="A843">
        <v>840</v>
      </c>
      <c r="B843" t="s">
        <v>2895</v>
      </c>
      <c r="C843" t="s">
        <v>538</v>
      </c>
      <c r="D843" t="s">
        <v>2353</v>
      </c>
      <c r="E843" t="str">
        <f>Table1[[#This Row],[Abbreviations]]</f>
        <v>Goldfinch Road</v>
      </c>
      <c r="F843" t="s">
        <v>523</v>
      </c>
      <c r="G843" t="str">
        <f xml:space="preserve"> PROPER(_xlfn.CONCAT(Table13[[#This Row],[Title]]," ",Table13[[#This Row],[First Name]]," ",Table13[[#This Row],[Last Name]]))</f>
        <v>Mr Hank Barlow</v>
      </c>
      <c r="H843" t="str">
        <f t="shared" si="26"/>
        <v>Mr H.Barlow</v>
      </c>
      <c r="I843" t="str">
        <f t="shared" si="27"/>
        <v>M</v>
      </c>
    </row>
    <row r="844" spans="1:9" x14ac:dyDescent="0.3">
      <c r="A844">
        <v>841</v>
      </c>
      <c r="B844" t="s">
        <v>2523</v>
      </c>
      <c r="C844" t="s">
        <v>17</v>
      </c>
      <c r="D844" t="s">
        <v>2353</v>
      </c>
      <c r="E844" t="str">
        <f>Table1[[#This Row],[Abbreviations]]</f>
        <v>Queens Elm</v>
      </c>
      <c r="F844" t="s">
        <v>1579</v>
      </c>
      <c r="G844" t="str">
        <f xml:space="preserve"> PROPER(_xlfn.CONCAT(Table13[[#This Row],[Title]]," ",Table13[[#This Row],[First Name]]," ",Table13[[#This Row],[Last Name]]))</f>
        <v>Mr Andreas Washington</v>
      </c>
      <c r="H844" t="str">
        <f t="shared" si="26"/>
        <v>Mr A.Washington</v>
      </c>
      <c r="I844" t="str">
        <f t="shared" si="27"/>
        <v>M</v>
      </c>
    </row>
    <row r="845" spans="1:9" x14ac:dyDescent="0.3">
      <c r="A845">
        <v>842</v>
      </c>
      <c r="B845" t="s">
        <v>2897</v>
      </c>
      <c r="C845" t="s">
        <v>2898</v>
      </c>
      <c r="D845" t="s">
        <v>2353</v>
      </c>
      <c r="E845" t="str">
        <f>Table1[[#This Row],[Abbreviations]]</f>
        <v>Eaton Lane</v>
      </c>
      <c r="F845" t="s">
        <v>695</v>
      </c>
      <c r="G845" t="str">
        <f xml:space="preserve"> PROPER(_xlfn.CONCAT(Table13[[#This Row],[Title]]," ",Table13[[#This Row],[First Name]]," ",Table13[[#This Row],[Last Name]]))</f>
        <v>Mr Gregg Orr</v>
      </c>
      <c r="H845" t="str">
        <f t="shared" si="26"/>
        <v>Mr G.Orr</v>
      </c>
      <c r="I845" t="str">
        <f t="shared" si="27"/>
        <v>M</v>
      </c>
    </row>
    <row r="846" spans="1:9" x14ac:dyDescent="0.3">
      <c r="A846">
        <v>843</v>
      </c>
      <c r="B846" t="s">
        <v>2900</v>
      </c>
      <c r="C846" t="s">
        <v>603</v>
      </c>
      <c r="D846" t="s">
        <v>2353</v>
      </c>
      <c r="E846" t="str">
        <f>Table1[[#This Row],[Abbreviations]]</f>
        <v>Pasteur Gardens</v>
      </c>
      <c r="F846" t="s">
        <v>2902</v>
      </c>
      <c r="G846" t="str">
        <f xml:space="preserve"> PROPER(_xlfn.CONCAT(Table13[[#This Row],[Title]]," ",Table13[[#This Row],[First Name]]," ",Table13[[#This Row],[Last Name]]))</f>
        <v>Mr Terry John</v>
      </c>
      <c r="H846" t="str">
        <f t="shared" si="26"/>
        <v>Mr T.John</v>
      </c>
      <c r="I846" t="str">
        <f t="shared" si="27"/>
        <v>M</v>
      </c>
    </row>
    <row r="847" spans="1:9" x14ac:dyDescent="0.3">
      <c r="A847">
        <v>844</v>
      </c>
      <c r="B847" t="s">
        <v>2903</v>
      </c>
      <c r="C847" t="s">
        <v>503</v>
      </c>
      <c r="D847" t="s">
        <v>318</v>
      </c>
      <c r="E847" t="str">
        <f>Table1[[#This Row],[Abbreviations]]</f>
        <v>Grange Lodge</v>
      </c>
      <c r="F847" t="s">
        <v>2905</v>
      </c>
      <c r="G847" t="str">
        <f xml:space="preserve"> PROPER(_xlfn.CONCAT(Table13[[#This Row],[Title]]," ",Table13[[#This Row],[First Name]]," ",Table13[[#This Row],[Last Name]]))</f>
        <v>Dr Glen Jewell</v>
      </c>
      <c r="H847" t="str">
        <f t="shared" si="26"/>
        <v>Dr G.Jewell</v>
      </c>
      <c r="I847" t="str">
        <f t="shared" si="27"/>
        <v>F</v>
      </c>
    </row>
    <row r="848" spans="1:9" x14ac:dyDescent="0.3">
      <c r="A848">
        <v>845</v>
      </c>
      <c r="B848" t="s">
        <v>2906</v>
      </c>
      <c r="C848" t="s">
        <v>2907</v>
      </c>
      <c r="D848" t="s">
        <v>2353</v>
      </c>
      <c r="E848" t="str">
        <f>Table1[[#This Row],[Abbreviations]]</f>
        <v>Christopher Street</v>
      </c>
      <c r="F848" t="s">
        <v>222</v>
      </c>
      <c r="G848" t="str">
        <f xml:space="preserve"> PROPER(_xlfn.CONCAT(Table13[[#This Row],[Title]]," ",Table13[[#This Row],[First Name]]," ",Table13[[#This Row],[Last Name]]))</f>
        <v>Mr Devon Cummings</v>
      </c>
      <c r="H848" t="str">
        <f t="shared" si="26"/>
        <v>Mr D.Cummings</v>
      </c>
      <c r="I848" t="str">
        <f t="shared" si="27"/>
        <v>M</v>
      </c>
    </row>
    <row r="849" spans="1:9" x14ac:dyDescent="0.3">
      <c r="A849">
        <v>846</v>
      </c>
      <c r="B849" t="s">
        <v>2909</v>
      </c>
      <c r="C849" t="s">
        <v>2910</v>
      </c>
      <c r="D849" t="s">
        <v>2353</v>
      </c>
      <c r="E849" t="str">
        <f>Table1[[#This Row],[Abbreviations]]</f>
        <v>Pardon Street</v>
      </c>
      <c r="F849" t="s">
        <v>2912</v>
      </c>
      <c r="G849" t="str">
        <f xml:space="preserve"> PROPER(_xlfn.CONCAT(Table13[[#This Row],[Title]]," ",Table13[[#This Row],[First Name]]," ",Table13[[#This Row],[Last Name]]))</f>
        <v>Mr Darrell Rowell</v>
      </c>
      <c r="H849" t="str">
        <f t="shared" si="26"/>
        <v>Mr D.Rowell</v>
      </c>
      <c r="I849" t="str">
        <f t="shared" si="27"/>
        <v>M</v>
      </c>
    </row>
    <row r="850" spans="1:9" x14ac:dyDescent="0.3">
      <c r="A850">
        <v>847</v>
      </c>
      <c r="B850" t="s">
        <v>2913</v>
      </c>
      <c r="C850" t="s">
        <v>1122</v>
      </c>
      <c r="D850" t="s">
        <v>2353</v>
      </c>
      <c r="E850" t="str">
        <f>Table1[[#This Row],[Abbreviations]]</f>
        <v>Geneva Court</v>
      </c>
      <c r="F850" t="s">
        <v>2709</v>
      </c>
      <c r="G850" t="str">
        <f xml:space="preserve"> PROPER(_xlfn.CONCAT(Table13[[#This Row],[Title]]," ",Table13[[#This Row],[First Name]]," ",Table13[[#This Row],[Last Name]]))</f>
        <v>Mr Nathaniel Laird</v>
      </c>
      <c r="H850" t="str">
        <f t="shared" si="26"/>
        <v>Mr N.Laird</v>
      </c>
      <c r="I850" t="str">
        <f t="shared" si="27"/>
        <v>M</v>
      </c>
    </row>
    <row r="851" spans="1:9" x14ac:dyDescent="0.3">
      <c r="A851">
        <v>848</v>
      </c>
      <c r="B851" t="s">
        <v>2915</v>
      </c>
      <c r="C851" t="s">
        <v>2916</v>
      </c>
      <c r="D851" t="s">
        <v>2353</v>
      </c>
      <c r="E851" t="str">
        <f>Table1[[#This Row],[Abbreviations]]</f>
        <v>Gutteridge Court</v>
      </c>
      <c r="F851" t="s">
        <v>2918</v>
      </c>
      <c r="G851" t="str">
        <f xml:space="preserve"> PROPER(_xlfn.CONCAT(Table13[[#This Row],[Title]]," ",Table13[[#This Row],[First Name]]," ",Table13[[#This Row],[Last Name]]))</f>
        <v>Mr Hubert Tanner</v>
      </c>
      <c r="H851" t="str">
        <f t="shared" si="26"/>
        <v>Mr H.Tanner</v>
      </c>
      <c r="I851" t="str">
        <f t="shared" si="27"/>
        <v>M</v>
      </c>
    </row>
    <row r="852" spans="1:9" x14ac:dyDescent="0.3">
      <c r="A852">
        <v>849</v>
      </c>
      <c r="B852" t="s">
        <v>2919</v>
      </c>
      <c r="C852" t="s">
        <v>2920</v>
      </c>
      <c r="D852" t="s">
        <v>2353</v>
      </c>
      <c r="E852" t="str">
        <f>Table1[[#This Row],[Abbreviations]]</f>
        <v>Earles Cottages</v>
      </c>
      <c r="F852" t="s">
        <v>2922</v>
      </c>
      <c r="G852" t="str">
        <f xml:space="preserve"> PROPER(_xlfn.CONCAT(Table13[[#This Row],[Title]]," ",Table13[[#This Row],[First Name]]," ",Table13[[#This Row],[Last Name]]))</f>
        <v>Mr Isaiah Hamm</v>
      </c>
      <c r="H852" t="str">
        <f t="shared" si="26"/>
        <v>Mr I.Hamm</v>
      </c>
      <c r="I852" t="str">
        <f t="shared" si="27"/>
        <v>M</v>
      </c>
    </row>
    <row r="853" spans="1:9" x14ac:dyDescent="0.3">
      <c r="A853">
        <v>850</v>
      </c>
      <c r="B853" t="s">
        <v>2923</v>
      </c>
      <c r="C853" t="s">
        <v>2924</v>
      </c>
      <c r="D853" t="s">
        <v>2353</v>
      </c>
      <c r="E853" t="str">
        <f>Table1[[#This Row],[Abbreviations]]</f>
        <v>Royal Victoria</v>
      </c>
      <c r="F853" t="s">
        <v>2926</v>
      </c>
      <c r="G853" t="str">
        <f xml:space="preserve"> PROPER(_xlfn.CONCAT(Table13[[#This Row],[Title]]," ",Table13[[#This Row],[First Name]]," ",Table13[[#This Row],[Last Name]]))</f>
        <v>Mr Nolan Akins</v>
      </c>
      <c r="H853" t="str">
        <f t="shared" si="26"/>
        <v>Mr N.Akins</v>
      </c>
      <c r="I853" t="str">
        <f t="shared" si="27"/>
        <v>M</v>
      </c>
    </row>
    <row r="854" spans="1:9" x14ac:dyDescent="0.3">
      <c r="A854">
        <v>851</v>
      </c>
      <c r="B854" t="s">
        <v>2927</v>
      </c>
      <c r="C854" t="s">
        <v>2928</v>
      </c>
      <c r="D854" t="s">
        <v>2353</v>
      </c>
      <c r="E854" t="str">
        <f>Table1[[#This Row],[Abbreviations]]</f>
        <v>Trinity Lane</v>
      </c>
      <c r="F854" t="s">
        <v>2930</v>
      </c>
      <c r="G854" t="str">
        <f xml:space="preserve"> PROPER(_xlfn.CONCAT(Table13[[#This Row],[Title]]," ",Table13[[#This Row],[First Name]]," ",Table13[[#This Row],[Last Name]]))</f>
        <v>Mr Blaine Blake</v>
      </c>
      <c r="H854" t="str">
        <f t="shared" si="26"/>
        <v>Mr B.Blake</v>
      </c>
      <c r="I854" t="str">
        <f t="shared" si="27"/>
        <v>M</v>
      </c>
    </row>
    <row r="855" spans="1:9" x14ac:dyDescent="0.3">
      <c r="A855">
        <v>852</v>
      </c>
      <c r="B855" t="s">
        <v>1070</v>
      </c>
      <c r="C855" t="s">
        <v>2931</v>
      </c>
      <c r="D855" t="s">
        <v>2353</v>
      </c>
      <c r="E855" t="str">
        <f>Table1[[#This Row],[Abbreviations]]</f>
        <v>Balliol Road</v>
      </c>
      <c r="F855" t="s">
        <v>1605</v>
      </c>
      <c r="G855" t="str">
        <f xml:space="preserve"> PROPER(_xlfn.CONCAT(Table13[[#This Row],[Title]]," ",Table13[[#This Row],[First Name]]," ",Table13[[#This Row],[Last Name]]))</f>
        <v>Mr Leon Tobin</v>
      </c>
      <c r="H855" t="str">
        <f t="shared" si="26"/>
        <v>Mr L.Tobin</v>
      </c>
      <c r="I855" t="str">
        <f t="shared" si="27"/>
        <v>M</v>
      </c>
    </row>
    <row r="856" spans="1:9" x14ac:dyDescent="0.3">
      <c r="A856">
        <v>853</v>
      </c>
      <c r="B856" t="s">
        <v>2933</v>
      </c>
      <c r="C856" t="s">
        <v>1748</v>
      </c>
      <c r="D856" t="s">
        <v>2353</v>
      </c>
      <c r="E856" t="str">
        <f>Table1[[#This Row],[Abbreviations]]</f>
        <v>Chelsworth Drive</v>
      </c>
      <c r="F856" t="s">
        <v>596</v>
      </c>
      <c r="G856" t="str">
        <f xml:space="preserve"> PROPER(_xlfn.CONCAT(Table13[[#This Row],[Title]]," ",Table13[[#This Row],[First Name]]," ",Table13[[#This Row],[Last Name]]))</f>
        <v>Mr Basil Mccray</v>
      </c>
      <c r="H856" t="str">
        <f t="shared" si="26"/>
        <v>Mr B.Mccray</v>
      </c>
      <c r="I856" t="str">
        <f t="shared" si="27"/>
        <v>M</v>
      </c>
    </row>
    <row r="857" spans="1:9" x14ac:dyDescent="0.3">
      <c r="A857">
        <v>854</v>
      </c>
      <c r="B857" t="s">
        <v>2935</v>
      </c>
      <c r="C857" t="s">
        <v>2936</v>
      </c>
      <c r="D857" t="s">
        <v>2353</v>
      </c>
      <c r="E857" t="str">
        <f>Table1[[#This Row],[Abbreviations]]</f>
        <v>Station Crescent</v>
      </c>
      <c r="F857" t="s">
        <v>1542</v>
      </c>
      <c r="G857" t="str">
        <f xml:space="preserve"> PROPER(_xlfn.CONCAT(Table13[[#This Row],[Title]]," ",Table13[[#This Row],[First Name]]," ",Table13[[#This Row],[Last Name]]))</f>
        <v>Mr Marc Oakley</v>
      </c>
      <c r="H857" t="str">
        <f t="shared" si="26"/>
        <v>Mr M.Oakley</v>
      </c>
      <c r="I857" t="str">
        <f t="shared" si="27"/>
        <v>M</v>
      </c>
    </row>
    <row r="858" spans="1:9" x14ac:dyDescent="0.3">
      <c r="A858">
        <v>855</v>
      </c>
      <c r="B858" t="s">
        <v>2938</v>
      </c>
      <c r="C858" t="s">
        <v>2939</v>
      </c>
      <c r="D858" t="s">
        <v>2353</v>
      </c>
      <c r="E858" t="str">
        <f>Table1[[#This Row],[Abbreviations]]</f>
        <v>Loddige'S Terrace</v>
      </c>
      <c r="F858" t="s">
        <v>407</v>
      </c>
      <c r="G858" t="str">
        <f xml:space="preserve"> PROPER(_xlfn.CONCAT(Table13[[#This Row],[Title]]," ",Table13[[#This Row],[First Name]]," ",Table13[[#This Row],[Last Name]]))</f>
        <v>Mr Jeffery Pace</v>
      </c>
      <c r="H858" t="str">
        <f t="shared" si="26"/>
        <v>Mr J.Pace</v>
      </c>
      <c r="I858" t="str">
        <f t="shared" si="27"/>
        <v>M</v>
      </c>
    </row>
    <row r="859" spans="1:9" x14ac:dyDescent="0.3">
      <c r="A859">
        <v>856</v>
      </c>
      <c r="B859" t="s">
        <v>2941</v>
      </c>
      <c r="C859" t="s">
        <v>679</v>
      </c>
      <c r="D859" t="s">
        <v>2353</v>
      </c>
      <c r="E859" t="str">
        <f>Table1[[#This Row],[Abbreviations]]</f>
        <v>Nassau Place</v>
      </c>
      <c r="F859" t="s">
        <v>2943</v>
      </c>
      <c r="G859" t="str">
        <f xml:space="preserve"> PROPER(_xlfn.CONCAT(Table13[[#This Row],[Title]]," ",Table13[[#This Row],[First Name]]," ",Table13[[#This Row],[Last Name]]))</f>
        <v>Mr Dwain Ohara</v>
      </c>
      <c r="H859" t="str">
        <f t="shared" si="26"/>
        <v>Mr D.Ohara</v>
      </c>
      <c r="I859" t="str">
        <f t="shared" si="27"/>
        <v>M</v>
      </c>
    </row>
    <row r="860" spans="1:9" x14ac:dyDescent="0.3">
      <c r="A860">
        <v>857</v>
      </c>
      <c r="B860" t="s">
        <v>2944</v>
      </c>
      <c r="C860" t="s">
        <v>2945</v>
      </c>
      <c r="D860" t="s">
        <v>2353</v>
      </c>
      <c r="E860" t="str">
        <f>Table1[[#This Row],[Abbreviations]]</f>
        <v>Marsland Close</v>
      </c>
      <c r="F860" t="s">
        <v>2947</v>
      </c>
      <c r="G860" t="str">
        <f xml:space="preserve"> PROPER(_xlfn.CONCAT(Table13[[#This Row],[Title]]," ",Table13[[#This Row],[First Name]]," ",Table13[[#This Row],[Last Name]]))</f>
        <v>Mr Don Crowell</v>
      </c>
      <c r="H860" t="str">
        <f t="shared" si="26"/>
        <v>Mr D.Crowell</v>
      </c>
      <c r="I860" t="str">
        <f t="shared" si="27"/>
        <v>M</v>
      </c>
    </row>
    <row r="861" spans="1:9" x14ac:dyDescent="0.3">
      <c r="A861">
        <v>858</v>
      </c>
      <c r="B861" t="s">
        <v>2948</v>
      </c>
      <c r="C861" t="s">
        <v>2949</v>
      </c>
      <c r="D861" t="s">
        <v>2353</v>
      </c>
      <c r="E861" t="str">
        <f>Table1[[#This Row],[Abbreviations]]</f>
        <v>Minet Road</v>
      </c>
      <c r="F861" t="s">
        <v>2951</v>
      </c>
      <c r="G861" t="str">
        <f xml:space="preserve"> PROPER(_xlfn.CONCAT(Table13[[#This Row],[Title]]," ",Table13[[#This Row],[First Name]]," ",Table13[[#This Row],[Last Name]]))</f>
        <v>Mr Lynwood Mckay</v>
      </c>
      <c r="H861" t="str">
        <f t="shared" si="26"/>
        <v>Mr L.Mckay</v>
      </c>
      <c r="I861" t="str">
        <f t="shared" si="27"/>
        <v>M</v>
      </c>
    </row>
    <row r="862" spans="1:9" x14ac:dyDescent="0.3">
      <c r="A862">
        <v>859</v>
      </c>
      <c r="B862" t="s">
        <v>2389</v>
      </c>
      <c r="C862" t="s">
        <v>412</v>
      </c>
      <c r="D862" t="s">
        <v>2353</v>
      </c>
      <c r="E862" t="str">
        <f>Table1[[#This Row],[Abbreviations]]</f>
        <v>Trig Lane</v>
      </c>
      <c r="F862" t="s">
        <v>2953</v>
      </c>
      <c r="G862" t="str">
        <f xml:space="preserve"> PROPER(_xlfn.CONCAT(Table13[[#This Row],[Title]]," ",Table13[[#This Row],[First Name]]," ",Table13[[#This Row],[Last Name]]))</f>
        <v>Mr Bryce Gore</v>
      </c>
      <c r="H862" t="str">
        <f t="shared" si="26"/>
        <v>Mr B.Gore</v>
      </c>
      <c r="I862" t="str">
        <f t="shared" si="27"/>
        <v>M</v>
      </c>
    </row>
    <row r="863" spans="1:9" x14ac:dyDescent="0.3">
      <c r="A863">
        <v>860</v>
      </c>
      <c r="B863" t="s">
        <v>210</v>
      </c>
      <c r="C863" t="s">
        <v>954</v>
      </c>
      <c r="D863" t="s">
        <v>2353</v>
      </c>
      <c r="E863" t="str">
        <f>Table1[[#This Row],[Abbreviations]]</f>
        <v>Parterstia Place</v>
      </c>
      <c r="F863" t="s">
        <v>2955</v>
      </c>
      <c r="G863" t="str">
        <f xml:space="preserve"> PROPER(_xlfn.CONCAT(Table13[[#This Row],[Title]]," ",Table13[[#This Row],[First Name]]," ",Table13[[#This Row],[Last Name]]))</f>
        <v>Mr Dannie Latham</v>
      </c>
      <c r="H863" t="str">
        <f t="shared" si="26"/>
        <v>Mr D.Latham</v>
      </c>
      <c r="I863" t="str">
        <f t="shared" si="27"/>
        <v>M</v>
      </c>
    </row>
    <row r="864" spans="1:9" x14ac:dyDescent="0.3">
      <c r="A864">
        <v>861</v>
      </c>
      <c r="B864" t="s">
        <v>2511</v>
      </c>
      <c r="C864" t="s">
        <v>2956</v>
      </c>
      <c r="D864" t="s">
        <v>2353</v>
      </c>
      <c r="E864" t="str">
        <f>Table1[[#This Row],[Abbreviations]]</f>
        <v>Farlton Road</v>
      </c>
      <c r="F864" t="s">
        <v>583</v>
      </c>
      <c r="G864" t="str">
        <f xml:space="preserve"> PROPER(_xlfn.CONCAT(Table13[[#This Row],[Title]]," ",Table13[[#This Row],[First Name]]," ",Table13[[#This Row],[Last Name]]))</f>
        <v>Mr Alden Stone</v>
      </c>
      <c r="H864" t="str">
        <f t="shared" si="26"/>
        <v>Mr A.Stone</v>
      </c>
      <c r="I864" t="str">
        <f t="shared" si="27"/>
        <v>M</v>
      </c>
    </row>
    <row r="865" spans="1:9" x14ac:dyDescent="0.3">
      <c r="A865">
        <v>862</v>
      </c>
      <c r="B865" t="s">
        <v>2958</v>
      </c>
      <c r="C865" t="s">
        <v>279</v>
      </c>
      <c r="D865" t="s">
        <v>2353</v>
      </c>
      <c r="E865" t="str">
        <f>Table1[[#This Row],[Abbreviations]]</f>
        <v>Saxfield Street</v>
      </c>
      <c r="F865" t="s">
        <v>2960</v>
      </c>
      <c r="G865" t="str">
        <f xml:space="preserve"> PROPER(_xlfn.CONCAT(Table13[[#This Row],[Title]]," ",Table13[[#This Row],[First Name]]," ",Table13[[#This Row],[Last Name]]))</f>
        <v>Mr Faustino Abrams</v>
      </c>
      <c r="H865" t="str">
        <f t="shared" si="26"/>
        <v>Mr F.Abrams</v>
      </c>
      <c r="I865" t="str">
        <f t="shared" si="27"/>
        <v>M</v>
      </c>
    </row>
    <row r="866" spans="1:9" x14ac:dyDescent="0.3">
      <c r="A866">
        <v>863</v>
      </c>
      <c r="B866" t="s">
        <v>2961</v>
      </c>
      <c r="C866" t="s">
        <v>1389</v>
      </c>
      <c r="D866" t="s">
        <v>2353</v>
      </c>
      <c r="E866" t="str">
        <f>Table1[[#This Row],[Abbreviations]]</f>
        <v>Frazer Street</v>
      </c>
      <c r="F866" t="s">
        <v>602</v>
      </c>
      <c r="G866" t="str">
        <f xml:space="preserve"> PROPER(_xlfn.CONCAT(Table13[[#This Row],[Title]]," ",Table13[[#This Row],[First Name]]," ",Table13[[#This Row],[Last Name]]))</f>
        <v>Mr Milan Helton</v>
      </c>
      <c r="H866" t="str">
        <f t="shared" si="26"/>
        <v>Mr M.Helton</v>
      </c>
      <c r="I866" t="str">
        <f t="shared" si="27"/>
        <v>M</v>
      </c>
    </row>
    <row r="867" spans="1:9" x14ac:dyDescent="0.3">
      <c r="A867">
        <v>864</v>
      </c>
      <c r="B867" t="s">
        <v>2963</v>
      </c>
      <c r="C867" t="s">
        <v>2964</v>
      </c>
      <c r="D867" t="s">
        <v>2353</v>
      </c>
      <c r="E867" t="str">
        <f>Table1[[#This Row],[Abbreviations]]</f>
        <v>Haverstock Road</v>
      </c>
      <c r="F867" t="s">
        <v>2966</v>
      </c>
      <c r="G867" t="str">
        <f xml:space="preserve"> PROPER(_xlfn.CONCAT(Table13[[#This Row],[Title]]," ",Table13[[#This Row],[First Name]]," ",Table13[[#This Row],[Last Name]]))</f>
        <v>Mr Leonardo Dunlap</v>
      </c>
      <c r="H867" t="str">
        <f t="shared" si="26"/>
        <v>Mr L.Dunlap</v>
      </c>
      <c r="I867" t="str">
        <f t="shared" si="27"/>
        <v>M</v>
      </c>
    </row>
    <row r="868" spans="1:9" x14ac:dyDescent="0.3">
      <c r="A868">
        <v>865</v>
      </c>
      <c r="B868" t="s">
        <v>2967</v>
      </c>
      <c r="C868" t="s">
        <v>2968</v>
      </c>
      <c r="D868" t="s">
        <v>2353</v>
      </c>
      <c r="E868" t="str">
        <f>Table1[[#This Row],[Abbreviations]]</f>
        <v>Royal Tent</v>
      </c>
      <c r="F868" t="s">
        <v>1066</v>
      </c>
      <c r="G868" t="str">
        <f xml:space="preserve"> PROPER(_xlfn.CONCAT(Table13[[#This Row],[Title]]," ",Table13[[#This Row],[First Name]]," ",Table13[[#This Row],[Last Name]]))</f>
        <v>Mr Keven Champagne</v>
      </c>
      <c r="H868" t="str">
        <f t="shared" si="26"/>
        <v>Mr K.Champagne</v>
      </c>
      <c r="I868" t="str">
        <f t="shared" si="27"/>
        <v>M</v>
      </c>
    </row>
    <row r="869" spans="1:9" x14ac:dyDescent="0.3">
      <c r="A869">
        <v>866</v>
      </c>
      <c r="B869" t="s">
        <v>2448</v>
      </c>
      <c r="C869" t="s">
        <v>507</v>
      </c>
      <c r="D869" t="s">
        <v>2353</v>
      </c>
      <c r="E869" t="str">
        <f>Table1[[#This Row],[Abbreviations]]</f>
        <v>Keats Parade</v>
      </c>
      <c r="F869" t="s">
        <v>701</v>
      </c>
      <c r="G869" t="str">
        <f xml:space="preserve"> PROPER(_xlfn.CONCAT(Table13[[#This Row],[Title]]," ",Table13[[#This Row],[First Name]]," ",Table13[[#This Row],[Last Name]]))</f>
        <v>Mr Mitch Rose</v>
      </c>
      <c r="H869" t="str">
        <f t="shared" si="26"/>
        <v>Mr M.Rose</v>
      </c>
      <c r="I869" t="str">
        <f t="shared" si="27"/>
        <v>M</v>
      </c>
    </row>
    <row r="870" spans="1:9" x14ac:dyDescent="0.3">
      <c r="A870">
        <v>867</v>
      </c>
      <c r="B870" t="s">
        <v>1627</v>
      </c>
      <c r="C870" t="s">
        <v>2970</v>
      </c>
      <c r="D870" t="s">
        <v>2353</v>
      </c>
      <c r="E870" t="str">
        <f>Table1[[#This Row],[Abbreviations]]</f>
        <v>Nancy Street</v>
      </c>
      <c r="F870" t="s">
        <v>2972</v>
      </c>
      <c r="G870" t="str">
        <f xml:space="preserve"> PROPER(_xlfn.CONCAT(Table13[[#This Row],[Title]]," ",Table13[[#This Row],[First Name]]," ",Table13[[#This Row],[Last Name]]))</f>
        <v>Mr Gail Robinson</v>
      </c>
      <c r="H870" t="str">
        <f t="shared" si="26"/>
        <v>Mr G.Robinson</v>
      </c>
      <c r="I870" t="str">
        <f t="shared" si="27"/>
        <v>M</v>
      </c>
    </row>
    <row r="871" spans="1:9" x14ac:dyDescent="0.3">
      <c r="A871">
        <v>868</v>
      </c>
      <c r="B871" t="s">
        <v>2973</v>
      </c>
      <c r="C871" t="s">
        <v>2974</v>
      </c>
      <c r="D871" t="s">
        <v>2353</v>
      </c>
      <c r="E871" t="str">
        <f>Table1[[#This Row],[Abbreviations]]</f>
        <v>Dunfield Road</v>
      </c>
      <c r="F871" t="s">
        <v>2976</v>
      </c>
      <c r="G871" t="str">
        <f xml:space="preserve"> PROPER(_xlfn.CONCAT(Table13[[#This Row],[Title]]," ",Table13[[#This Row],[First Name]]," ",Table13[[#This Row],[Last Name]]))</f>
        <v>Mr Jonas Quinones</v>
      </c>
      <c r="H871" t="str">
        <f t="shared" si="26"/>
        <v>Mr J.Quinones</v>
      </c>
      <c r="I871" t="str">
        <f t="shared" si="27"/>
        <v>M</v>
      </c>
    </row>
    <row r="872" spans="1:9" x14ac:dyDescent="0.3">
      <c r="A872">
        <v>869</v>
      </c>
      <c r="B872" t="s">
        <v>2977</v>
      </c>
      <c r="C872" t="s">
        <v>651</v>
      </c>
      <c r="D872" t="s">
        <v>2353</v>
      </c>
      <c r="E872" t="str">
        <f>Table1[[#This Row],[Abbreviations]]</f>
        <v>Great Guilford</v>
      </c>
      <c r="F872" t="s">
        <v>526</v>
      </c>
      <c r="G872" t="str">
        <f xml:space="preserve"> PROPER(_xlfn.CONCAT(Table13[[#This Row],[Title]]," ",Table13[[#This Row],[First Name]]," ",Table13[[#This Row],[Last Name]]))</f>
        <v>Mr Ty Echols</v>
      </c>
      <c r="H872" t="str">
        <f t="shared" si="26"/>
        <v>Mr T.Echols</v>
      </c>
      <c r="I872" t="str">
        <f t="shared" si="27"/>
        <v>M</v>
      </c>
    </row>
    <row r="873" spans="1:9" x14ac:dyDescent="0.3">
      <c r="A873">
        <v>870</v>
      </c>
      <c r="B873" t="s">
        <v>505</v>
      </c>
      <c r="C873" t="s">
        <v>2979</v>
      </c>
      <c r="D873" t="s">
        <v>2353</v>
      </c>
      <c r="E873" t="str">
        <f>Table1[[#This Row],[Abbreviations]]</f>
        <v>Southcombe Street</v>
      </c>
      <c r="F873" t="s">
        <v>2820</v>
      </c>
      <c r="G873" t="str">
        <f xml:space="preserve"> PROPER(_xlfn.CONCAT(Table13[[#This Row],[Title]]," ",Table13[[#This Row],[First Name]]," ",Table13[[#This Row],[Last Name]]))</f>
        <v>Mr Hayden Corbett</v>
      </c>
      <c r="H873" t="str">
        <f t="shared" si="26"/>
        <v>Mr H.Corbett</v>
      </c>
      <c r="I873" t="str">
        <f t="shared" si="27"/>
        <v>M</v>
      </c>
    </row>
    <row r="874" spans="1:9" x14ac:dyDescent="0.3">
      <c r="A874">
        <v>871</v>
      </c>
      <c r="B874" t="s">
        <v>2981</v>
      </c>
      <c r="C874" t="s">
        <v>2982</v>
      </c>
      <c r="D874" t="s">
        <v>2353</v>
      </c>
      <c r="E874" t="str">
        <f>Table1[[#This Row],[Abbreviations]]</f>
        <v>Fairfax Road</v>
      </c>
      <c r="F874" t="s">
        <v>2984</v>
      </c>
      <c r="G874" t="str">
        <f xml:space="preserve"> PROPER(_xlfn.CONCAT(Table13[[#This Row],[Title]]," ",Table13[[#This Row],[First Name]]," ",Table13[[#This Row],[Last Name]]))</f>
        <v>Mr Brad Mims</v>
      </c>
      <c r="H874" t="str">
        <f t="shared" si="26"/>
        <v>Mr B.Mims</v>
      </c>
      <c r="I874" t="str">
        <f t="shared" si="27"/>
        <v>M</v>
      </c>
    </row>
    <row r="875" spans="1:9" x14ac:dyDescent="0.3">
      <c r="A875">
        <v>872</v>
      </c>
      <c r="B875" t="s">
        <v>2985</v>
      </c>
      <c r="C875" t="s">
        <v>513</v>
      </c>
      <c r="D875" t="s">
        <v>2353</v>
      </c>
      <c r="E875" t="str">
        <f>Table1[[#This Row],[Abbreviations]]</f>
        <v>Granary Road</v>
      </c>
      <c r="F875" t="s">
        <v>2987</v>
      </c>
      <c r="G875" t="str">
        <f xml:space="preserve"> PROPER(_xlfn.CONCAT(Table13[[#This Row],[Title]]," ",Table13[[#This Row],[First Name]]," ",Table13[[#This Row],[Last Name]]))</f>
        <v>Mr Matthew Perdue</v>
      </c>
      <c r="H875" t="str">
        <f t="shared" si="26"/>
        <v>Mr M.Perdue</v>
      </c>
      <c r="I875" t="str">
        <f t="shared" si="27"/>
        <v>M</v>
      </c>
    </row>
    <row r="876" spans="1:9" x14ac:dyDescent="0.3">
      <c r="A876">
        <v>873</v>
      </c>
      <c r="B876" t="s">
        <v>2988</v>
      </c>
      <c r="C876" t="s">
        <v>570</v>
      </c>
      <c r="D876" t="s">
        <v>2353</v>
      </c>
      <c r="E876" t="str">
        <f>Table1[[#This Row],[Abbreviations]]</f>
        <v>Copper Mead</v>
      </c>
      <c r="F876" t="s">
        <v>2990</v>
      </c>
      <c r="G876" t="str">
        <f xml:space="preserve"> PROPER(_xlfn.CONCAT(Table13[[#This Row],[Title]]," ",Table13[[#This Row],[First Name]]," ",Table13[[#This Row],[Last Name]]))</f>
        <v>Mr Scot Fisher</v>
      </c>
      <c r="H876" t="str">
        <f t="shared" si="26"/>
        <v>Mr S.Fisher</v>
      </c>
      <c r="I876" t="str">
        <f t="shared" si="27"/>
        <v>M</v>
      </c>
    </row>
    <row r="877" spans="1:9" x14ac:dyDescent="0.3">
      <c r="A877">
        <v>874</v>
      </c>
      <c r="B877" t="s">
        <v>2991</v>
      </c>
      <c r="C877" t="s">
        <v>599</v>
      </c>
      <c r="D877" t="s">
        <v>2353</v>
      </c>
      <c r="E877" t="str">
        <f>Table1[[#This Row],[Abbreviations]]</f>
        <v>Evelyn Mews</v>
      </c>
      <c r="F877" t="s">
        <v>2993</v>
      </c>
      <c r="G877" t="str">
        <f xml:space="preserve"> PROPER(_xlfn.CONCAT(Table13[[#This Row],[Title]]," ",Table13[[#This Row],[First Name]]," ",Table13[[#This Row],[Last Name]]))</f>
        <v>Mr Theo Moody</v>
      </c>
      <c r="H877" t="str">
        <f t="shared" si="26"/>
        <v>Mr T.Moody</v>
      </c>
      <c r="I877" t="str">
        <f t="shared" si="27"/>
        <v>M</v>
      </c>
    </row>
    <row r="878" spans="1:9" x14ac:dyDescent="0.3">
      <c r="A878">
        <v>875</v>
      </c>
      <c r="B878" t="s">
        <v>2994</v>
      </c>
      <c r="C878" t="s">
        <v>2995</v>
      </c>
      <c r="D878" t="s">
        <v>2353</v>
      </c>
      <c r="E878" t="str">
        <f>Table1[[#This Row],[Abbreviations]]</f>
        <v>Ellaline Road</v>
      </c>
      <c r="F878" t="s">
        <v>2997</v>
      </c>
      <c r="G878" t="str">
        <f xml:space="preserve"> PROPER(_xlfn.CONCAT(Table13[[#This Row],[Title]]," ",Table13[[#This Row],[First Name]]," ",Table13[[#This Row],[Last Name]]))</f>
        <v>Mr Winford Teague</v>
      </c>
      <c r="H878" t="str">
        <f t="shared" si="26"/>
        <v>Mr W.Teague</v>
      </c>
      <c r="I878" t="str">
        <f t="shared" si="27"/>
        <v>M</v>
      </c>
    </row>
    <row r="879" spans="1:9" x14ac:dyDescent="0.3">
      <c r="A879">
        <v>876</v>
      </c>
      <c r="B879" t="s">
        <v>2998</v>
      </c>
      <c r="C879" t="s">
        <v>205</v>
      </c>
      <c r="D879" t="s">
        <v>2353</v>
      </c>
      <c r="E879" t="str">
        <f>Table1[[#This Row],[Abbreviations]]</f>
        <v>Beckway Street</v>
      </c>
      <c r="F879" t="s">
        <v>532</v>
      </c>
      <c r="G879" t="str">
        <f xml:space="preserve"> PROPER(_xlfn.CONCAT(Table13[[#This Row],[Title]]," ",Table13[[#This Row],[First Name]]," ",Table13[[#This Row],[Last Name]]))</f>
        <v>Mr Charley Finch</v>
      </c>
      <c r="H879" t="str">
        <f t="shared" si="26"/>
        <v>Mr C.Finch</v>
      </c>
      <c r="I879" t="str">
        <f t="shared" si="27"/>
        <v>M</v>
      </c>
    </row>
    <row r="880" spans="1:9" x14ac:dyDescent="0.3">
      <c r="A880">
        <v>877</v>
      </c>
      <c r="B880" t="s">
        <v>3000</v>
      </c>
      <c r="C880" t="s">
        <v>3001</v>
      </c>
      <c r="D880" t="s">
        <v>2353</v>
      </c>
      <c r="E880" t="str">
        <f>Table1[[#This Row],[Abbreviations]]</f>
        <v>Goulston Square</v>
      </c>
      <c r="F880" t="s">
        <v>3003</v>
      </c>
      <c r="G880" t="str">
        <f xml:space="preserve"> PROPER(_xlfn.CONCAT(Table13[[#This Row],[Title]]," ",Table13[[#This Row],[First Name]]," ",Table13[[#This Row],[Last Name]]))</f>
        <v>Mr Rufus Cardenas</v>
      </c>
      <c r="H880" t="str">
        <f t="shared" si="26"/>
        <v>Mr R.Cardenas</v>
      </c>
      <c r="I880" t="str">
        <f t="shared" si="27"/>
        <v>M</v>
      </c>
    </row>
    <row r="881" spans="1:9" x14ac:dyDescent="0.3">
      <c r="A881">
        <v>878</v>
      </c>
      <c r="B881" t="s">
        <v>3004</v>
      </c>
      <c r="C881" t="s">
        <v>1793</v>
      </c>
      <c r="D881" t="s">
        <v>2353</v>
      </c>
      <c r="E881" t="str">
        <f>Table1[[#This Row],[Abbreviations]]</f>
        <v>Jacksons Lane</v>
      </c>
      <c r="F881" t="s">
        <v>81</v>
      </c>
      <c r="G881" t="str">
        <f xml:space="preserve"> PROPER(_xlfn.CONCAT(Table13[[#This Row],[Title]]," ",Table13[[#This Row],[First Name]]," ",Table13[[#This Row],[Last Name]]))</f>
        <v>Mr Columbus Willis</v>
      </c>
      <c r="H881" t="str">
        <f t="shared" si="26"/>
        <v>Mr C.Willis</v>
      </c>
      <c r="I881" t="str">
        <f t="shared" si="27"/>
        <v>M</v>
      </c>
    </row>
    <row r="882" spans="1:9" x14ac:dyDescent="0.3">
      <c r="A882">
        <v>879</v>
      </c>
      <c r="B882" t="s">
        <v>2660</v>
      </c>
      <c r="C882" t="s">
        <v>3006</v>
      </c>
      <c r="D882" t="s">
        <v>2353</v>
      </c>
      <c r="E882" t="str">
        <f>Table1[[#This Row],[Abbreviations]]</f>
        <v>Edward Road</v>
      </c>
      <c r="F882" t="s">
        <v>3008</v>
      </c>
      <c r="G882" t="str">
        <f xml:space="preserve"> PROPER(_xlfn.CONCAT(Table13[[#This Row],[Title]]," ",Table13[[#This Row],[First Name]]," ",Table13[[#This Row],[Last Name]]))</f>
        <v>Mr Berry Ware</v>
      </c>
      <c r="H882" t="str">
        <f t="shared" si="26"/>
        <v>Mr B.Ware</v>
      </c>
      <c r="I882" t="str">
        <f t="shared" si="27"/>
        <v>M</v>
      </c>
    </row>
    <row r="883" spans="1:9" x14ac:dyDescent="0.3">
      <c r="A883">
        <v>880</v>
      </c>
      <c r="B883" t="s">
        <v>3009</v>
      </c>
      <c r="C883" t="s">
        <v>923</v>
      </c>
      <c r="D883" t="s">
        <v>2353</v>
      </c>
      <c r="E883" t="str">
        <f>Table1[[#This Row],[Abbreviations]]</f>
        <v>Geoffrey Close</v>
      </c>
      <c r="F883" t="s">
        <v>2960</v>
      </c>
      <c r="G883" t="str">
        <f xml:space="preserve"> PROPER(_xlfn.CONCAT(Table13[[#This Row],[Title]]," ",Table13[[#This Row],[First Name]]," ",Table13[[#This Row],[Last Name]]))</f>
        <v>Mr Rocco Coker</v>
      </c>
      <c r="H883" t="str">
        <f t="shared" si="26"/>
        <v>Mr R.Coker</v>
      </c>
      <c r="I883" t="str">
        <f t="shared" si="27"/>
        <v>M</v>
      </c>
    </row>
    <row r="884" spans="1:9" x14ac:dyDescent="0.3">
      <c r="A884">
        <v>881</v>
      </c>
      <c r="B884" t="s">
        <v>3011</v>
      </c>
      <c r="C884" t="s">
        <v>3012</v>
      </c>
      <c r="D884" t="s">
        <v>2353</v>
      </c>
      <c r="E884" t="str">
        <f>Table1[[#This Row],[Abbreviations]]</f>
        <v>Maddison Villas</v>
      </c>
      <c r="F884" t="s">
        <v>3014</v>
      </c>
      <c r="G884" t="str">
        <f xml:space="preserve"> PROPER(_xlfn.CONCAT(Table13[[#This Row],[Title]]," ",Table13[[#This Row],[First Name]]," ",Table13[[#This Row],[Last Name]]))</f>
        <v>Mr Jude Rush</v>
      </c>
      <c r="H884" t="str">
        <f t="shared" si="26"/>
        <v>Mr J.Rush</v>
      </c>
      <c r="I884" t="str">
        <f t="shared" si="27"/>
        <v>M</v>
      </c>
    </row>
    <row r="885" spans="1:9" x14ac:dyDescent="0.3">
      <c r="A885">
        <v>882</v>
      </c>
      <c r="B885" t="s">
        <v>2378</v>
      </c>
      <c r="C885" t="s">
        <v>656</v>
      </c>
      <c r="D885" t="s">
        <v>2353</v>
      </c>
      <c r="E885" t="str">
        <f>Table1[[#This Row],[Abbreviations]]</f>
        <v>Denmead Way</v>
      </c>
      <c r="F885" t="s">
        <v>2773</v>
      </c>
      <c r="G885" t="str">
        <f xml:space="preserve"> PROPER(_xlfn.CONCAT(Table13[[#This Row],[Title]]," ",Table13[[#This Row],[First Name]]," ",Table13[[#This Row],[Last Name]]))</f>
        <v>Mr Dirk Whitney</v>
      </c>
      <c r="H885" t="str">
        <f t="shared" si="26"/>
        <v>Mr D.Whitney</v>
      </c>
      <c r="I885" t="str">
        <f t="shared" si="27"/>
        <v>M</v>
      </c>
    </row>
    <row r="886" spans="1:9" x14ac:dyDescent="0.3">
      <c r="A886">
        <v>883</v>
      </c>
      <c r="B886" t="s">
        <v>3016</v>
      </c>
      <c r="C886" t="s">
        <v>3017</v>
      </c>
      <c r="D886" t="s">
        <v>2353</v>
      </c>
      <c r="E886" t="str">
        <f>Table1[[#This Row],[Abbreviations]]</f>
        <v>Frome Street</v>
      </c>
      <c r="F886" t="s">
        <v>1454</v>
      </c>
      <c r="G886" t="str">
        <f xml:space="preserve"> PROPER(_xlfn.CONCAT(Table13[[#This Row],[Title]]," ",Table13[[#This Row],[First Name]]," ",Table13[[#This Row],[Last Name]]))</f>
        <v>Mr Garry Holliday</v>
      </c>
      <c r="H886" t="str">
        <f t="shared" si="26"/>
        <v>Mr G.Holliday</v>
      </c>
      <c r="I886" t="str">
        <f t="shared" si="27"/>
        <v>M</v>
      </c>
    </row>
    <row r="887" spans="1:9" x14ac:dyDescent="0.3">
      <c r="A887">
        <v>884</v>
      </c>
      <c r="B887" t="s">
        <v>2973</v>
      </c>
      <c r="C887" t="s">
        <v>2593</v>
      </c>
      <c r="D887" t="s">
        <v>2353</v>
      </c>
      <c r="E887" t="str">
        <f>Table1[[#This Row],[Abbreviations]]</f>
        <v>Lanbury Road</v>
      </c>
      <c r="F887" t="s">
        <v>733</v>
      </c>
      <c r="G887" t="str">
        <f xml:space="preserve"> PROPER(_xlfn.CONCAT(Table13[[#This Row],[Title]]," ",Table13[[#This Row],[First Name]]," ",Table13[[#This Row],[Last Name]]))</f>
        <v>Mr Jonas David</v>
      </c>
      <c r="H887" t="str">
        <f t="shared" si="26"/>
        <v>Mr J.David</v>
      </c>
      <c r="I887" t="str">
        <f t="shared" si="27"/>
        <v>M</v>
      </c>
    </row>
    <row r="888" spans="1:9" x14ac:dyDescent="0.3">
      <c r="A888">
        <v>885</v>
      </c>
      <c r="B888" t="s">
        <v>3016</v>
      </c>
      <c r="C888" t="s">
        <v>1607</v>
      </c>
      <c r="D888" t="s">
        <v>318</v>
      </c>
      <c r="E888" t="str">
        <f>Table1[[#This Row],[Abbreviations]]</f>
        <v>Ludovick Walk</v>
      </c>
      <c r="F888" t="s">
        <v>1433</v>
      </c>
      <c r="G888" t="str">
        <f xml:space="preserve"> PROPER(_xlfn.CONCAT(Table13[[#This Row],[Title]]," ",Table13[[#This Row],[First Name]]," ",Table13[[#This Row],[Last Name]]))</f>
        <v>Dr Garry Silva</v>
      </c>
      <c r="H888" t="str">
        <f t="shared" si="26"/>
        <v>Dr G.Silva</v>
      </c>
      <c r="I888" t="str">
        <f t="shared" si="27"/>
        <v>F</v>
      </c>
    </row>
    <row r="889" spans="1:9" x14ac:dyDescent="0.3">
      <c r="A889">
        <v>886</v>
      </c>
      <c r="B889" t="s">
        <v>1825</v>
      </c>
      <c r="C889" t="s">
        <v>3</v>
      </c>
      <c r="D889" t="s">
        <v>2353</v>
      </c>
      <c r="E889" t="str">
        <f>Table1[[#This Row],[Abbreviations]]</f>
        <v>Lower Gun</v>
      </c>
      <c r="F889" t="s">
        <v>1099</v>
      </c>
      <c r="G889" t="str">
        <f xml:space="preserve"> PROPER(_xlfn.CONCAT(Table13[[#This Row],[Title]]," ",Table13[[#This Row],[First Name]]," ",Table13[[#This Row],[Last Name]]))</f>
        <v>Mr Major Street</v>
      </c>
      <c r="H889" t="str">
        <f t="shared" si="26"/>
        <v>Mr M.Street</v>
      </c>
      <c r="I889" t="str">
        <f t="shared" si="27"/>
        <v>M</v>
      </c>
    </row>
    <row r="890" spans="1:9" x14ac:dyDescent="0.3">
      <c r="A890">
        <v>887</v>
      </c>
      <c r="B890" t="s">
        <v>3020</v>
      </c>
      <c r="C890" t="s">
        <v>3021</v>
      </c>
      <c r="D890" t="s">
        <v>2353</v>
      </c>
      <c r="E890" t="str">
        <f>Table1[[#This Row],[Abbreviations]]</f>
        <v>Frankfurt Road</v>
      </c>
      <c r="F890" t="s">
        <v>281</v>
      </c>
      <c r="G890" t="str">
        <f xml:space="preserve"> PROPER(_xlfn.CONCAT(Table13[[#This Row],[Title]]," ",Table13[[#This Row],[First Name]]," ",Table13[[#This Row],[Last Name]]))</f>
        <v>Mr Zachery Kaufman</v>
      </c>
      <c r="H890" t="str">
        <f t="shared" si="26"/>
        <v>Mr Z.Kaufman</v>
      </c>
      <c r="I890" t="str">
        <f t="shared" si="27"/>
        <v>M</v>
      </c>
    </row>
    <row r="891" spans="1:9" x14ac:dyDescent="0.3">
      <c r="A891">
        <v>888</v>
      </c>
      <c r="B891" t="s">
        <v>3023</v>
      </c>
      <c r="C891" t="s">
        <v>2734</v>
      </c>
      <c r="D891" t="s">
        <v>2353</v>
      </c>
      <c r="E891" t="str">
        <f>Table1[[#This Row],[Abbreviations]]</f>
        <v>Humberstone Road</v>
      </c>
      <c r="F891" t="s">
        <v>1542</v>
      </c>
      <c r="G891" t="str">
        <f xml:space="preserve"> PROPER(_xlfn.CONCAT(Table13[[#This Row],[Title]]," ",Table13[[#This Row],[First Name]]," ",Table13[[#This Row],[Last Name]]))</f>
        <v>Mr Von Dailey</v>
      </c>
      <c r="H891" t="str">
        <f t="shared" si="26"/>
        <v>Mr V.Dailey</v>
      </c>
      <c r="I891" t="str">
        <f t="shared" si="27"/>
        <v>M</v>
      </c>
    </row>
    <row r="892" spans="1:9" x14ac:dyDescent="0.3">
      <c r="A892">
        <v>889</v>
      </c>
      <c r="B892" t="s">
        <v>2574</v>
      </c>
      <c r="C892" t="s">
        <v>457</v>
      </c>
      <c r="D892" t="s">
        <v>2353</v>
      </c>
      <c r="E892" t="str">
        <f>Table1[[#This Row],[Abbreviations]]</f>
        <v>Portinscale Road</v>
      </c>
      <c r="F892" t="s">
        <v>473</v>
      </c>
      <c r="G892" t="str">
        <f xml:space="preserve"> PROPER(_xlfn.CONCAT(Table13[[#This Row],[Title]]," ",Table13[[#This Row],[First Name]]," ",Table13[[#This Row],[Last Name]]))</f>
        <v>Mr Gerardo Ross</v>
      </c>
      <c r="H892" t="str">
        <f t="shared" si="26"/>
        <v>Mr G.Ross</v>
      </c>
      <c r="I892" t="str">
        <f t="shared" si="27"/>
        <v>M</v>
      </c>
    </row>
    <row r="893" spans="1:9" x14ac:dyDescent="0.3">
      <c r="A893">
        <v>890</v>
      </c>
      <c r="B893" t="s">
        <v>1329</v>
      </c>
      <c r="C893" t="s">
        <v>3026</v>
      </c>
      <c r="D893" t="s">
        <v>2353</v>
      </c>
      <c r="E893" t="str">
        <f>Table1[[#This Row],[Abbreviations]]</f>
        <v>Reading Lane</v>
      </c>
      <c r="F893" t="s">
        <v>579</v>
      </c>
      <c r="G893" t="str">
        <f xml:space="preserve"> PROPER(_xlfn.CONCAT(Table13[[#This Row],[Title]]," ",Table13[[#This Row],[First Name]]," ",Table13[[#This Row],[Last Name]]))</f>
        <v>Mr Chang Madrid</v>
      </c>
      <c r="H893" t="str">
        <f t="shared" si="26"/>
        <v>Mr C.Madrid</v>
      </c>
      <c r="I893" t="str">
        <f t="shared" si="27"/>
        <v>M</v>
      </c>
    </row>
    <row r="894" spans="1:9" x14ac:dyDescent="0.3">
      <c r="A894">
        <v>891</v>
      </c>
      <c r="B894" t="s">
        <v>1121</v>
      </c>
      <c r="C894" t="s">
        <v>3028</v>
      </c>
      <c r="D894" t="s">
        <v>2353</v>
      </c>
      <c r="E894" t="str">
        <f>Table1[[#This Row],[Abbreviations]]</f>
        <v>John Adam</v>
      </c>
      <c r="F894" t="s">
        <v>1404</v>
      </c>
      <c r="G894" t="str">
        <f xml:space="preserve"> PROPER(_xlfn.CONCAT(Table13[[#This Row],[Title]]," ",Table13[[#This Row],[First Name]]," ",Table13[[#This Row],[Last Name]]))</f>
        <v>Mr Nicky Rodgers</v>
      </c>
      <c r="H894" t="str">
        <f t="shared" si="26"/>
        <v>Mr N.Rodgers</v>
      </c>
      <c r="I894" t="str">
        <f t="shared" si="27"/>
        <v>M</v>
      </c>
    </row>
    <row r="895" spans="1:9" x14ac:dyDescent="0.3">
      <c r="A895">
        <v>892</v>
      </c>
      <c r="B895" t="s">
        <v>1828</v>
      </c>
      <c r="C895" t="s">
        <v>1047</v>
      </c>
      <c r="D895" t="s">
        <v>2353</v>
      </c>
      <c r="E895" t="str">
        <f>Table1[[#This Row],[Abbreviations]]</f>
        <v>Gibraltar Court</v>
      </c>
      <c r="F895" t="s">
        <v>1737</v>
      </c>
      <c r="G895" t="str">
        <f xml:space="preserve"> PROPER(_xlfn.CONCAT(Table13[[#This Row],[Title]]," ",Table13[[#This Row],[First Name]]," ",Table13[[#This Row],[Last Name]]))</f>
        <v>Mr Harold Muller</v>
      </c>
      <c r="H895" t="str">
        <f t="shared" si="26"/>
        <v>Mr H.Muller</v>
      </c>
      <c r="I895" t="str">
        <f t="shared" si="27"/>
        <v>M</v>
      </c>
    </row>
    <row r="896" spans="1:9" x14ac:dyDescent="0.3">
      <c r="A896">
        <v>893</v>
      </c>
      <c r="B896" t="s">
        <v>3031</v>
      </c>
      <c r="C896" t="s">
        <v>3032</v>
      </c>
      <c r="D896" t="s">
        <v>2353</v>
      </c>
      <c r="E896" t="str">
        <f>Table1[[#This Row],[Abbreviations]]</f>
        <v>Hobbs Place</v>
      </c>
      <c r="F896" t="s">
        <v>666</v>
      </c>
      <c r="G896" t="str">
        <f xml:space="preserve"> PROPER(_xlfn.CONCAT(Table13[[#This Row],[Title]]," ",Table13[[#This Row],[First Name]]," ",Table13[[#This Row],[Last Name]]))</f>
        <v>Mr Everette Barton</v>
      </c>
      <c r="H896" t="str">
        <f t="shared" si="26"/>
        <v>Mr E.Barton</v>
      </c>
      <c r="I896" t="str">
        <f t="shared" si="27"/>
        <v>M</v>
      </c>
    </row>
    <row r="897" spans="1:9" x14ac:dyDescent="0.3">
      <c r="A897">
        <v>894</v>
      </c>
      <c r="B897" t="s">
        <v>3034</v>
      </c>
      <c r="C897" t="s">
        <v>3035</v>
      </c>
      <c r="D897" t="s">
        <v>2353</v>
      </c>
      <c r="E897" t="str">
        <f>Table1[[#This Row],[Abbreviations]]</f>
        <v>Bramble Gardens</v>
      </c>
      <c r="F897" t="s">
        <v>440</v>
      </c>
      <c r="G897" t="str">
        <f xml:space="preserve"> PROPER(_xlfn.CONCAT(Table13[[#This Row],[Title]]," ",Table13[[#This Row],[First Name]]," ",Table13[[#This Row],[Last Name]]))</f>
        <v>Mr Willie Jarvis</v>
      </c>
      <c r="H897" t="str">
        <f t="shared" si="26"/>
        <v>Mr W.Jarvis</v>
      </c>
      <c r="I897" t="str">
        <f t="shared" si="27"/>
        <v>M</v>
      </c>
    </row>
    <row r="898" spans="1:9" x14ac:dyDescent="0.3">
      <c r="A898">
        <v>895</v>
      </c>
      <c r="B898" t="s">
        <v>1989</v>
      </c>
      <c r="C898" t="s">
        <v>3037</v>
      </c>
      <c r="D898" t="s">
        <v>2353</v>
      </c>
      <c r="E898" t="str">
        <f>Table1[[#This Row],[Abbreviations]]</f>
        <v>Shepherdess Place</v>
      </c>
      <c r="F898" t="s">
        <v>300</v>
      </c>
      <c r="G898" t="str">
        <f xml:space="preserve"> PROPER(_xlfn.CONCAT(Table13[[#This Row],[Title]]," ",Table13[[#This Row],[First Name]]," ",Table13[[#This Row],[Last Name]]))</f>
        <v>Mr Morgan Montoya</v>
      </c>
      <c r="H898" t="str">
        <f t="shared" si="26"/>
        <v>Mr M.Montoya</v>
      </c>
      <c r="I898" t="str">
        <f t="shared" si="27"/>
        <v>M</v>
      </c>
    </row>
    <row r="899" spans="1:9" x14ac:dyDescent="0.3">
      <c r="A899">
        <v>896</v>
      </c>
      <c r="B899" t="s">
        <v>1768</v>
      </c>
      <c r="C899" t="s">
        <v>2970</v>
      </c>
      <c r="D899" t="s">
        <v>2353</v>
      </c>
      <c r="E899" t="str">
        <f>Table1[[#This Row],[Abbreviations]]</f>
        <v>Bartle Avenue</v>
      </c>
      <c r="F899" t="s">
        <v>675</v>
      </c>
      <c r="G899" t="str">
        <f xml:space="preserve"> PROPER(_xlfn.CONCAT(Table13[[#This Row],[Title]]," ",Table13[[#This Row],[First Name]]," ",Table13[[#This Row],[Last Name]]))</f>
        <v>Mr Billy Robinson</v>
      </c>
      <c r="H899" t="str">
        <f t="shared" si="26"/>
        <v>Mr B.Robinson</v>
      </c>
      <c r="I899" t="str">
        <f t="shared" si="27"/>
        <v>M</v>
      </c>
    </row>
    <row r="900" spans="1:9" x14ac:dyDescent="0.3">
      <c r="A900">
        <v>897</v>
      </c>
      <c r="B900" t="s">
        <v>2933</v>
      </c>
      <c r="C900" t="s">
        <v>544</v>
      </c>
      <c r="D900" t="s">
        <v>2353</v>
      </c>
      <c r="E900" t="str">
        <f>Table1[[#This Row],[Abbreviations]]</f>
        <v>Sarah'S Place</v>
      </c>
      <c r="F900" t="s">
        <v>518</v>
      </c>
      <c r="G900" t="str">
        <f xml:space="preserve"> PROPER(_xlfn.CONCAT(Table13[[#This Row],[Title]]," ",Table13[[#This Row],[First Name]]," ",Table13[[#This Row],[Last Name]]))</f>
        <v>Mr Basil Crouch</v>
      </c>
      <c r="H900" t="str">
        <f t="shared" ref="H900:H963" si="28">_xlfn.CONCAT(D900)&amp;" "&amp; LEFT(B900,1)&amp;"."&amp;C900</f>
        <v>Mr B.Crouch</v>
      </c>
      <c r="I900" t="str">
        <f t="shared" ref="I900:I963" si="29">IF(LEFT(D900,3)="Mr","M","F")</f>
        <v>M</v>
      </c>
    </row>
    <row r="901" spans="1:9" x14ac:dyDescent="0.3">
      <c r="A901">
        <v>898</v>
      </c>
      <c r="B901" t="s">
        <v>3041</v>
      </c>
      <c r="C901" t="s">
        <v>1793</v>
      </c>
      <c r="D901" t="s">
        <v>2353</v>
      </c>
      <c r="E901" t="str">
        <f>Table1[[#This Row],[Abbreviations]]</f>
        <v>Hatcliffes Alms</v>
      </c>
      <c r="F901" t="s">
        <v>2902</v>
      </c>
      <c r="G901" t="str">
        <f xml:space="preserve"> PROPER(_xlfn.CONCAT(Table13[[#This Row],[Title]]," ",Table13[[#This Row],[First Name]]," ",Table13[[#This Row],[Last Name]]))</f>
        <v>Mr Weldon Willis</v>
      </c>
      <c r="H901" t="str">
        <f t="shared" si="28"/>
        <v>Mr W.Willis</v>
      </c>
      <c r="I901" t="str">
        <f t="shared" si="29"/>
        <v>M</v>
      </c>
    </row>
    <row r="902" spans="1:9" x14ac:dyDescent="0.3">
      <c r="A902">
        <v>899</v>
      </c>
      <c r="B902" t="s">
        <v>3043</v>
      </c>
      <c r="C902" t="s">
        <v>661</v>
      </c>
      <c r="D902" t="s">
        <v>2353</v>
      </c>
      <c r="E902" t="str">
        <f>Table1[[#This Row],[Abbreviations]]</f>
        <v>Normanton Park</v>
      </c>
      <c r="F902" t="s">
        <v>1171</v>
      </c>
      <c r="G902" t="str">
        <f xml:space="preserve"> PROPER(_xlfn.CONCAT(Table13[[#This Row],[Title]]," ",Table13[[#This Row],[First Name]]," ",Table13[[#This Row],[Last Name]]))</f>
        <v>Mr Ignacio Gates</v>
      </c>
      <c r="H902" t="str">
        <f t="shared" si="28"/>
        <v>Mr I.Gates</v>
      </c>
      <c r="I902" t="str">
        <f t="shared" si="29"/>
        <v>M</v>
      </c>
    </row>
    <row r="903" spans="1:9" x14ac:dyDescent="0.3">
      <c r="A903">
        <v>900</v>
      </c>
      <c r="B903" t="s">
        <v>3045</v>
      </c>
      <c r="C903" t="s">
        <v>483</v>
      </c>
      <c r="D903" t="s">
        <v>2353</v>
      </c>
      <c r="E903" t="str">
        <f>Table1[[#This Row],[Abbreviations]]</f>
        <v>Masslands Cottage</v>
      </c>
      <c r="F903" t="s">
        <v>647</v>
      </c>
      <c r="G903" t="str">
        <f xml:space="preserve"> PROPER(_xlfn.CONCAT(Table13[[#This Row],[Title]]," ",Table13[[#This Row],[First Name]]," ",Table13[[#This Row],[Last Name]]))</f>
        <v>Mr Harry Moreland</v>
      </c>
      <c r="H903" t="str">
        <f t="shared" si="28"/>
        <v>Mr H.Moreland</v>
      </c>
      <c r="I903" t="str">
        <f t="shared" si="29"/>
        <v>M</v>
      </c>
    </row>
    <row r="904" spans="1:9" x14ac:dyDescent="0.3">
      <c r="A904">
        <v>901</v>
      </c>
      <c r="B904" t="s">
        <v>3047</v>
      </c>
      <c r="C904" t="s">
        <v>908</v>
      </c>
      <c r="D904" t="s">
        <v>2353</v>
      </c>
      <c r="E904" t="str">
        <f>Table1[[#This Row],[Abbreviations]]</f>
        <v>Sherwood Villas</v>
      </c>
      <c r="F904" t="s">
        <v>445</v>
      </c>
      <c r="G904" t="str">
        <f xml:space="preserve"> PROPER(_xlfn.CONCAT(Table13[[#This Row],[Title]]," ",Table13[[#This Row],[First Name]]," ",Table13[[#This Row],[Last Name]]))</f>
        <v>Mr Chance Arredondo</v>
      </c>
      <c r="H904" t="str">
        <f t="shared" si="28"/>
        <v>Mr C.Arredondo</v>
      </c>
      <c r="I904" t="str">
        <f t="shared" si="29"/>
        <v>M</v>
      </c>
    </row>
    <row r="905" spans="1:9" x14ac:dyDescent="0.3">
      <c r="A905">
        <v>902</v>
      </c>
      <c r="B905" t="s">
        <v>3049</v>
      </c>
      <c r="C905" t="s">
        <v>3050</v>
      </c>
      <c r="D905" t="s">
        <v>2353</v>
      </c>
      <c r="E905" t="str">
        <f>Table1[[#This Row],[Abbreviations]]</f>
        <v>Hambledon Gardens</v>
      </c>
      <c r="F905" t="s">
        <v>2033</v>
      </c>
      <c r="G905" t="str">
        <f xml:space="preserve"> PROPER(_xlfn.CONCAT(Table13[[#This Row],[Title]]," ",Table13[[#This Row],[First Name]]," ",Table13[[#This Row],[Last Name]]))</f>
        <v>Mr Carlton Meier</v>
      </c>
      <c r="H905" t="str">
        <f t="shared" si="28"/>
        <v>Mr C.Meier</v>
      </c>
      <c r="I905" t="str">
        <f t="shared" si="29"/>
        <v>M</v>
      </c>
    </row>
    <row r="906" spans="1:9" x14ac:dyDescent="0.3">
      <c r="A906">
        <v>903</v>
      </c>
      <c r="B906" t="s">
        <v>3052</v>
      </c>
      <c r="C906" t="s">
        <v>480</v>
      </c>
      <c r="D906" t="s">
        <v>2353</v>
      </c>
      <c r="E906" t="str">
        <f>Table1[[#This Row],[Abbreviations]]</f>
        <v>Coupland Terrace</v>
      </c>
      <c r="F906" t="s">
        <v>454</v>
      </c>
      <c r="G906" t="str">
        <f xml:space="preserve"> PROPER(_xlfn.CONCAT(Table13[[#This Row],[Title]]," ",Table13[[#This Row],[First Name]]," ",Table13[[#This Row],[Last Name]]))</f>
        <v>Mr Bennie Sewell</v>
      </c>
      <c r="H906" t="str">
        <f t="shared" si="28"/>
        <v>Mr B.Sewell</v>
      </c>
      <c r="I906" t="str">
        <f t="shared" si="29"/>
        <v>M</v>
      </c>
    </row>
    <row r="907" spans="1:9" x14ac:dyDescent="0.3">
      <c r="A907">
        <v>904</v>
      </c>
      <c r="B907" t="s">
        <v>2877</v>
      </c>
      <c r="C907" t="s">
        <v>3054</v>
      </c>
      <c r="D907" t="s">
        <v>2353</v>
      </c>
      <c r="E907" t="str">
        <f>Table1[[#This Row],[Abbreviations]]</f>
        <v>Radbourne Road</v>
      </c>
      <c r="F907" t="s">
        <v>1110</v>
      </c>
      <c r="G907" t="str">
        <f xml:space="preserve"> PROPER(_xlfn.CONCAT(Table13[[#This Row],[Title]]," ",Table13[[#This Row],[First Name]]," ",Table13[[#This Row],[Last Name]]))</f>
        <v>Mr Rex Calvert</v>
      </c>
      <c r="H907" t="str">
        <f t="shared" si="28"/>
        <v>Mr R.Calvert</v>
      </c>
      <c r="I907" t="str">
        <f t="shared" si="29"/>
        <v>M</v>
      </c>
    </row>
    <row r="908" spans="1:9" x14ac:dyDescent="0.3">
      <c r="A908">
        <v>905</v>
      </c>
      <c r="B908" t="s">
        <v>2985</v>
      </c>
      <c r="C908" t="s">
        <v>3056</v>
      </c>
      <c r="D908" t="s">
        <v>2353</v>
      </c>
      <c r="E908" t="str">
        <f>Table1[[#This Row],[Abbreviations]]</f>
        <v>Ceres Road</v>
      </c>
      <c r="F908" t="s">
        <v>657</v>
      </c>
      <c r="G908" t="str">
        <f xml:space="preserve"> PROPER(_xlfn.CONCAT(Table13[[#This Row],[Title]]," ",Table13[[#This Row],[First Name]]," ",Table13[[#This Row],[Last Name]]))</f>
        <v>Mr Matthew Spears</v>
      </c>
      <c r="H908" t="str">
        <f t="shared" si="28"/>
        <v>Mr M.Spears</v>
      </c>
      <c r="I908" t="str">
        <f t="shared" si="29"/>
        <v>M</v>
      </c>
    </row>
    <row r="909" spans="1:9" x14ac:dyDescent="0.3">
      <c r="A909">
        <v>906</v>
      </c>
      <c r="B909" t="s">
        <v>3058</v>
      </c>
      <c r="C909" t="s">
        <v>3059</v>
      </c>
      <c r="D909" t="s">
        <v>2353</v>
      </c>
      <c r="E909" t="str">
        <f>Table1[[#This Row],[Abbreviations]]</f>
        <v>Crabtree Walk</v>
      </c>
      <c r="F909" t="s">
        <v>1132</v>
      </c>
      <c r="G909" t="str">
        <f xml:space="preserve"> PROPER(_xlfn.CONCAT(Table13[[#This Row],[Title]]," ",Table13[[#This Row],[First Name]]," ",Table13[[#This Row],[Last Name]]))</f>
        <v>Mr Jon Foote</v>
      </c>
      <c r="H909" t="str">
        <f t="shared" si="28"/>
        <v>Mr J.Foote</v>
      </c>
      <c r="I909" t="str">
        <f t="shared" si="29"/>
        <v>M</v>
      </c>
    </row>
    <row r="910" spans="1:9" x14ac:dyDescent="0.3">
      <c r="A910">
        <v>907</v>
      </c>
      <c r="B910" t="s">
        <v>3061</v>
      </c>
      <c r="C910" t="s">
        <v>1831</v>
      </c>
      <c r="D910" t="s">
        <v>2353</v>
      </c>
      <c r="E910" t="str">
        <f>Table1[[#This Row],[Abbreviations]]</f>
        <v>Balben Path</v>
      </c>
      <c r="F910" t="s">
        <v>2738</v>
      </c>
      <c r="G910" t="str">
        <f xml:space="preserve"> PROPER(_xlfn.CONCAT(Table13[[#This Row],[Title]]," ",Table13[[#This Row],[First Name]]," ",Table13[[#This Row],[Last Name]]))</f>
        <v>Mr Raymon Mcdonough</v>
      </c>
      <c r="H910" t="str">
        <f t="shared" si="28"/>
        <v>Mr R.Mcdonough</v>
      </c>
      <c r="I910" t="str">
        <f t="shared" si="29"/>
        <v>M</v>
      </c>
    </row>
    <row r="911" spans="1:9" x14ac:dyDescent="0.3">
      <c r="A911">
        <v>908</v>
      </c>
      <c r="B911" t="s">
        <v>3063</v>
      </c>
      <c r="C911" t="s">
        <v>3064</v>
      </c>
      <c r="D911" t="s">
        <v>2353</v>
      </c>
      <c r="E911" t="str">
        <f>Table1[[#This Row],[Abbreviations]]</f>
        <v>Haysleigh Gardens</v>
      </c>
      <c r="F911" t="s">
        <v>3066</v>
      </c>
      <c r="G911" t="str">
        <f xml:space="preserve"> PROPER(_xlfn.CONCAT(Table13[[#This Row],[Title]]," ",Table13[[#This Row],[First Name]]," ",Table13[[#This Row],[Last Name]]))</f>
        <v>Mr Isaias Spangler</v>
      </c>
      <c r="H911" t="str">
        <f t="shared" si="28"/>
        <v>Mr I.Spangler</v>
      </c>
      <c r="I911" t="str">
        <f t="shared" si="29"/>
        <v>M</v>
      </c>
    </row>
    <row r="912" spans="1:9" x14ac:dyDescent="0.3">
      <c r="A912">
        <v>909</v>
      </c>
      <c r="B912" t="s">
        <v>3067</v>
      </c>
      <c r="C912" t="s">
        <v>38</v>
      </c>
      <c r="D912" t="s">
        <v>2353</v>
      </c>
      <c r="E912" t="str">
        <f>Table1[[#This Row],[Abbreviations]]</f>
        <v>Moulen House</v>
      </c>
      <c r="F912" t="s">
        <v>585</v>
      </c>
      <c r="G912" t="str">
        <f xml:space="preserve"> PROPER(_xlfn.CONCAT(Table13[[#This Row],[Title]]," ",Table13[[#This Row],[First Name]]," ",Table13[[#This Row],[Last Name]]))</f>
        <v>Mr Genaro Martin</v>
      </c>
      <c r="H912" t="str">
        <f t="shared" si="28"/>
        <v>Mr G.Martin</v>
      </c>
      <c r="I912" t="str">
        <f t="shared" si="29"/>
        <v>M</v>
      </c>
    </row>
    <row r="913" spans="1:9" x14ac:dyDescent="0.3">
      <c r="A913">
        <v>910</v>
      </c>
      <c r="B913" t="s">
        <v>210</v>
      </c>
      <c r="C913" t="s">
        <v>2289</v>
      </c>
      <c r="D913" t="s">
        <v>2353</v>
      </c>
      <c r="E913" t="str">
        <f>Table1[[#This Row],[Abbreviations]]</f>
        <v>Alison Close</v>
      </c>
      <c r="F913" t="s">
        <v>3070</v>
      </c>
      <c r="G913" t="str">
        <f xml:space="preserve"> PROPER(_xlfn.CONCAT(Table13[[#This Row],[Title]]," ",Table13[[#This Row],[First Name]]," ",Table13[[#This Row],[Last Name]]))</f>
        <v>Mr Dannie Pruitt</v>
      </c>
      <c r="H913" t="str">
        <f t="shared" si="28"/>
        <v>Mr D.Pruitt</v>
      </c>
      <c r="I913" t="str">
        <f t="shared" si="29"/>
        <v>M</v>
      </c>
    </row>
    <row r="914" spans="1:9" x14ac:dyDescent="0.3">
      <c r="A914">
        <v>911</v>
      </c>
      <c r="B914" t="s">
        <v>3071</v>
      </c>
      <c r="C914" t="s">
        <v>3072</v>
      </c>
      <c r="D914" t="s">
        <v>2353</v>
      </c>
      <c r="E914" t="str">
        <f>Table1[[#This Row],[Abbreviations]]</f>
        <v>Holborn</v>
      </c>
      <c r="F914" t="s">
        <v>2355</v>
      </c>
      <c r="G914" t="str">
        <f xml:space="preserve"> PROPER(_xlfn.CONCAT(Table13[[#This Row],[Title]]," ",Table13[[#This Row],[First Name]]," ",Table13[[#This Row],[Last Name]]))</f>
        <v>Mr Kareem Hutchison</v>
      </c>
      <c r="H914" t="str">
        <f t="shared" si="28"/>
        <v>Mr K.Hutchison</v>
      </c>
      <c r="I914" t="str">
        <f t="shared" si="29"/>
        <v>M</v>
      </c>
    </row>
    <row r="915" spans="1:9" x14ac:dyDescent="0.3">
      <c r="A915">
        <v>912</v>
      </c>
      <c r="B915" t="s">
        <v>3074</v>
      </c>
      <c r="C915" t="s">
        <v>2435</v>
      </c>
      <c r="D915" t="s">
        <v>2353</v>
      </c>
      <c r="E915" t="str">
        <f>Table1[[#This Row],[Abbreviations]]</f>
        <v>Friars Road</v>
      </c>
      <c r="F915" t="s">
        <v>3076</v>
      </c>
      <c r="G915" t="str">
        <f xml:space="preserve"> PROPER(_xlfn.CONCAT(Table13[[#This Row],[Title]]," ",Table13[[#This Row],[First Name]]," ",Table13[[#This Row],[Last Name]]))</f>
        <v>Mr Myles Daly</v>
      </c>
      <c r="H915" t="str">
        <f t="shared" si="28"/>
        <v>Mr M.Daly</v>
      </c>
      <c r="I915" t="str">
        <f t="shared" si="29"/>
        <v>M</v>
      </c>
    </row>
    <row r="916" spans="1:9" x14ac:dyDescent="0.3">
      <c r="A916">
        <v>913</v>
      </c>
      <c r="B916" t="s">
        <v>3077</v>
      </c>
      <c r="C916" t="s">
        <v>329</v>
      </c>
      <c r="D916" t="s">
        <v>2353</v>
      </c>
      <c r="E916" t="str">
        <f>Table1[[#This Row],[Abbreviations]]</f>
        <v>Kingfisher Close</v>
      </c>
      <c r="F916" t="s">
        <v>3078</v>
      </c>
      <c r="G916" t="str">
        <f xml:space="preserve"> PROPER(_xlfn.CONCAT(Table13[[#This Row],[Title]]," ",Table13[[#This Row],[First Name]]," ",Table13[[#This Row],[Last Name]]))</f>
        <v>Mr Bradley Paulson</v>
      </c>
      <c r="H916" t="str">
        <f t="shared" si="28"/>
        <v>Mr B.Paulson</v>
      </c>
      <c r="I916" t="str">
        <f t="shared" si="29"/>
        <v>M</v>
      </c>
    </row>
    <row r="917" spans="1:9" x14ac:dyDescent="0.3">
      <c r="A917">
        <v>914</v>
      </c>
      <c r="B917" t="s">
        <v>3079</v>
      </c>
      <c r="C917" t="s">
        <v>2410</v>
      </c>
      <c r="D917" t="s">
        <v>2353</v>
      </c>
      <c r="E917" t="str">
        <f>Table1[[#This Row],[Abbreviations]]</f>
        <v>Farnborough Way</v>
      </c>
      <c r="F917" t="s">
        <v>3081</v>
      </c>
      <c r="G917" t="str">
        <f xml:space="preserve"> PROPER(_xlfn.CONCAT(Table13[[#This Row],[Title]]," ",Table13[[#This Row],[First Name]]," ",Table13[[#This Row],[Last Name]]))</f>
        <v>Mr Lloyd Dahl</v>
      </c>
      <c r="H917" t="str">
        <f t="shared" si="28"/>
        <v>Mr L.Dahl</v>
      </c>
      <c r="I917" t="str">
        <f t="shared" si="29"/>
        <v>M</v>
      </c>
    </row>
    <row r="918" spans="1:9" x14ac:dyDescent="0.3">
      <c r="A918">
        <v>915</v>
      </c>
      <c r="B918" t="s">
        <v>3082</v>
      </c>
      <c r="C918" t="s">
        <v>3083</v>
      </c>
      <c r="D918" t="s">
        <v>2353</v>
      </c>
      <c r="E918" t="str">
        <f>Table1[[#This Row],[Abbreviations]]</f>
        <v>Brockley Hall</v>
      </c>
      <c r="F918" t="s">
        <v>1148</v>
      </c>
      <c r="G918" t="str">
        <f xml:space="preserve"> PROPER(_xlfn.CONCAT(Table13[[#This Row],[Title]]," ",Table13[[#This Row],[First Name]]," ",Table13[[#This Row],[Last Name]]))</f>
        <v>Mr Clyde Diggs</v>
      </c>
      <c r="H918" t="str">
        <f t="shared" si="28"/>
        <v>Mr C.Diggs</v>
      </c>
      <c r="I918" t="str">
        <f t="shared" si="29"/>
        <v>M</v>
      </c>
    </row>
    <row r="919" spans="1:9" x14ac:dyDescent="0.3">
      <c r="A919">
        <v>916</v>
      </c>
      <c r="B919" t="s">
        <v>3085</v>
      </c>
      <c r="C919" t="s">
        <v>3086</v>
      </c>
      <c r="D919" t="s">
        <v>2353</v>
      </c>
      <c r="E919" t="str">
        <f>Table1[[#This Row],[Abbreviations]]</f>
        <v>Garden Close</v>
      </c>
      <c r="F919" t="s">
        <v>3088</v>
      </c>
      <c r="G919" t="str">
        <f xml:space="preserve"> PROPER(_xlfn.CONCAT(Table13[[#This Row],[Title]]," ",Table13[[#This Row],[First Name]]," ",Table13[[#This Row],[Last Name]]))</f>
        <v>Mr Dylan Hoyt</v>
      </c>
      <c r="H919" t="str">
        <f t="shared" si="28"/>
        <v>Mr d.Hoyt</v>
      </c>
      <c r="I919" t="str">
        <f t="shared" si="29"/>
        <v>M</v>
      </c>
    </row>
    <row r="920" spans="1:9" x14ac:dyDescent="0.3">
      <c r="A920">
        <v>917</v>
      </c>
      <c r="B920" t="s">
        <v>3089</v>
      </c>
      <c r="C920" t="s">
        <v>692</v>
      </c>
      <c r="D920" t="s">
        <v>2353</v>
      </c>
      <c r="E920" t="str">
        <f>Table1[[#This Row],[Abbreviations]]</f>
        <v>Claps Gate</v>
      </c>
      <c r="F920" t="s">
        <v>3091</v>
      </c>
      <c r="G920" t="str">
        <f xml:space="preserve"> PROPER(_xlfn.CONCAT(Table13[[#This Row],[Title]]," ",Table13[[#This Row],[First Name]]," ",Table13[[#This Row],[Last Name]]))</f>
        <v>Mr Dewayne Walter</v>
      </c>
      <c r="H920" t="str">
        <f t="shared" si="28"/>
        <v>Mr D.Walter</v>
      </c>
      <c r="I920" t="str">
        <f t="shared" si="29"/>
        <v>M</v>
      </c>
    </row>
    <row r="921" spans="1:9" x14ac:dyDescent="0.3">
      <c r="A921">
        <v>918</v>
      </c>
      <c r="B921" t="s">
        <v>3092</v>
      </c>
      <c r="C921" t="s">
        <v>3093</v>
      </c>
      <c r="D921" t="s">
        <v>2353</v>
      </c>
      <c r="E921" t="str">
        <f>Table1[[#This Row],[Abbreviations]]</f>
        <v>Pierrepoint Road</v>
      </c>
      <c r="F921" t="s">
        <v>952</v>
      </c>
      <c r="G921" t="str">
        <f xml:space="preserve"> PROPER(_xlfn.CONCAT(Table13[[#This Row],[Title]]," ",Table13[[#This Row],[First Name]]," ",Table13[[#This Row],[Last Name]]))</f>
        <v>Mr Alonzo Rodrigues</v>
      </c>
      <c r="H921" t="str">
        <f t="shared" si="28"/>
        <v>Mr A.Rodrigues</v>
      </c>
      <c r="I921" t="str">
        <f t="shared" si="29"/>
        <v>M</v>
      </c>
    </row>
    <row r="922" spans="1:9" x14ac:dyDescent="0.3">
      <c r="A922">
        <v>919</v>
      </c>
      <c r="B922" t="s">
        <v>3095</v>
      </c>
      <c r="C922" t="s">
        <v>3096</v>
      </c>
      <c r="D922" t="s">
        <v>2353</v>
      </c>
      <c r="E922" t="str">
        <f>Table1[[#This Row],[Abbreviations]]</f>
        <v>Lobelia Close</v>
      </c>
      <c r="F922" t="s">
        <v>3098</v>
      </c>
      <c r="G922" t="str">
        <f xml:space="preserve"> PROPER(_xlfn.CONCAT(Table13[[#This Row],[Title]]," ",Table13[[#This Row],[First Name]]," ",Table13[[#This Row],[Last Name]]))</f>
        <v>Mr Jewel Oakes</v>
      </c>
      <c r="H922" t="str">
        <f t="shared" si="28"/>
        <v>Mr J.Oakes</v>
      </c>
      <c r="I922" t="str">
        <f t="shared" si="29"/>
        <v>M</v>
      </c>
    </row>
    <row r="923" spans="1:9" x14ac:dyDescent="0.3">
      <c r="A923">
        <v>920</v>
      </c>
      <c r="B923" t="s">
        <v>2544</v>
      </c>
      <c r="C923" t="s">
        <v>2081</v>
      </c>
      <c r="D923" t="s">
        <v>2353</v>
      </c>
      <c r="E923" t="str">
        <f>Table1[[#This Row],[Abbreviations]]</f>
        <v>Amies Street</v>
      </c>
      <c r="F923" t="s">
        <v>2748</v>
      </c>
      <c r="G923" t="str">
        <f xml:space="preserve"> PROPER(_xlfn.CONCAT(Table13[[#This Row],[Title]]," ",Table13[[#This Row],[First Name]]," ",Table13[[#This Row],[Last Name]]))</f>
        <v>Mr Arnoldo Wong</v>
      </c>
      <c r="H923" t="str">
        <f t="shared" si="28"/>
        <v>Mr A.Wong</v>
      </c>
      <c r="I923" t="str">
        <f t="shared" si="29"/>
        <v>M</v>
      </c>
    </row>
    <row r="924" spans="1:9" x14ac:dyDescent="0.3">
      <c r="A924">
        <v>921</v>
      </c>
      <c r="B924" t="s">
        <v>3100</v>
      </c>
      <c r="C924" t="s">
        <v>3101</v>
      </c>
      <c r="D924" t="s">
        <v>2353</v>
      </c>
      <c r="E924" t="str">
        <f>Table1[[#This Row],[Abbreviations]]</f>
        <v>Ottaway Street</v>
      </c>
      <c r="F924" t="s">
        <v>3103</v>
      </c>
      <c r="G924" t="str">
        <f xml:space="preserve"> PROPER(_xlfn.CONCAT(Table13[[#This Row],[Title]]," ",Table13[[#This Row],[First Name]]," ",Table13[[#This Row],[Last Name]]))</f>
        <v>Mr Orlando Hooker</v>
      </c>
      <c r="H924" t="str">
        <f t="shared" si="28"/>
        <v>Mr O.Hooker</v>
      </c>
      <c r="I924" t="str">
        <f t="shared" si="29"/>
        <v>M</v>
      </c>
    </row>
    <row r="925" spans="1:9" x14ac:dyDescent="0.3">
      <c r="A925">
        <v>922</v>
      </c>
      <c r="B925" t="s">
        <v>3104</v>
      </c>
      <c r="C925" t="s">
        <v>3105</v>
      </c>
      <c r="D925" t="s">
        <v>2353</v>
      </c>
      <c r="E925" t="str">
        <f>Table1[[#This Row],[Abbreviations]]</f>
        <v>Brunswick Mews</v>
      </c>
      <c r="F925" t="s">
        <v>433</v>
      </c>
      <c r="G925" t="str">
        <f xml:space="preserve"> PROPER(_xlfn.CONCAT(Table13[[#This Row],[Title]]," ",Table13[[#This Row],[First Name]]," ",Table13[[#This Row],[Last Name]]))</f>
        <v>Mr Irvin Sawyer</v>
      </c>
      <c r="H925" t="str">
        <f t="shared" si="28"/>
        <v>Mr I.Sawyer</v>
      </c>
      <c r="I925" t="str">
        <f t="shared" si="29"/>
        <v>M</v>
      </c>
    </row>
    <row r="926" spans="1:9" x14ac:dyDescent="0.3">
      <c r="A926">
        <v>923</v>
      </c>
      <c r="B926" t="s">
        <v>3106</v>
      </c>
      <c r="C926" t="s">
        <v>3107</v>
      </c>
      <c r="D926" t="s">
        <v>2353</v>
      </c>
      <c r="E926" t="str">
        <f>Table1[[#This Row],[Abbreviations]]</f>
        <v>Malthouse Drive</v>
      </c>
      <c r="F926" t="s">
        <v>577</v>
      </c>
      <c r="G926" t="str">
        <f xml:space="preserve"> PROPER(_xlfn.CONCAT(Table13[[#This Row],[Title]]," ",Table13[[#This Row],[First Name]]," ",Table13[[#This Row],[Last Name]]))</f>
        <v>Mr Stanton Walls</v>
      </c>
      <c r="H926" t="str">
        <f t="shared" si="28"/>
        <v>Mr S.Walls</v>
      </c>
      <c r="I926" t="str">
        <f t="shared" si="29"/>
        <v>M</v>
      </c>
    </row>
    <row r="927" spans="1:9" x14ac:dyDescent="0.3">
      <c r="A927">
        <v>924</v>
      </c>
      <c r="B927" t="s">
        <v>1528</v>
      </c>
      <c r="C927" t="s">
        <v>3109</v>
      </c>
      <c r="D927" t="s">
        <v>2353</v>
      </c>
      <c r="E927" t="str">
        <f>Table1[[#This Row],[Abbreviations]]</f>
        <v>Boyd Street</v>
      </c>
      <c r="F927" t="s">
        <v>33</v>
      </c>
      <c r="G927" t="str">
        <f xml:space="preserve"> PROPER(_xlfn.CONCAT(Table13[[#This Row],[Title]]," ",Table13[[#This Row],[First Name]]," ",Table13[[#This Row],[Last Name]]))</f>
        <v>Mr Wesley Connors</v>
      </c>
      <c r="H927" t="str">
        <f t="shared" si="28"/>
        <v>Mr W.Connors</v>
      </c>
      <c r="I927" t="str">
        <f t="shared" si="29"/>
        <v>M</v>
      </c>
    </row>
    <row r="928" spans="1:9" x14ac:dyDescent="0.3">
      <c r="A928">
        <v>925</v>
      </c>
      <c r="B928" t="s">
        <v>3111</v>
      </c>
      <c r="C928" t="s">
        <v>3112</v>
      </c>
      <c r="D928" t="s">
        <v>2353</v>
      </c>
      <c r="E928" t="str">
        <f>Table1[[#This Row],[Abbreviations]]</f>
        <v>Albert Avenue</v>
      </c>
      <c r="F928" t="s">
        <v>3114</v>
      </c>
      <c r="G928" t="str">
        <f xml:space="preserve"> PROPER(_xlfn.CONCAT(Table13[[#This Row],[Title]]," ",Table13[[#This Row],[First Name]]," ",Table13[[#This Row],[Last Name]]))</f>
        <v>Mr Bob Lara</v>
      </c>
      <c r="H928" t="str">
        <f t="shared" si="28"/>
        <v>Mr b.Lara</v>
      </c>
      <c r="I928" t="str">
        <f t="shared" si="29"/>
        <v>M</v>
      </c>
    </row>
    <row r="929" spans="1:9" x14ac:dyDescent="0.3">
      <c r="A929">
        <v>926</v>
      </c>
      <c r="B929" t="s">
        <v>3115</v>
      </c>
      <c r="C929" t="s">
        <v>1486</v>
      </c>
      <c r="D929" t="s">
        <v>2353</v>
      </c>
      <c r="E929" t="str">
        <f>Table1[[#This Row],[Abbreviations]]</f>
        <v>Lessar Avenue</v>
      </c>
      <c r="F929" t="s">
        <v>585</v>
      </c>
      <c r="G929" t="str">
        <f xml:space="preserve"> PROPER(_xlfn.CONCAT(Table13[[#This Row],[Title]]," ",Table13[[#This Row],[First Name]]," ",Table13[[#This Row],[Last Name]]))</f>
        <v>Mr Lincoln Velazquez</v>
      </c>
      <c r="H929" t="str">
        <f t="shared" si="28"/>
        <v>Mr L.Velazquez</v>
      </c>
      <c r="I929" t="str">
        <f t="shared" si="29"/>
        <v>M</v>
      </c>
    </row>
    <row r="930" spans="1:9" x14ac:dyDescent="0.3">
      <c r="A930">
        <v>927</v>
      </c>
      <c r="B930" t="s">
        <v>3117</v>
      </c>
      <c r="C930" t="s">
        <v>1819</v>
      </c>
      <c r="D930" t="s">
        <v>2353</v>
      </c>
      <c r="E930" t="str">
        <f>Table1[[#This Row],[Abbreviations]]</f>
        <v>Sturdys Cottage</v>
      </c>
      <c r="F930" t="s">
        <v>3118</v>
      </c>
      <c r="G930" t="str">
        <f xml:space="preserve"> PROPER(_xlfn.CONCAT(Table13[[#This Row],[Title]]," ",Table13[[#This Row],[First Name]]," ",Table13[[#This Row],[Last Name]]))</f>
        <v>Mr Thad Weston</v>
      </c>
      <c r="H930" t="str">
        <f t="shared" si="28"/>
        <v>Mr T.Weston</v>
      </c>
      <c r="I930" t="str">
        <f t="shared" si="29"/>
        <v>M</v>
      </c>
    </row>
    <row r="931" spans="1:9" x14ac:dyDescent="0.3">
      <c r="A931">
        <v>928</v>
      </c>
      <c r="B931" t="s">
        <v>1125</v>
      </c>
      <c r="C931" t="s">
        <v>3119</v>
      </c>
      <c r="D931" t="s">
        <v>2353</v>
      </c>
      <c r="E931" t="str">
        <f>Table1[[#This Row],[Abbreviations]]</f>
        <v>Blaker Road</v>
      </c>
      <c r="F931" t="s">
        <v>3121</v>
      </c>
      <c r="G931" t="str">
        <f xml:space="preserve"> PROPER(_xlfn.CONCAT(Table13[[#This Row],[Title]]," ",Table13[[#This Row],[First Name]]," ",Table13[[#This Row],[Last Name]]))</f>
        <v>Mr Christian Frazier</v>
      </c>
      <c r="H931" t="str">
        <f t="shared" si="28"/>
        <v>Mr C.Frazier</v>
      </c>
      <c r="I931" t="str">
        <f t="shared" si="29"/>
        <v>M</v>
      </c>
    </row>
    <row r="932" spans="1:9" x14ac:dyDescent="0.3">
      <c r="A932">
        <v>929</v>
      </c>
      <c r="B932" t="s">
        <v>2539</v>
      </c>
      <c r="C932" t="s">
        <v>3122</v>
      </c>
      <c r="D932" t="s">
        <v>2353</v>
      </c>
      <c r="E932" t="str">
        <f>Table1[[#This Row],[Abbreviations]]</f>
        <v>Southampton Mews</v>
      </c>
      <c r="F932" t="s">
        <v>3124</v>
      </c>
      <c r="G932" t="str">
        <f xml:space="preserve"> PROPER(_xlfn.CONCAT(Table13[[#This Row],[Title]]," ",Table13[[#This Row],[First Name]]," ",Table13[[#This Row],[Last Name]]))</f>
        <v>Mr Riley Goldman</v>
      </c>
      <c r="H932" t="str">
        <f t="shared" si="28"/>
        <v>Mr R.Goldman</v>
      </c>
      <c r="I932" t="str">
        <f t="shared" si="29"/>
        <v>M</v>
      </c>
    </row>
    <row r="933" spans="1:9" x14ac:dyDescent="0.3">
      <c r="A933">
        <v>930</v>
      </c>
      <c r="B933" t="s">
        <v>3125</v>
      </c>
      <c r="C933" t="s">
        <v>3126</v>
      </c>
      <c r="D933" t="s">
        <v>2353</v>
      </c>
      <c r="E933" t="str">
        <f>Table1[[#This Row],[Abbreviations]]</f>
        <v>Emerson Street</v>
      </c>
      <c r="F933" t="s">
        <v>3128</v>
      </c>
      <c r="G933" t="str">
        <f xml:space="preserve"> PROPER(_xlfn.CONCAT(Table13[[#This Row],[Title]]," ",Table13[[#This Row],[First Name]]," ",Table13[[#This Row],[Last Name]]))</f>
        <v>Mr Delmer Livingston</v>
      </c>
      <c r="H933" t="str">
        <f t="shared" si="28"/>
        <v>Mr D.Livingston</v>
      </c>
      <c r="I933" t="str">
        <f t="shared" si="29"/>
        <v>M</v>
      </c>
    </row>
    <row r="934" spans="1:9" x14ac:dyDescent="0.3">
      <c r="A934">
        <v>931</v>
      </c>
      <c r="B934" t="s">
        <v>2897</v>
      </c>
      <c r="C934" t="s">
        <v>3129</v>
      </c>
      <c r="D934" t="s">
        <v>2353</v>
      </c>
      <c r="E934" t="str">
        <f>Table1[[#This Row],[Abbreviations]]</f>
        <v>Garrick Avenue</v>
      </c>
      <c r="F934" t="s">
        <v>1287</v>
      </c>
      <c r="G934" t="str">
        <f xml:space="preserve"> PROPER(_xlfn.CONCAT(Table13[[#This Row],[Title]]," ",Table13[[#This Row],[First Name]]," ",Table13[[#This Row],[Last Name]]))</f>
        <v>Mr Gregg Brewer</v>
      </c>
      <c r="H934" t="str">
        <f t="shared" si="28"/>
        <v>Mr G.Brewer</v>
      </c>
      <c r="I934" t="str">
        <f t="shared" si="29"/>
        <v>M</v>
      </c>
    </row>
    <row r="935" spans="1:9" x14ac:dyDescent="0.3">
      <c r="A935">
        <v>932</v>
      </c>
      <c r="B935" t="s">
        <v>3131</v>
      </c>
      <c r="C935" t="s">
        <v>2539</v>
      </c>
      <c r="D935" t="s">
        <v>2353</v>
      </c>
      <c r="E935" t="str">
        <f>Table1[[#This Row],[Abbreviations]]</f>
        <v>North Dulwich</v>
      </c>
      <c r="F935" t="s">
        <v>496</v>
      </c>
      <c r="G935" t="str">
        <f xml:space="preserve"> PROPER(_xlfn.CONCAT(Table13[[#This Row],[Title]]," ",Table13[[#This Row],[First Name]]," ",Table13[[#This Row],[Last Name]]))</f>
        <v>Mr Hershel Riley</v>
      </c>
      <c r="H935" t="str">
        <f t="shared" si="28"/>
        <v>Mr H.Riley</v>
      </c>
      <c r="I935" t="str">
        <f t="shared" si="29"/>
        <v>M</v>
      </c>
    </row>
    <row r="936" spans="1:9" x14ac:dyDescent="0.3">
      <c r="A936">
        <v>933</v>
      </c>
      <c r="B936" t="s">
        <v>3133</v>
      </c>
      <c r="C936" t="s">
        <v>3134</v>
      </c>
      <c r="D936" t="s">
        <v>2353</v>
      </c>
      <c r="E936" t="str">
        <f>Table1[[#This Row],[Abbreviations]]</f>
        <v>St Crispins</v>
      </c>
      <c r="F936" t="s">
        <v>3136</v>
      </c>
      <c r="G936" t="str">
        <f xml:space="preserve"> PROPER(_xlfn.CONCAT(Table13[[#This Row],[Title]]," ",Table13[[#This Row],[First Name]]," ",Table13[[#This Row],[Last Name]]))</f>
        <v>Mr Toby Gagnon</v>
      </c>
      <c r="H936" t="str">
        <f t="shared" si="28"/>
        <v>Mr T.Gagnon</v>
      </c>
      <c r="I936" t="str">
        <f t="shared" si="29"/>
        <v>M</v>
      </c>
    </row>
    <row r="937" spans="1:9" x14ac:dyDescent="0.3">
      <c r="A937">
        <v>934</v>
      </c>
      <c r="B937" t="s">
        <v>2814</v>
      </c>
      <c r="C937" t="s">
        <v>3137</v>
      </c>
      <c r="D937" t="s">
        <v>2353</v>
      </c>
      <c r="E937" t="str">
        <f>Table1[[#This Row],[Abbreviations]]</f>
        <v>Selwood Place</v>
      </c>
      <c r="F937" t="s">
        <v>3139</v>
      </c>
      <c r="G937" t="str">
        <f xml:space="preserve"> PROPER(_xlfn.CONCAT(Table13[[#This Row],[Title]]," ",Table13[[#This Row],[First Name]]," ",Table13[[#This Row],[Last Name]]))</f>
        <v>Mr Maynard Griffin</v>
      </c>
      <c r="H937" t="str">
        <f t="shared" si="28"/>
        <v>Mr M.Griffin</v>
      </c>
      <c r="I937" t="str">
        <f t="shared" si="29"/>
        <v>M</v>
      </c>
    </row>
    <row r="938" spans="1:9" x14ac:dyDescent="0.3">
      <c r="A938">
        <v>935</v>
      </c>
      <c r="B938" t="s">
        <v>3140</v>
      </c>
      <c r="C938" t="s">
        <v>586</v>
      </c>
      <c r="D938" t="s">
        <v>2353</v>
      </c>
      <c r="E938" t="str">
        <f>Table1[[#This Row],[Abbreviations]]</f>
        <v>Uverdale Road</v>
      </c>
      <c r="F938" t="s">
        <v>3142</v>
      </c>
      <c r="G938" t="str">
        <f xml:space="preserve"> PROPER(_xlfn.CONCAT(Table13[[#This Row],[Title]]," ",Table13[[#This Row],[First Name]]," ",Table13[[#This Row],[Last Name]]))</f>
        <v>Mr Milford Whalen</v>
      </c>
      <c r="H938" t="str">
        <f t="shared" si="28"/>
        <v>Mr M.Whalen</v>
      </c>
      <c r="I938" t="str">
        <f t="shared" si="29"/>
        <v>M</v>
      </c>
    </row>
    <row r="939" spans="1:9" x14ac:dyDescent="0.3">
      <c r="A939">
        <v>936</v>
      </c>
      <c r="B939" t="s">
        <v>3143</v>
      </c>
      <c r="C939" t="s">
        <v>403</v>
      </c>
      <c r="D939" t="s">
        <v>2353</v>
      </c>
      <c r="E939" t="str">
        <f>Table1[[#This Row],[Abbreviations]]</f>
        <v>Chambon Place</v>
      </c>
      <c r="F939" t="s">
        <v>3145</v>
      </c>
      <c r="G939" t="str">
        <f xml:space="preserve"> PROPER(_xlfn.CONCAT(Table13[[#This Row],[Title]]," ",Table13[[#This Row],[First Name]]," ",Table13[[#This Row],[Last Name]]))</f>
        <v>Mr Stewart Hodges</v>
      </c>
      <c r="H939" t="str">
        <f t="shared" si="28"/>
        <v>Mr S.Hodges</v>
      </c>
      <c r="I939" t="str">
        <f t="shared" si="29"/>
        <v>M</v>
      </c>
    </row>
    <row r="940" spans="1:9" x14ac:dyDescent="0.3">
      <c r="A940">
        <v>937</v>
      </c>
      <c r="B940" t="s">
        <v>1371</v>
      </c>
      <c r="C940" t="s">
        <v>642</v>
      </c>
      <c r="D940" t="s">
        <v>2353</v>
      </c>
      <c r="E940" t="str">
        <f>Table1[[#This Row],[Abbreviations]]</f>
        <v>Faringford Road</v>
      </c>
      <c r="F940" t="s">
        <v>3088</v>
      </c>
      <c r="G940" t="str">
        <f xml:space="preserve"> PROPER(_xlfn.CONCAT(Table13[[#This Row],[Title]]," ",Table13[[#This Row],[First Name]]," ",Table13[[#This Row],[Last Name]]))</f>
        <v>Mr Toney Law</v>
      </c>
      <c r="H940" t="str">
        <f t="shared" si="28"/>
        <v>Mr T.Law</v>
      </c>
      <c r="I940" t="str">
        <f t="shared" si="29"/>
        <v>M</v>
      </c>
    </row>
    <row r="941" spans="1:9" x14ac:dyDescent="0.3">
      <c r="A941">
        <v>938</v>
      </c>
      <c r="B941" t="s">
        <v>3147</v>
      </c>
      <c r="C941" t="s">
        <v>1047</v>
      </c>
      <c r="D941" t="s">
        <v>2353</v>
      </c>
      <c r="E941" t="str">
        <f>Table1[[#This Row],[Abbreviations]]</f>
        <v>Sanctuary Buildings</v>
      </c>
      <c r="F941" t="s">
        <v>3149</v>
      </c>
      <c r="G941" t="str">
        <f xml:space="preserve"> PROPER(_xlfn.CONCAT(Table13[[#This Row],[Title]]," ",Table13[[#This Row],[First Name]]," ",Table13[[#This Row],[Last Name]]))</f>
        <v>Mr Leopoldo Muller</v>
      </c>
      <c r="H941" t="str">
        <f t="shared" si="28"/>
        <v>Mr L.Muller</v>
      </c>
      <c r="I941" t="str">
        <f t="shared" si="29"/>
        <v>M</v>
      </c>
    </row>
    <row r="942" spans="1:9" x14ac:dyDescent="0.3">
      <c r="A942">
        <v>939</v>
      </c>
      <c r="B942" t="s">
        <v>265</v>
      </c>
      <c r="C942" t="s">
        <v>188</v>
      </c>
      <c r="D942" t="s">
        <v>2353</v>
      </c>
      <c r="E942" t="str">
        <f>Table1[[#This Row],[Abbreviations]]</f>
        <v>Orlando Villas</v>
      </c>
      <c r="F942" t="s">
        <v>3151</v>
      </c>
      <c r="G942" t="str">
        <f xml:space="preserve"> PROPER(_xlfn.CONCAT(Table13[[#This Row],[Title]]," ",Table13[[#This Row],[First Name]]," ",Table13[[#This Row],[Last Name]]))</f>
        <v>Mr Abel Parson</v>
      </c>
      <c r="H942" t="str">
        <f t="shared" si="28"/>
        <v>Mr A.Parson</v>
      </c>
      <c r="I942" t="str">
        <f t="shared" si="29"/>
        <v>M</v>
      </c>
    </row>
    <row r="943" spans="1:9" x14ac:dyDescent="0.3">
      <c r="A943">
        <v>940</v>
      </c>
      <c r="B943" t="s">
        <v>3152</v>
      </c>
      <c r="C943" t="s">
        <v>3153</v>
      </c>
      <c r="D943" t="s">
        <v>2353</v>
      </c>
      <c r="E943" t="str">
        <f>Table1[[#This Row],[Abbreviations]]</f>
        <v>Cowthorpe Road</v>
      </c>
      <c r="F943" t="s">
        <v>3155</v>
      </c>
      <c r="G943" t="str">
        <f xml:space="preserve"> PROPER(_xlfn.CONCAT(Table13[[#This Row],[Title]]," ",Table13[[#This Row],[First Name]]," ",Table13[[#This Row],[Last Name]]))</f>
        <v>Mr Terence Jordan</v>
      </c>
      <c r="H943" t="str">
        <f t="shared" si="28"/>
        <v>Mr T.Jordan</v>
      </c>
      <c r="I943" t="str">
        <f t="shared" si="29"/>
        <v>M</v>
      </c>
    </row>
    <row r="944" spans="1:9" x14ac:dyDescent="0.3">
      <c r="A944">
        <v>941</v>
      </c>
      <c r="B944" t="s">
        <v>3156</v>
      </c>
      <c r="C944" t="s">
        <v>3157</v>
      </c>
      <c r="D944" t="s">
        <v>2353</v>
      </c>
      <c r="E944" t="str">
        <f>Table1[[#This Row],[Abbreviations]]</f>
        <v>Oxford Close</v>
      </c>
      <c r="F944" t="s">
        <v>506</v>
      </c>
      <c r="G944" t="str">
        <f xml:space="preserve"> PROPER(_xlfn.CONCAT(Table13[[#This Row],[Title]]," ",Table13[[#This Row],[First Name]]," ",Table13[[#This Row],[Last Name]]))</f>
        <v>Mr Salvatore Jacobs</v>
      </c>
      <c r="H944" t="str">
        <f t="shared" si="28"/>
        <v>Mr S.Jacobs</v>
      </c>
      <c r="I944" t="str">
        <f t="shared" si="29"/>
        <v>M</v>
      </c>
    </row>
    <row r="945" spans="1:9" x14ac:dyDescent="0.3">
      <c r="A945">
        <v>942</v>
      </c>
      <c r="B945" t="s">
        <v>3159</v>
      </c>
      <c r="C945" t="s">
        <v>3160</v>
      </c>
      <c r="D945" t="s">
        <v>2469</v>
      </c>
      <c r="E945" t="str">
        <f>Table1[[#This Row],[Abbreviations]]</f>
        <v>Anns Row</v>
      </c>
      <c r="F945" t="s">
        <v>696</v>
      </c>
      <c r="G945" t="str">
        <f xml:space="preserve"> PROPER(_xlfn.CONCAT(Table13[[#This Row],[Title]]," ",Table13[[#This Row],[First Name]]," ",Table13[[#This Row],[Last Name]]))</f>
        <v>Rev Casey Crawford</v>
      </c>
      <c r="H945" t="str">
        <f t="shared" si="28"/>
        <v>Rev C.Crawford</v>
      </c>
      <c r="I945" t="str">
        <f t="shared" si="29"/>
        <v>F</v>
      </c>
    </row>
    <row r="946" spans="1:9" x14ac:dyDescent="0.3">
      <c r="A946">
        <v>943</v>
      </c>
      <c r="B946" t="s">
        <v>3162</v>
      </c>
      <c r="C946" t="s">
        <v>3163</v>
      </c>
      <c r="D946" t="s">
        <v>2353</v>
      </c>
      <c r="E946" t="str">
        <f>Table1[[#This Row],[Abbreviations]]</f>
        <v>Margery Street</v>
      </c>
      <c r="F946" t="s">
        <v>3165</v>
      </c>
      <c r="G946" t="str">
        <f xml:space="preserve"> PROPER(_xlfn.CONCAT(Table13[[#This Row],[Title]]," ",Table13[[#This Row],[First Name]]," ",Table13[[#This Row],[Last Name]]))</f>
        <v>Mr Elmo Kendrick</v>
      </c>
      <c r="H946" t="str">
        <f t="shared" si="28"/>
        <v>Mr E.Kendrick</v>
      </c>
      <c r="I946" t="str">
        <f t="shared" si="29"/>
        <v>M</v>
      </c>
    </row>
    <row r="947" spans="1:9" x14ac:dyDescent="0.3">
      <c r="A947">
        <v>944</v>
      </c>
      <c r="B947" t="s">
        <v>2909</v>
      </c>
      <c r="C947" t="s">
        <v>3160</v>
      </c>
      <c r="D947" t="s">
        <v>2353</v>
      </c>
      <c r="E947" t="str">
        <f>Table1[[#This Row],[Abbreviations]]</f>
        <v>Bright Street</v>
      </c>
      <c r="F947" t="s">
        <v>3167</v>
      </c>
      <c r="G947" t="str">
        <f xml:space="preserve"> PROPER(_xlfn.CONCAT(Table13[[#This Row],[Title]]," ",Table13[[#This Row],[First Name]]," ",Table13[[#This Row],[Last Name]]))</f>
        <v>Mr Darrell Crawford</v>
      </c>
      <c r="H947" t="str">
        <f t="shared" si="28"/>
        <v>Mr D.Crawford</v>
      </c>
      <c r="I947" t="str">
        <f t="shared" si="29"/>
        <v>M</v>
      </c>
    </row>
    <row r="948" spans="1:9" x14ac:dyDescent="0.3">
      <c r="A948">
        <v>945</v>
      </c>
      <c r="B948" t="s">
        <v>3168</v>
      </c>
      <c r="C948" t="s">
        <v>3169</v>
      </c>
      <c r="D948" t="s">
        <v>2353</v>
      </c>
      <c r="E948" t="str">
        <f>Table1[[#This Row],[Abbreviations]]</f>
        <v>St Bartholomew</v>
      </c>
      <c r="F948" t="s">
        <v>3171</v>
      </c>
      <c r="G948" t="str">
        <f xml:space="preserve"> PROPER(_xlfn.CONCAT(Table13[[#This Row],[Title]]," ",Table13[[#This Row],[First Name]]," ",Table13[[#This Row],[Last Name]]))</f>
        <v>Mr Lon Rudd</v>
      </c>
      <c r="H948" t="str">
        <f t="shared" si="28"/>
        <v>Mr L.Rudd</v>
      </c>
      <c r="I948" t="str">
        <f t="shared" si="29"/>
        <v>M</v>
      </c>
    </row>
    <row r="949" spans="1:9" x14ac:dyDescent="0.3">
      <c r="A949">
        <v>946</v>
      </c>
      <c r="B949" t="s">
        <v>1073</v>
      </c>
      <c r="C949" t="s">
        <v>3172</v>
      </c>
      <c r="D949" t="s">
        <v>2353</v>
      </c>
      <c r="E949" t="str">
        <f>Table1[[#This Row],[Abbreviations]]</f>
        <v>Portsmouth Road</v>
      </c>
      <c r="F949" t="s">
        <v>3174</v>
      </c>
      <c r="G949" t="str">
        <f xml:space="preserve"> PROPER(_xlfn.CONCAT(Table13[[#This Row],[Title]]," ",Table13[[#This Row],[First Name]]," ",Table13[[#This Row],[Last Name]]))</f>
        <v>Mr Carl Bartley</v>
      </c>
      <c r="H949" t="str">
        <f t="shared" si="28"/>
        <v>Mr C.Bartley</v>
      </c>
      <c r="I949" t="str">
        <f t="shared" si="29"/>
        <v>M</v>
      </c>
    </row>
    <row r="950" spans="1:9" x14ac:dyDescent="0.3">
      <c r="A950">
        <v>947</v>
      </c>
      <c r="B950" t="s">
        <v>3175</v>
      </c>
      <c r="C950" t="s">
        <v>1458</v>
      </c>
      <c r="D950" t="s">
        <v>2353</v>
      </c>
      <c r="E950" t="str">
        <f>Table1[[#This Row],[Abbreviations]]</f>
        <v>Wharton Street</v>
      </c>
      <c r="F950" t="s">
        <v>3177</v>
      </c>
      <c r="G950" t="str">
        <f xml:space="preserve"> PROPER(_xlfn.CONCAT(Table13[[#This Row],[Title]]," ",Table13[[#This Row],[First Name]]," ",Table13[[#This Row],[Last Name]]))</f>
        <v>Mr Darin Hatch</v>
      </c>
      <c r="H950" t="str">
        <f t="shared" si="28"/>
        <v>Mr D.Hatch</v>
      </c>
      <c r="I950" t="str">
        <f t="shared" si="29"/>
        <v>M</v>
      </c>
    </row>
    <row r="951" spans="1:9" x14ac:dyDescent="0.3">
      <c r="A951">
        <v>948</v>
      </c>
      <c r="B951" t="s">
        <v>1249</v>
      </c>
      <c r="C951" t="s">
        <v>3178</v>
      </c>
      <c r="D951" t="s">
        <v>2353</v>
      </c>
      <c r="E951" t="str">
        <f>Table1[[#This Row],[Abbreviations]]</f>
        <v>Eyr Court</v>
      </c>
      <c r="F951" t="s">
        <v>2374</v>
      </c>
      <c r="G951" t="str">
        <f xml:space="preserve"> PROPER(_xlfn.CONCAT(Table13[[#This Row],[Title]]," ",Table13[[#This Row],[First Name]]," ",Table13[[#This Row],[Last Name]]))</f>
        <v>Mr Hunter Medina</v>
      </c>
      <c r="H951" t="str">
        <f t="shared" si="28"/>
        <v>Mr H.Medina</v>
      </c>
      <c r="I951" t="str">
        <f t="shared" si="29"/>
        <v>M</v>
      </c>
    </row>
    <row r="952" spans="1:9" x14ac:dyDescent="0.3">
      <c r="A952">
        <v>949</v>
      </c>
      <c r="B952" t="s">
        <v>3180</v>
      </c>
      <c r="C952" t="s">
        <v>711</v>
      </c>
      <c r="D952" t="s">
        <v>2353</v>
      </c>
      <c r="E952" t="str">
        <f>Table1[[#This Row],[Abbreviations]]</f>
        <v>Silvenhall</v>
      </c>
      <c r="F952" t="s">
        <v>2976</v>
      </c>
      <c r="G952" t="str">
        <f xml:space="preserve"> PROPER(_xlfn.CONCAT(Table13[[#This Row],[Title]]," ",Table13[[#This Row],[First Name]]," ",Table13[[#This Row],[Last Name]]))</f>
        <v>Mr Marquis Benson</v>
      </c>
      <c r="H952" t="str">
        <f t="shared" si="28"/>
        <v>Mr M.Benson</v>
      </c>
      <c r="I952" t="str">
        <f t="shared" si="29"/>
        <v>M</v>
      </c>
    </row>
    <row r="953" spans="1:9" x14ac:dyDescent="0.3">
      <c r="A953">
        <v>950</v>
      </c>
      <c r="B953" t="s">
        <v>2985</v>
      </c>
      <c r="C953" t="s">
        <v>3182</v>
      </c>
      <c r="D953" t="s">
        <v>2353</v>
      </c>
      <c r="E953" t="str">
        <f>Table1[[#This Row],[Abbreviations]]</f>
        <v>Ambrose Close</v>
      </c>
      <c r="F953" t="s">
        <v>568</v>
      </c>
      <c r="G953" t="str">
        <f xml:space="preserve"> PROPER(_xlfn.CONCAT(Table13[[#This Row],[Title]]," ",Table13[[#This Row],[First Name]]," ",Table13[[#This Row],[Last Name]]))</f>
        <v>Mr Matthew Schultz</v>
      </c>
      <c r="H953" t="str">
        <f t="shared" si="28"/>
        <v>Mr M.Schultz</v>
      </c>
      <c r="I953" t="str">
        <f t="shared" si="29"/>
        <v>M</v>
      </c>
    </row>
    <row r="954" spans="1:9" x14ac:dyDescent="0.3">
      <c r="A954">
        <v>951</v>
      </c>
      <c r="B954" t="s">
        <v>2378</v>
      </c>
      <c r="C954" t="s">
        <v>1825</v>
      </c>
      <c r="D954" t="s">
        <v>2353</v>
      </c>
      <c r="E954" t="str">
        <f>Table1[[#This Row],[Abbreviations]]</f>
        <v>Valance Avenue</v>
      </c>
      <c r="F954" t="s">
        <v>3185</v>
      </c>
      <c r="G954" t="str">
        <f xml:space="preserve"> PROPER(_xlfn.CONCAT(Table13[[#This Row],[Title]]," ",Table13[[#This Row],[First Name]]," ",Table13[[#This Row],[Last Name]]))</f>
        <v>Mr Dirk Major</v>
      </c>
      <c r="H954" t="str">
        <f t="shared" si="28"/>
        <v>Mr D.Major</v>
      </c>
      <c r="I954" t="str">
        <f t="shared" si="29"/>
        <v>M</v>
      </c>
    </row>
    <row r="955" spans="1:9" x14ac:dyDescent="0.3">
      <c r="A955">
        <v>952</v>
      </c>
      <c r="B955" t="s">
        <v>1797</v>
      </c>
      <c r="C955" t="s">
        <v>3186</v>
      </c>
      <c r="D955" t="s">
        <v>2353</v>
      </c>
      <c r="E955" t="str">
        <f>Table1[[#This Row],[Abbreviations]]</f>
        <v>Ashcroft Road</v>
      </c>
      <c r="F955" t="s">
        <v>2301</v>
      </c>
      <c r="G955" t="str">
        <f xml:space="preserve"> PROPER(_xlfn.CONCAT(Table13[[#This Row],[Title]]," ",Table13[[#This Row],[First Name]]," ",Table13[[#This Row],[Last Name]]))</f>
        <v>Mr Miles Hoskins</v>
      </c>
      <c r="H955" t="str">
        <f t="shared" si="28"/>
        <v>Mr M.HOSKINS</v>
      </c>
      <c r="I955" t="str">
        <f t="shared" si="29"/>
        <v>M</v>
      </c>
    </row>
    <row r="956" spans="1:9" x14ac:dyDescent="0.3">
      <c r="A956">
        <v>953</v>
      </c>
      <c r="B956" t="s">
        <v>3188</v>
      </c>
      <c r="C956" t="s">
        <v>3189</v>
      </c>
      <c r="D956" t="s">
        <v>2353</v>
      </c>
      <c r="E956" t="str">
        <f>Table1[[#This Row],[Abbreviations]]</f>
        <v>Conington Road</v>
      </c>
      <c r="F956" t="s">
        <v>3191</v>
      </c>
      <c r="G956" t="str">
        <f xml:space="preserve"> PROPER(_xlfn.CONCAT(Table13[[#This Row],[Title]]," ",Table13[[#This Row],[First Name]]," ",Table13[[#This Row],[Last Name]]))</f>
        <v>Mr Rashad Egan</v>
      </c>
      <c r="H956" t="str">
        <f t="shared" si="28"/>
        <v>Mr R.Egan</v>
      </c>
      <c r="I956" t="str">
        <f t="shared" si="29"/>
        <v>M</v>
      </c>
    </row>
    <row r="957" spans="1:9" x14ac:dyDescent="0.3">
      <c r="A957">
        <v>954</v>
      </c>
      <c r="B957" t="s">
        <v>1074</v>
      </c>
      <c r="C957" t="s">
        <v>823</v>
      </c>
      <c r="D957" t="s">
        <v>2353</v>
      </c>
      <c r="E957" t="str">
        <f>Table1[[#This Row],[Abbreviations]]</f>
        <v>Leeland Road</v>
      </c>
      <c r="F957" t="s">
        <v>3193</v>
      </c>
      <c r="G957" t="str">
        <f xml:space="preserve"> PROPER(_xlfn.CONCAT(Table13[[#This Row],[Title]]," ",Table13[[#This Row],[First Name]]," ",Table13[[#This Row],[Last Name]]))</f>
        <v>Mr Stacy Lindsay</v>
      </c>
      <c r="H957" t="str">
        <f t="shared" si="28"/>
        <v>Mr S.Lindsay</v>
      </c>
      <c r="I957" t="str">
        <f t="shared" si="29"/>
        <v>M</v>
      </c>
    </row>
    <row r="958" spans="1:9" x14ac:dyDescent="0.3">
      <c r="A958">
        <v>955</v>
      </c>
      <c r="B958" t="s">
        <v>3194</v>
      </c>
      <c r="C958" t="s">
        <v>3195</v>
      </c>
      <c r="D958" t="s">
        <v>2353</v>
      </c>
      <c r="E958" t="str">
        <f>Table1[[#This Row],[Abbreviations]]</f>
        <v>Vaudeville Court</v>
      </c>
      <c r="F958" t="s">
        <v>3197</v>
      </c>
      <c r="G958" t="str">
        <f xml:space="preserve"> PROPER(_xlfn.CONCAT(Table13[[#This Row],[Title]]," ",Table13[[#This Row],[First Name]]," ",Table13[[#This Row],[Last Name]]))</f>
        <v>Mr Federico Sherwood</v>
      </c>
      <c r="H958" t="str">
        <f t="shared" si="28"/>
        <v>Mr F.Sherwood</v>
      </c>
      <c r="I958" t="str">
        <f t="shared" si="29"/>
        <v>M</v>
      </c>
    </row>
    <row r="959" spans="1:9" x14ac:dyDescent="0.3">
      <c r="A959">
        <v>956</v>
      </c>
      <c r="B959" t="s">
        <v>3198</v>
      </c>
      <c r="C959" t="s">
        <v>569</v>
      </c>
      <c r="D959" t="s">
        <v>2353</v>
      </c>
      <c r="E959" t="str">
        <f>Table1[[#This Row],[Abbreviations]]</f>
        <v>North Passage</v>
      </c>
      <c r="F959" t="s">
        <v>3200</v>
      </c>
      <c r="G959" t="str">
        <f xml:space="preserve"> PROPER(_xlfn.CONCAT(Table13[[#This Row],[Title]]," ",Table13[[#This Row],[First Name]]," ",Table13[[#This Row],[Last Name]]))</f>
        <v>Mr Isiah Dempsey</v>
      </c>
      <c r="H959" t="str">
        <f t="shared" si="28"/>
        <v>Mr I.Dempsey</v>
      </c>
      <c r="I959" t="str">
        <f t="shared" si="29"/>
        <v>M</v>
      </c>
    </row>
    <row r="960" spans="1:9" x14ac:dyDescent="0.3">
      <c r="A960">
        <v>957</v>
      </c>
      <c r="B960" t="s">
        <v>3201</v>
      </c>
      <c r="C960" t="s">
        <v>1118</v>
      </c>
      <c r="D960" t="s">
        <v>2353</v>
      </c>
      <c r="E960" t="str">
        <f>Table1[[#This Row],[Abbreviations]]</f>
        <v>Ram Square</v>
      </c>
      <c r="F960" t="s">
        <v>555</v>
      </c>
      <c r="G960" t="str">
        <f xml:space="preserve"> PROPER(_xlfn.CONCAT(Table13[[#This Row],[Title]]," ",Table13[[#This Row],[First Name]]," ",Table13[[#This Row],[Last Name]]))</f>
        <v>Mr Domingo Kirkland</v>
      </c>
      <c r="H960" t="str">
        <f t="shared" si="28"/>
        <v>Mr D.Kirkland</v>
      </c>
      <c r="I960" t="str">
        <f t="shared" si="29"/>
        <v>M</v>
      </c>
    </row>
    <row r="961" spans="1:9" x14ac:dyDescent="0.3">
      <c r="A961">
        <v>958</v>
      </c>
      <c r="B961" t="s">
        <v>3203</v>
      </c>
      <c r="C961" t="s">
        <v>2691</v>
      </c>
      <c r="D961" t="s">
        <v>2353</v>
      </c>
      <c r="E961" t="str">
        <f>Table1[[#This Row],[Abbreviations]]</f>
        <v>South Parade</v>
      </c>
      <c r="F961" t="s">
        <v>2627</v>
      </c>
      <c r="G961" t="str">
        <f xml:space="preserve"> PROPER(_xlfn.CONCAT(Table13[[#This Row],[Title]]," ",Table13[[#This Row],[First Name]]," ",Table13[[#This Row],[Last Name]]))</f>
        <v>Mr Armand Rojas</v>
      </c>
      <c r="H961" t="str">
        <f t="shared" si="28"/>
        <v>Mr A.Rojas</v>
      </c>
      <c r="I961" t="str">
        <f t="shared" si="29"/>
        <v>M</v>
      </c>
    </row>
    <row r="962" spans="1:9" x14ac:dyDescent="0.3">
      <c r="A962">
        <v>959</v>
      </c>
      <c r="B962" t="s">
        <v>3205</v>
      </c>
      <c r="C962" t="s">
        <v>2275</v>
      </c>
      <c r="D962" t="s">
        <v>2353</v>
      </c>
      <c r="E962" t="str">
        <f>Table1[[#This Row],[Abbreviations]]</f>
        <v>Daigeish Street</v>
      </c>
      <c r="F962" t="s">
        <v>222</v>
      </c>
      <c r="G962" t="str">
        <f xml:space="preserve"> PROPER(_xlfn.CONCAT(Table13[[#This Row],[Title]]," ",Table13[[#This Row],[First Name]]," ",Table13[[#This Row],[Last Name]]))</f>
        <v>Mr Johnson Faulk</v>
      </c>
      <c r="H962" t="str">
        <f t="shared" si="28"/>
        <v>Mr J.Faulk</v>
      </c>
      <c r="I962" t="str">
        <f t="shared" si="29"/>
        <v>M</v>
      </c>
    </row>
    <row r="963" spans="1:9" x14ac:dyDescent="0.3">
      <c r="A963">
        <v>960</v>
      </c>
      <c r="B963" t="s">
        <v>2916</v>
      </c>
      <c r="C963" t="s">
        <v>134</v>
      </c>
      <c r="D963" t="s">
        <v>2353</v>
      </c>
      <c r="E963" t="str">
        <f>Table1[[#This Row],[Abbreviations]]</f>
        <v>Doyce Street</v>
      </c>
      <c r="F963" t="s">
        <v>3208</v>
      </c>
      <c r="G963" t="str">
        <f xml:space="preserve"> PROPER(_xlfn.CONCAT(Table13[[#This Row],[Title]]," ",Table13[[#This Row],[First Name]]," ",Table13[[#This Row],[Last Name]]))</f>
        <v>Mr Tanner Mcfadden</v>
      </c>
      <c r="H963" t="str">
        <f t="shared" si="28"/>
        <v>Mr T.Mcfadden</v>
      </c>
      <c r="I963" t="str">
        <f t="shared" si="29"/>
        <v>M</v>
      </c>
    </row>
    <row r="964" spans="1:9" x14ac:dyDescent="0.3">
      <c r="A964">
        <v>961</v>
      </c>
      <c r="B964" t="s">
        <v>3209</v>
      </c>
      <c r="C964" t="s">
        <v>2126</v>
      </c>
      <c r="D964" t="s">
        <v>2353</v>
      </c>
      <c r="E964" t="str">
        <f>Table1[[#This Row],[Abbreviations]]</f>
        <v>Morena Street</v>
      </c>
      <c r="F964" t="s">
        <v>643</v>
      </c>
      <c r="G964" t="str">
        <f xml:space="preserve"> PROPER(_xlfn.CONCAT(Table13[[#This Row],[Title]]," ",Table13[[#This Row],[First Name]]," ",Table13[[#This Row],[Last Name]]))</f>
        <v>Mr Danny Conley</v>
      </c>
      <c r="H964" t="str">
        <f t="shared" ref="H964:H1027" si="30">_xlfn.CONCAT(D964)&amp;" "&amp; LEFT(B964,1)&amp;"."&amp;C964</f>
        <v>Mr D.Conley</v>
      </c>
      <c r="I964" t="str">
        <f t="shared" ref="I964:I1027" si="31">IF(LEFT(D964,3)="Mr","M","F")</f>
        <v>M</v>
      </c>
    </row>
    <row r="965" spans="1:9" x14ac:dyDescent="0.3">
      <c r="A965">
        <v>962</v>
      </c>
      <c r="B965" t="s">
        <v>3211</v>
      </c>
      <c r="C965" t="s">
        <v>594</v>
      </c>
      <c r="D965" t="s">
        <v>2353</v>
      </c>
      <c r="E965" t="str">
        <f>Table1[[#This Row],[Abbreviations]]</f>
        <v>Topsfield Close</v>
      </c>
      <c r="F965" t="s">
        <v>148</v>
      </c>
      <c r="G965" t="str">
        <f xml:space="preserve"> PROPER(_xlfn.CONCAT(Table13[[#This Row],[Title]]," ",Table13[[#This Row],[First Name]]," ",Table13[[#This Row],[Last Name]]))</f>
        <v>Mr Salvador Boykin</v>
      </c>
      <c r="H965" t="str">
        <f t="shared" si="30"/>
        <v>Mr S.Boykin</v>
      </c>
      <c r="I965" t="str">
        <f t="shared" si="31"/>
        <v>M</v>
      </c>
    </row>
    <row r="966" spans="1:9" x14ac:dyDescent="0.3">
      <c r="A966">
        <v>963</v>
      </c>
      <c r="B966" t="s">
        <v>3213</v>
      </c>
      <c r="C966" t="s">
        <v>3214</v>
      </c>
      <c r="D966" t="s">
        <v>2353</v>
      </c>
      <c r="E966" t="str">
        <f>Table1[[#This Row],[Abbreviations]]</f>
        <v>Kotree Way</v>
      </c>
      <c r="F966" t="s">
        <v>255</v>
      </c>
      <c r="G966" t="str">
        <f xml:space="preserve"> PROPER(_xlfn.CONCAT(Table13[[#This Row],[Title]]," ",Table13[[#This Row],[First Name]]," ",Table13[[#This Row],[Last Name]]))</f>
        <v>Mr Virgilio Conrad</v>
      </c>
      <c r="H966" t="str">
        <f t="shared" si="30"/>
        <v>Mr V.Conrad</v>
      </c>
      <c r="I966" t="str">
        <f t="shared" si="31"/>
        <v>M</v>
      </c>
    </row>
    <row r="967" spans="1:9" x14ac:dyDescent="0.3">
      <c r="A967">
        <v>964</v>
      </c>
      <c r="B967" t="s">
        <v>2381</v>
      </c>
      <c r="C967" t="s">
        <v>307</v>
      </c>
      <c r="D967" t="s">
        <v>2353</v>
      </c>
      <c r="E967" t="str">
        <f>Table1[[#This Row],[Abbreviations]]</f>
        <v>Colegrove Road</v>
      </c>
      <c r="F967" t="s">
        <v>3217</v>
      </c>
      <c r="G967" t="str">
        <f xml:space="preserve"> PROPER(_xlfn.CONCAT(Table13[[#This Row],[Title]]," ",Table13[[#This Row],[First Name]]," ",Table13[[#This Row],[Last Name]]))</f>
        <v>Mr Chas Rollins</v>
      </c>
      <c r="H967" t="str">
        <f t="shared" si="30"/>
        <v>Mr C.Rollins</v>
      </c>
      <c r="I967" t="str">
        <f t="shared" si="31"/>
        <v>M</v>
      </c>
    </row>
    <row r="968" spans="1:9" x14ac:dyDescent="0.3">
      <c r="A968">
        <v>965</v>
      </c>
      <c r="B968" t="s">
        <v>3218</v>
      </c>
      <c r="C968" t="s">
        <v>2858</v>
      </c>
      <c r="D968" t="s">
        <v>2353</v>
      </c>
      <c r="E968" t="str">
        <f>Table1[[#This Row],[Abbreviations]]</f>
        <v>Coppetts Road</v>
      </c>
      <c r="F968" t="s">
        <v>64</v>
      </c>
      <c r="G968" t="str">
        <f xml:space="preserve"> PROPER(_xlfn.CONCAT(Table13[[#This Row],[Title]]," ",Table13[[#This Row],[First Name]]," ",Table13[[#This Row],[Last Name]]))</f>
        <v>Mr Dan Shipley</v>
      </c>
      <c r="H968" t="str">
        <f t="shared" si="30"/>
        <v>Mr D.Shipley</v>
      </c>
      <c r="I968" t="str">
        <f t="shared" si="31"/>
        <v>M</v>
      </c>
    </row>
    <row r="969" spans="1:9" x14ac:dyDescent="0.3">
      <c r="A969">
        <v>966</v>
      </c>
      <c r="B969" t="s">
        <v>3220</v>
      </c>
      <c r="C969" t="s">
        <v>989</v>
      </c>
      <c r="D969" t="s">
        <v>2353</v>
      </c>
      <c r="E969" t="str">
        <f>Table1[[#This Row],[Abbreviations]]</f>
        <v>Primrose Close</v>
      </c>
      <c r="F969" t="s">
        <v>399</v>
      </c>
      <c r="G969" t="str">
        <f xml:space="preserve"> PROPER(_xlfn.CONCAT(Table13[[#This Row],[Title]]," ",Table13[[#This Row],[First Name]]," ",Table13[[#This Row],[Last Name]]))</f>
        <v>Mr Shad Raymond</v>
      </c>
      <c r="H969" t="str">
        <f t="shared" si="30"/>
        <v>Mr S.Raymond</v>
      </c>
      <c r="I969" t="str">
        <f t="shared" si="31"/>
        <v>M</v>
      </c>
    </row>
    <row r="970" spans="1:9" x14ac:dyDescent="0.3">
      <c r="A970">
        <v>967</v>
      </c>
      <c r="B970" t="s">
        <v>3222</v>
      </c>
      <c r="C970" t="s">
        <v>400</v>
      </c>
      <c r="D970" t="s">
        <v>2353</v>
      </c>
      <c r="E970" t="str">
        <f>Table1[[#This Row],[Abbreviations]]</f>
        <v>Cambourne Avenue</v>
      </c>
      <c r="F970" t="s">
        <v>3224</v>
      </c>
      <c r="G970" t="str">
        <f xml:space="preserve"> PROPER(_xlfn.CONCAT(Table13[[#This Row],[Title]]," ",Table13[[#This Row],[First Name]]," ",Table13[[#This Row],[Last Name]]))</f>
        <v>Mr Burt Stubbs</v>
      </c>
      <c r="H970" t="str">
        <f t="shared" si="30"/>
        <v>Mr b.Stubbs</v>
      </c>
      <c r="I970" t="str">
        <f t="shared" si="31"/>
        <v>M</v>
      </c>
    </row>
    <row r="971" spans="1:9" x14ac:dyDescent="0.3">
      <c r="A971">
        <v>968</v>
      </c>
      <c r="B971" t="s">
        <v>3225</v>
      </c>
      <c r="C971" t="s">
        <v>3226</v>
      </c>
      <c r="D971" t="s">
        <v>2353</v>
      </c>
      <c r="E971" t="str">
        <f>Table1[[#This Row],[Abbreviations]]</f>
        <v>Hillside Terrace</v>
      </c>
      <c r="F971" t="s">
        <v>1366</v>
      </c>
      <c r="G971" t="str">
        <f xml:space="preserve"> PROPER(_xlfn.CONCAT(Table13[[#This Row],[Title]]," ",Table13[[#This Row],[First Name]]," ",Table13[[#This Row],[Last Name]]))</f>
        <v>Mr Arturo Mcghee</v>
      </c>
      <c r="H971" t="str">
        <f t="shared" si="30"/>
        <v>Mr A.Mcghee</v>
      </c>
      <c r="I971" t="str">
        <f t="shared" si="31"/>
        <v>M</v>
      </c>
    </row>
    <row r="972" spans="1:9" x14ac:dyDescent="0.3">
      <c r="A972">
        <v>969</v>
      </c>
      <c r="B972" t="s">
        <v>3228</v>
      </c>
      <c r="C972" t="s">
        <v>441</v>
      </c>
      <c r="D972" t="s">
        <v>2353</v>
      </c>
      <c r="E972" t="str">
        <f>Table1[[#This Row],[Abbreviations]]</f>
        <v>Herbert Mews</v>
      </c>
      <c r="F972" t="s">
        <v>979</v>
      </c>
      <c r="G972" t="str">
        <f xml:space="preserve"> PROPER(_xlfn.CONCAT(Table13[[#This Row],[Title]]," ",Table13[[#This Row],[First Name]]," ",Table13[[#This Row],[Last Name]]))</f>
        <v>Mr Brendan Tyler</v>
      </c>
      <c r="H972" t="str">
        <f t="shared" si="30"/>
        <v>Mr B.Tyler</v>
      </c>
      <c r="I972" t="str">
        <f t="shared" si="31"/>
        <v>M</v>
      </c>
    </row>
    <row r="973" spans="1:9" x14ac:dyDescent="0.3">
      <c r="A973">
        <v>970</v>
      </c>
      <c r="B973" t="s">
        <v>3230</v>
      </c>
      <c r="C973" t="s">
        <v>490</v>
      </c>
      <c r="D973" t="s">
        <v>2353</v>
      </c>
      <c r="E973" t="str">
        <f>Table1[[#This Row],[Abbreviations]]</f>
        <v>Primrose Mews</v>
      </c>
      <c r="F973" t="s">
        <v>3232</v>
      </c>
      <c r="G973" t="str">
        <f xml:space="preserve"> PROPER(_xlfn.CONCAT(Table13[[#This Row],[Title]]," ",Table13[[#This Row],[First Name]]," ",Table13[[#This Row],[Last Name]]))</f>
        <v>Mr Jamal Norman</v>
      </c>
      <c r="H973" t="str">
        <f t="shared" si="30"/>
        <v>Mr J.Norman</v>
      </c>
      <c r="I973" t="str">
        <f t="shared" si="31"/>
        <v>M</v>
      </c>
    </row>
    <row r="974" spans="1:9" x14ac:dyDescent="0.3">
      <c r="A974">
        <v>971</v>
      </c>
      <c r="B974" t="s">
        <v>2842</v>
      </c>
      <c r="C974" t="s">
        <v>654</v>
      </c>
      <c r="D974" t="s">
        <v>2353</v>
      </c>
      <c r="E974" t="str">
        <f>Table1[[#This Row],[Abbreviations]]</f>
        <v>Vibart Gardens</v>
      </c>
      <c r="F974" t="s">
        <v>973</v>
      </c>
      <c r="G974" t="str">
        <f xml:space="preserve"> PROPER(_xlfn.CONCAT(Table13[[#This Row],[Title]]," ",Table13[[#This Row],[First Name]]," ",Table13[[#This Row],[Last Name]]))</f>
        <v>Mr Garfield Eddy</v>
      </c>
      <c r="H974" t="str">
        <f t="shared" si="30"/>
        <v>Mr G.Eddy</v>
      </c>
      <c r="I974" t="str">
        <f t="shared" si="31"/>
        <v>M</v>
      </c>
    </row>
    <row r="975" spans="1:9" x14ac:dyDescent="0.3">
      <c r="A975">
        <v>972</v>
      </c>
      <c r="B975" t="s">
        <v>3234</v>
      </c>
      <c r="C975" t="s">
        <v>1894</v>
      </c>
      <c r="D975" t="s">
        <v>2353</v>
      </c>
      <c r="E975" t="str">
        <f>Table1[[#This Row],[Abbreviations]]</f>
        <v>Compton Mews</v>
      </c>
      <c r="F975" t="s">
        <v>373</v>
      </c>
      <c r="G975" t="str">
        <f xml:space="preserve"> PROPER(_xlfn.CONCAT(Table13[[#This Row],[Title]]," ",Table13[[#This Row],[First Name]]," ",Table13[[#This Row],[Last Name]]))</f>
        <v>Mr Bernard Cline</v>
      </c>
      <c r="H975" t="str">
        <f t="shared" si="30"/>
        <v>Mr B.Cline</v>
      </c>
      <c r="I975" t="str">
        <f t="shared" si="31"/>
        <v>M</v>
      </c>
    </row>
    <row r="976" spans="1:9" x14ac:dyDescent="0.3">
      <c r="A976">
        <v>973</v>
      </c>
      <c r="B976" t="s">
        <v>2214</v>
      </c>
      <c r="C976" t="s">
        <v>1771</v>
      </c>
      <c r="D976" t="s">
        <v>2469</v>
      </c>
      <c r="E976" t="str">
        <f>Table1[[#This Row],[Abbreviations]]</f>
        <v>Downsfield Road</v>
      </c>
      <c r="F976" t="s">
        <v>3237</v>
      </c>
      <c r="G976" t="str">
        <f xml:space="preserve"> PROPER(_xlfn.CONCAT(Table13[[#This Row],[Title]]," ",Table13[[#This Row],[First Name]]," ",Table13[[#This Row],[Last Name]]))</f>
        <v>Rev Curtis Parham</v>
      </c>
      <c r="H976" t="str">
        <f t="shared" si="30"/>
        <v>Rev C.Parham</v>
      </c>
      <c r="I976" t="str">
        <f t="shared" si="31"/>
        <v>F</v>
      </c>
    </row>
    <row r="977" spans="1:9" x14ac:dyDescent="0.3">
      <c r="A977">
        <v>974</v>
      </c>
      <c r="B977" t="s">
        <v>3238</v>
      </c>
      <c r="C977" t="s">
        <v>3122</v>
      </c>
      <c r="D977" t="s">
        <v>2353</v>
      </c>
      <c r="E977" t="str">
        <f>Table1[[#This Row],[Abbreviations]]</f>
        <v>Diamond Terrace</v>
      </c>
      <c r="F977" t="s">
        <v>3240</v>
      </c>
      <c r="G977" t="str">
        <f xml:space="preserve"> PROPER(_xlfn.CONCAT(Table13[[#This Row],[Title]]," ",Table13[[#This Row],[First Name]]," ",Table13[[#This Row],[Last Name]]))</f>
        <v>Mr Ronnie Goldman</v>
      </c>
      <c r="H977" t="str">
        <f t="shared" si="30"/>
        <v>Mr R.Goldman</v>
      </c>
      <c r="I977" t="str">
        <f t="shared" si="31"/>
        <v>M</v>
      </c>
    </row>
    <row r="978" spans="1:9" x14ac:dyDescent="0.3">
      <c r="A978">
        <v>975</v>
      </c>
      <c r="B978" t="s">
        <v>3241</v>
      </c>
      <c r="C978" t="s">
        <v>3242</v>
      </c>
      <c r="D978" t="s">
        <v>2353</v>
      </c>
      <c r="E978" t="str">
        <f>Table1[[#This Row],[Abbreviations]]</f>
        <v>Henrietta Cottages</v>
      </c>
      <c r="F978" t="s">
        <v>358</v>
      </c>
      <c r="G978" t="str">
        <f xml:space="preserve"> PROPER(_xlfn.CONCAT(Table13[[#This Row],[Title]]," ",Table13[[#This Row],[First Name]]," ",Table13[[#This Row],[Last Name]]))</f>
        <v>Mr Leandro Driver</v>
      </c>
      <c r="H978" t="str">
        <f t="shared" si="30"/>
        <v>Mr L.Driver</v>
      </c>
      <c r="I978" t="str">
        <f t="shared" si="31"/>
        <v>M</v>
      </c>
    </row>
    <row r="979" spans="1:9" x14ac:dyDescent="0.3">
      <c r="A979">
        <v>976</v>
      </c>
      <c r="B979" t="s">
        <v>997</v>
      </c>
      <c r="C979" t="s">
        <v>3244</v>
      </c>
      <c r="D979" t="s">
        <v>2353</v>
      </c>
      <c r="E979" t="str">
        <f>Table1[[#This Row],[Abbreviations]]</f>
        <v>Hammond Gardens</v>
      </c>
      <c r="F979" t="s">
        <v>3246</v>
      </c>
      <c r="G979" t="str">
        <f xml:space="preserve"> PROPER(_xlfn.CONCAT(Table13[[#This Row],[Title]]," ",Table13[[#This Row],[First Name]]," ",Table13[[#This Row],[Last Name]]))</f>
        <v>Mr Irwin Spivey</v>
      </c>
      <c r="H979" t="str">
        <f t="shared" si="30"/>
        <v>Mr I.Spivey</v>
      </c>
      <c r="I979" t="str">
        <f t="shared" si="31"/>
        <v>M</v>
      </c>
    </row>
    <row r="980" spans="1:9" x14ac:dyDescent="0.3">
      <c r="A980">
        <v>977</v>
      </c>
      <c r="B980" t="s">
        <v>3247</v>
      </c>
      <c r="C980" t="s">
        <v>1920</v>
      </c>
      <c r="D980" t="s">
        <v>2353</v>
      </c>
      <c r="E980" t="str">
        <f>Table1[[#This Row],[Abbreviations]]</f>
        <v>Electric Lane</v>
      </c>
      <c r="F980" t="s">
        <v>556</v>
      </c>
      <c r="G980" t="str">
        <f xml:space="preserve"> PROPER(_xlfn.CONCAT(Table13[[#This Row],[Title]]," ",Table13[[#This Row],[First Name]]," ",Table13[[#This Row],[Last Name]]))</f>
        <v>Mr Juan Ogden</v>
      </c>
      <c r="H980" t="str">
        <f t="shared" si="30"/>
        <v>Mr J.Ogden</v>
      </c>
      <c r="I980" t="str">
        <f t="shared" si="31"/>
        <v>M</v>
      </c>
    </row>
    <row r="981" spans="1:9" x14ac:dyDescent="0.3">
      <c r="A981">
        <v>978</v>
      </c>
      <c r="B981" t="s">
        <v>3249</v>
      </c>
      <c r="C981" t="s">
        <v>3250</v>
      </c>
      <c r="D981" t="s">
        <v>2353</v>
      </c>
      <c r="E981" t="str">
        <f>Table1[[#This Row],[Abbreviations]]</f>
        <v>Chesterfield Garden</v>
      </c>
      <c r="F981" t="s">
        <v>3252</v>
      </c>
      <c r="G981" t="str">
        <f xml:space="preserve"> PROPER(_xlfn.CONCAT(Table13[[#This Row],[Title]]," ",Table13[[#This Row],[First Name]]," ",Table13[[#This Row],[Last Name]]))</f>
        <v>Mr Claud Thorpe</v>
      </c>
      <c r="H981" t="str">
        <f t="shared" si="30"/>
        <v>Mr C.Thorpe</v>
      </c>
      <c r="I981" t="str">
        <f t="shared" si="31"/>
        <v>M</v>
      </c>
    </row>
    <row r="982" spans="1:9" x14ac:dyDescent="0.3">
      <c r="A982">
        <v>979</v>
      </c>
      <c r="B982" t="s">
        <v>3253</v>
      </c>
      <c r="C982" t="s">
        <v>201</v>
      </c>
      <c r="D982" t="s">
        <v>2353</v>
      </c>
      <c r="E982" t="str">
        <f>Table1[[#This Row],[Abbreviations]]</f>
        <v>Millais Road</v>
      </c>
      <c r="F982" t="s">
        <v>3255</v>
      </c>
      <c r="G982" t="str">
        <f xml:space="preserve"> PROPER(_xlfn.CONCAT(Table13[[#This Row],[Title]]," ",Table13[[#This Row],[First Name]]," ",Table13[[#This Row],[Last Name]]))</f>
        <v>Mr Damion Sadler</v>
      </c>
      <c r="H982" t="str">
        <f t="shared" si="30"/>
        <v>Mr D.Sadler</v>
      </c>
      <c r="I982" t="str">
        <f t="shared" si="31"/>
        <v>M</v>
      </c>
    </row>
    <row r="983" spans="1:9" x14ac:dyDescent="0.3">
      <c r="A983">
        <v>980</v>
      </c>
      <c r="B983" t="s">
        <v>3256</v>
      </c>
      <c r="C983" t="s">
        <v>3257</v>
      </c>
      <c r="D983" t="s">
        <v>2353</v>
      </c>
      <c r="E983" t="str">
        <f>Table1[[#This Row],[Abbreviations]]</f>
        <v>Caravel Close</v>
      </c>
      <c r="F983" t="s">
        <v>424</v>
      </c>
      <c r="G983" t="str">
        <f xml:space="preserve"> PROPER(_xlfn.CONCAT(Table13[[#This Row],[Title]]," ",Table13[[#This Row],[First Name]]," ",Table13[[#This Row],[Last Name]]))</f>
        <v>Mr Lucius Dick</v>
      </c>
      <c r="H983" t="str">
        <f t="shared" si="30"/>
        <v>Mr L.Dick</v>
      </c>
      <c r="I983" t="str">
        <f t="shared" si="31"/>
        <v>M</v>
      </c>
    </row>
    <row r="984" spans="1:9" x14ac:dyDescent="0.3">
      <c r="A984">
        <v>981</v>
      </c>
      <c r="B984" t="s">
        <v>3259</v>
      </c>
      <c r="C984" t="s">
        <v>2671</v>
      </c>
      <c r="D984" t="s">
        <v>2353</v>
      </c>
      <c r="E984" t="str">
        <f>Table1[[#This Row],[Abbreviations]]</f>
        <v>Castlands Road</v>
      </c>
      <c r="F984" t="s">
        <v>3261</v>
      </c>
      <c r="G984" t="str">
        <f xml:space="preserve"> PROPER(_xlfn.CONCAT(Table13[[#This Row],[Title]]," ",Table13[[#This Row],[First Name]]," ",Table13[[#This Row],[Last Name]]))</f>
        <v>Mr Korey Melvin</v>
      </c>
      <c r="H984" t="str">
        <f t="shared" si="30"/>
        <v>Mr K.Melvin</v>
      </c>
      <c r="I984" t="str">
        <f t="shared" si="31"/>
        <v>M</v>
      </c>
    </row>
    <row r="985" spans="1:9" x14ac:dyDescent="0.3">
      <c r="A985">
        <v>982</v>
      </c>
      <c r="B985" t="s">
        <v>3262</v>
      </c>
      <c r="C985" t="s">
        <v>442</v>
      </c>
      <c r="D985" t="s">
        <v>2353</v>
      </c>
      <c r="E985" t="str">
        <f>Table1[[#This Row],[Abbreviations]]</f>
        <v>Cyprus Street</v>
      </c>
      <c r="F985" t="s">
        <v>2693</v>
      </c>
      <c r="G985" t="str">
        <f xml:space="preserve"> PROPER(_xlfn.CONCAT(Table13[[#This Row],[Title]]," ",Table13[[#This Row],[First Name]]," ",Table13[[#This Row],[Last Name]]))</f>
        <v>Mr Gayle Corbin</v>
      </c>
      <c r="H985" t="str">
        <f t="shared" si="30"/>
        <v>Mr G.Corbin</v>
      </c>
      <c r="I985" t="str">
        <f t="shared" si="31"/>
        <v>M</v>
      </c>
    </row>
    <row r="986" spans="1:9" x14ac:dyDescent="0.3">
      <c r="A986">
        <v>983</v>
      </c>
      <c r="B986" t="s">
        <v>3043</v>
      </c>
      <c r="C986" t="s">
        <v>551</v>
      </c>
      <c r="D986" t="s">
        <v>2353</v>
      </c>
      <c r="E986" t="str">
        <f>Table1[[#This Row],[Abbreviations]]</f>
        <v>Clays Lane</v>
      </c>
      <c r="F986" t="s">
        <v>3252</v>
      </c>
      <c r="G986" t="str">
        <f xml:space="preserve"> PROPER(_xlfn.CONCAT(Table13[[#This Row],[Title]]," ",Table13[[#This Row],[First Name]]," ",Table13[[#This Row],[Last Name]]))</f>
        <v>Mr Ignacio Lake</v>
      </c>
      <c r="H986" t="str">
        <f t="shared" si="30"/>
        <v>Mr I.Lake</v>
      </c>
      <c r="I986" t="str">
        <f t="shared" si="31"/>
        <v>M</v>
      </c>
    </row>
    <row r="987" spans="1:9" x14ac:dyDescent="0.3">
      <c r="A987">
        <v>984</v>
      </c>
      <c r="B987" t="s">
        <v>1371</v>
      </c>
      <c r="C987" t="s">
        <v>307</v>
      </c>
      <c r="D987" t="s">
        <v>2353</v>
      </c>
      <c r="E987" t="str">
        <f>Table1[[#This Row],[Abbreviations]]</f>
        <v>Devon Cottages</v>
      </c>
      <c r="F987" t="s">
        <v>3266</v>
      </c>
      <c r="G987" t="str">
        <f xml:space="preserve"> PROPER(_xlfn.CONCAT(Table13[[#This Row],[Title]]," ",Table13[[#This Row],[First Name]]," ",Table13[[#This Row],[Last Name]]))</f>
        <v>Mr Toney Rollins</v>
      </c>
      <c r="H987" t="str">
        <f t="shared" si="30"/>
        <v>Mr T.Rollins</v>
      </c>
      <c r="I987" t="str">
        <f t="shared" si="31"/>
        <v>M</v>
      </c>
    </row>
    <row r="988" spans="1:9" x14ac:dyDescent="0.3">
      <c r="A988">
        <v>985</v>
      </c>
      <c r="B988" t="s">
        <v>3267</v>
      </c>
      <c r="C988" t="s">
        <v>3244</v>
      </c>
      <c r="D988" t="s">
        <v>2353</v>
      </c>
      <c r="E988" t="str">
        <f>Table1[[#This Row],[Abbreviations]]</f>
        <v>Blechynden Street</v>
      </c>
      <c r="F988" t="s">
        <v>3269</v>
      </c>
      <c r="G988" t="str">
        <f xml:space="preserve"> PROPER(_xlfn.CONCAT(Table13[[#This Row],[Title]]," ",Table13[[#This Row],[First Name]]," ",Table13[[#This Row],[Last Name]]))</f>
        <v>Mr Wilburn Spivey</v>
      </c>
      <c r="H988" t="str">
        <f t="shared" si="30"/>
        <v>Mr W.Spivey</v>
      </c>
      <c r="I988" t="str">
        <f t="shared" si="31"/>
        <v>M</v>
      </c>
    </row>
    <row r="989" spans="1:9" x14ac:dyDescent="0.3">
      <c r="A989">
        <v>986</v>
      </c>
      <c r="B989" t="s">
        <v>3270</v>
      </c>
      <c r="C989" t="s">
        <v>563</v>
      </c>
      <c r="D989" t="s">
        <v>2353</v>
      </c>
      <c r="E989" t="str">
        <f>Table1[[#This Row],[Abbreviations]]</f>
        <v>Pembroke Studios</v>
      </c>
      <c r="F989" t="s">
        <v>241</v>
      </c>
      <c r="G989" t="str">
        <f xml:space="preserve"> PROPER(_xlfn.CONCAT(Table13[[#This Row],[Title]]," ",Table13[[#This Row],[First Name]]," ",Table13[[#This Row],[Last Name]]))</f>
        <v>Mr Reginald Crum</v>
      </c>
      <c r="H989" t="str">
        <f t="shared" si="30"/>
        <v>Mr R.Crum</v>
      </c>
      <c r="I989" t="str">
        <f t="shared" si="31"/>
        <v>M</v>
      </c>
    </row>
    <row r="990" spans="1:9" x14ac:dyDescent="0.3">
      <c r="A990">
        <v>987</v>
      </c>
      <c r="B990" t="s">
        <v>3272</v>
      </c>
      <c r="C990" t="s">
        <v>2441</v>
      </c>
      <c r="D990" t="s">
        <v>2353</v>
      </c>
      <c r="E990" t="str">
        <f>Table1[[#This Row],[Abbreviations]]</f>
        <v>Dorncliffe Road</v>
      </c>
      <c r="F990" t="s">
        <v>411</v>
      </c>
      <c r="G990" t="str">
        <f xml:space="preserve"> PROPER(_xlfn.CONCAT(Table13[[#This Row],[Title]]," ",Table13[[#This Row],[First Name]]," ",Table13[[#This Row],[Last Name]]))</f>
        <v>Mr Robt Brantley</v>
      </c>
      <c r="H990" t="str">
        <f t="shared" si="30"/>
        <v>Mr R.Brantley</v>
      </c>
      <c r="I990" t="str">
        <f t="shared" si="31"/>
        <v>M</v>
      </c>
    </row>
    <row r="991" spans="1:9" x14ac:dyDescent="0.3">
      <c r="A991">
        <v>988</v>
      </c>
      <c r="B991" t="s">
        <v>2396</v>
      </c>
      <c r="C991" t="s">
        <v>827</v>
      </c>
      <c r="D991" t="s">
        <v>2353</v>
      </c>
      <c r="E991" t="str">
        <f>Table1[[#This Row],[Abbreviations]]</f>
        <v>Rokeby Houses</v>
      </c>
      <c r="F991" t="s">
        <v>1287</v>
      </c>
      <c r="G991" t="str">
        <f xml:space="preserve"> PROPER(_xlfn.CONCAT(Table13[[#This Row],[Title]]," ",Table13[[#This Row],[First Name]]," ",Table13[[#This Row],[Last Name]]))</f>
        <v>Mr Jared Boston</v>
      </c>
      <c r="H991" t="str">
        <f t="shared" si="30"/>
        <v>Mr J.Boston</v>
      </c>
      <c r="I991" t="str">
        <f t="shared" si="31"/>
        <v>M</v>
      </c>
    </row>
    <row r="992" spans="1:9" x14ac:dyDescent="0.3">
      <c r="A992">
        <v>989</v>
      </c>
      <c r="B992" t="s">
        <v>665</v>
      </c>
      <c r="C992" t="s">
        <v>2402</v>
      </c>
      <c r="D992" t="s">
        <v>2353</v>
      </c>
      <c r="E992" t="str">
        <f>Table1[[#This Row],[Abbreviations]]</f>
        <v>Green Avenue</v>
      </c>
      <c r="F992" t="s">
        <v>683</v>
      </c>
      <c r="G992" t="str">
        <f xml:space="preserve"> PROPER(_xlfn.CONCAT(Table13[[#This Row],[Title]]," ",Table13[[#This Row],[First Name]]," ",Table13[[#This Row],[Last Name]]))</f>
        <v>Mr Reyes Rushing</v>
      </c>
      <c r="H992" t="str">
        <f t="shared" si="30"/>
        <v>Mr R.Rushing</v>
      </c>
      <c r="I992" t="str">
        <f t="shared" si="31"/>
        <v>M</v>
      </c>
    </row>
    <row r="993" spans="1:9" x14ac:dyDescent="0.3">
      <c r="A993">
        <v>990</v>
      </c>
      <c r="B993" t="s">
        <v>3082</v>
      </c>
      <c r="C993" t="s">
        <v>3276</v>
      </c>
      <c r="D993" t="s">
        <v>2353</v>
      </c>
      <c r="E993" t="str">
        <f>Table1[[#This Row],[Abbreviations]]</f>
        <v>Playfair Street</v>
      </c>
      <c r="F993" t="s">
        <v>3278</v>
      </c>
      <c r="G993" t="str">
        <f xml:space="preserve"> PROPER(_xlfn.CONCAT(Table13[[#This Row],[Title]]," ",Table13[[#This Row],[First Name]]," ",Table13[[#This Row],[Last Name]]))</f>
        <v>Mr Clyde Faulkner</v>
      </c>
      <c r="H993" t="str">
        <f t="shared" si="30"/>
        <v>Mr C.Faulkner</v>
      </c>
      <c r="I993" t="str">
        <f t="shared" si="31"/>
        <v>M</v>
      </c>
    </row>
    <row r="994" spans="1:9" x14ac:dyDescent="0.3">
      <c r="A994">
        <v>991</v>
      </c>
      <c r="B994" t="s">
        <v>3279</v>
      </c>
      <c r="C994" t="s">
        <v>3280</v>
      </c>
      <c r="D994" t="s">
        <v>2353</v>
      </c>
      <c r="E994" t="str">
        <f>Table1[[#This Row],[Abbreviations]]</f>
        <v>Regents Place</v>
      </c>
      <c r="F994" t="s">
        <v>269</v>
      </c>
      <c r="G994" t="str">
        <f xml:space="preserve"> PROPER(_xlfn.CONCAT(Table13[[#This Row],[Title]]," ",Table13[[#This Row],[First Name]]," ",Table13[[#This Row],[Last Name]]))</f>
        <v>Mr Randal Leal</v>
      </c>
      <c r="H994" t="str">
        <f t="shared" si="30"/>
        <v>Mr R.Leal</v>
      </c>
      <c r="I994" t="str">
        <f t="shared" si="31"/>
        <v>M</v>
      </c>
    </row>
    <row r="995" spans="1:9" x14ac:dyDescent="0.3">
      <c r="A995">
        <v>992</v>
      </c>
      <c r="B995" t="s">
        <v>2483</v>
      </c>
      <c r="C995" t="s">
        <v>3282</v>
      </c>
      <c r="D995" t="s">
        <v>2353</v>
      </c>
      <c r="E995" t="str">
        <f>Table1[[#This Row],[Abbreviations]]</f>
        <v>Gibbs Avenue</v>
      </c>
      <c r="F995" t="s">
        <v>3284</v>
      </c>
      <c r="G995" t="str">
        <f xml:space="preserve"> PROPER(_xlfn.CONCAT(Table13[[#This Row],[Title]]," ",Table13[[#This Row],[First Name]]," ",Table13[[#This Row],[Last Name]]))</f>
        <v>Mr Graham Felton</v>
      </c>
      <c r="H995" t="str">
        <f t="shared" si="30"/>
        <v>Mr G.Felton</v>
      </c>
      <c r="I995" t="str">
        <f t="shared" si="31"/>
        <v>M</v>
      </c>
    </row>
    <row r="996" spans="1:9" x14ac:dyDescent="0.3">
      <c r="A996">
        <v>993</v>
      </c>
      <c r="B996" t="s">
        <v>977</v>
      </c>
      <c r="C996" t="s">
        <v>3285</v>
      </c>
      <c r="D996" t="s">
        <v>2353</v>
      </c>
      <c r="E996" t="str">
        <f>Table1[[#This Row],[Abbreviations]]</f>
        <v>Wendover Road</v>
      </c>
      <c r="F996" t="s">
        <v>3287</v>
      </c>
      <c r="G996" t="str">
        <f xml:space="preserve"> PROPER(_xlfn.CONCAT(Table13[[#This Row],[Title]]," ",Table13[[#This Row],[First Name]]," ",Table13[[#This Row],[Last Name]]))</f>
        <v>Mr Randall Good</v>
      </c>
      <c r="H996" t="str">
        <f t="shared" si="30"/>
        <v>Mr R.Good</v>
      </c>
      <c r="I996" t="str">
        <f t="shared" si="31"/>
        <v>M</v>
      </c>
    </row>
    <row r="997" spans="1:9" x14ac:dyDescent="0.3">
      <c r="A997">
        <v>994</v>
      </c>
      <c r="B997" t="s">
        <v>3288</v>
      </c>
      <c r="C997" t="s">
        <v>3134</v>
      </c>
      <c r="D997" t="s">
        <v>2353</v>
      </c>
      <c r="E997" t="str">
        <f>Table1[[#This Row],[Abbreviations]]</f>
        <v>Villa Road</v>
      </c>
      <c r="F997" t="s">
        <v>3290</v>
      </c>
      <c r="G997" t="str">
        <f xml:space="preserve"> PROPER(_xlfn.CONCAT(Table13[[#This Row],[Title]]," ",Table13[[#This Row],[First Name]]," ",Table13[[#This Row],[Last Name]]))</f>
        <v>Mr Carol Gagnon</v>
      </c>
      <c r="H997" t="str">
        <f t="shared" si="30"/>
        <v>Mr C.Gagnon</v>
      </c>
      <c r="I997" t="str">
        <f t="shared" si="31"/>
        <v>M</v>
      </c>
    </row>
    <row r="998" spans="1:9" x14ac:dyDescent="0.3">
      <c r="A998">
        <v>995</v>
      </c>
      <c r="B998" t="s">
        <v>3291</v>
      </c>
      <c r="C998" t="s">
        <v>3292</v>
      </c>
      <c r="D998" t="s">
        <v>2353</v>
      </c>
      <c r="E998" t="str">
        <f>Table1[[#This Row],[Abbreviations]]</f>
        <v>Sunnydale Road</v>
      </c>
      <c r="F998" t="s">
        <v>3294</v>
      </c>
      <c r="G998" t="str">
        <f xml:space="preserve"> PROPER(_xlfn.CONCAT(Table13[[#This Row],[Title]]," ",Table13[[#This Row],[First Name]]," ",Table13[[#This Row],[Last Name]]))</f>
        <v>Mr Rodney Harvey</v>
      </c>
      <c r="H998" t="str">
        <f t="shared" si="30"/>
        <v>Mr R.Harvey</v>
      </c>
      <c r="I998" t="str">
        <f t="shared" si="31"/>
        <v>M</v>
      </c>
    </row>
    <row r="999" spans="1:9" x14ac:dyDescent="0.3">
      <c r="A999">
        <v>996</v>
      </c>
      <c r="B999" t="s">
        <v>3295</v>
      </c>
      <c r="C999" t="s">
        <v>2311</v>
      </c>
      <c r="D999" t="s">
        <v>2353</v>
      </c>
      <c r="E999" t="str">
        <f>Table1[[#This Row],[Abbreviations]]</f>
        <v>Aldridge Walk</v>
      </c>
      <c r="F999" t="s">
        <v>3297</v>
      </c>
      <c r="G999" t="str">
        <f xml:space="preserve"> PROPER(_xlfn.CONCAT(Table13[[#This Row],[Title]]," ",Table13[[#This Row],[First Name]]," ",Table13[[#This Row],[Last Name]]))</f>
        <v>Mr Colin Watson</v>
      </c>
      <c r="H999" t="str">
        <f t="shared" si="30"/>
        <v>Mr C.Watson</v>
      </c>
      <c r="I999" t="str">
        <f t="shared" si="31"/>
        <v>M</v>
      </c>
    </row>
    <row r="1000" spans="1:9" x14ac:dyDescent="0.3">
      <c r="A1000">
        <v>997</v>
      </c>
      <c r="B1000" t="s">
        <v>2994</v>
      </c>
      <c r="C1000" t="s">
        <v>2789</v>
      </c>
      <c r="D1000" t="s">
        <v>2353</v>
      </c>
      <c r="E1000" t="str">
        <f>Table1[[#This Row],[Abbreviations]]</f>
        <v>Pump Lane</v>
      </c>
      <c r="F1000" t="s">
        <v>81</v>
      </c>
      <c r="G1000" t="str">
        <f xml:space="preserve"> PROPER(_xlfn.CONCAT(Table13[[#This Row],[Title]]," ",Table13[[#This Row],[First Name]]," ",Table13[[#This Row],[Last Name]]))</f>
        <v>Mr Winford Chu</v>
      </c>
      <c r="H1000" t="str">
        <f t="shared" si="30"/>
        <v>Mr W.Chu</v>
      </c>
      <c r="I1000" t="str">
        <f t="shared" si="31"/>
        <v>M</v>
      </c>
    </row>
    <row r="1001" spans="1:9" x14ac:dyDescent="0.3">
      <c r="A1001">
        <v>998</v>
      </c>
      <c r="B1001" t="s">
        <v>1836</v>
      </c>
      <c r="C1001" t="s">
        <v>984</v>
      </c>
      <c r="D1001" t="s">
        <v>2353</v>
      </c>
      <c r="E1001" t="str">
        <f>Table1[[#This Row],[Abbreviations]]</f>
        <v>Waterloo Road</v>
      </c>
      <c r="F1001" t="s">
        <v>320</v>
      </c>
      <c r="G1001" t="str">
        <f xml:space="preserve"> PROPER(_xlfn.CONCAT(Table13[[#This Row],[Title]]," ",Table13[[#This Row],[First Name]]," ",Table13[[#This Row],[Last Name]]))</f>
        <v>Mr Kirk Field</v>
      </c>
      <c r="H1001" t="str">
        <f t="shared" si="30"/>
        <v>Mr K.Field</v>
      </c>
      <c r="I1001" t="str">
        <f t="shared" si="31"/>
        <v>M</v>
      </c>
    </row>
    <row r="1002" spans="1:9" x14ac:dyDescent="0.3">
      <c r="A1002">
        <v>999</v>
      </c>
      <c r="B1002" t="s">
        <v>3300</v>
      </c>
      <c r="C1002" t="s">
        <v>1111</v>
      </c>
      <c r="D1002" t="s">
        <v>2353</v>
      </c>
      <c r="E1002" t="str">
        <f>Table1[[#This Row],[Abbreviations]]</f>
        <v>Oakshaw Road</v>
      </c>
      <c r="F1002" t="s">
        <v>611</v>
      </c>
      <c r="G1002" t="str">
        <f xml:space="preserve"> PROPER(_xlfn.CONCAT(Table13[[#This Row],[Title]]," ",Table13[[#This Row],[First Name]]," ",Table13[[#This Row],[Last Name]]))</f>
        <v>Mr Lupe Ziegler</v>
      </c>
      <c r="H1002" t="str">
        <f t="shared" si="30"/>
        <v>Mr L.Ziegler</v>
      </c>
      <c r="I1002" t="str">
        <f t="shared" si="31"/>
        <v>M</v>
      </c>
    </row>
    <row r="1003" spans="1:9" x14ac:dyDescent="0.3">
      <c r="A1003">
        <v>1000</v>
      </c>
      <c r="B1003" t="s">
        <v>3302</v>
      </c>
      <c r="C1003" t="s">
        <v>3303</v>
      </c>
      <c r="D1003" t="s">
        <v>2353</v>
      </c>
      <c r="E1003" t="str">
        <f>Table1[[#This Row],[Abbreviations]]</f>
        <v>Eyot Green</v>
      </c>
      <c r="F1003" t="s">
        <v>3305</v>
      </c>
      <c r="G1003" t="str">
        <f xml:space="preserve"> PROPER(_xlfn.CONCAT(Table13[[#This Row],[Title]]," ",Table13[[#This Row],[First Name]]," ",Table13[[#This Row],[Last Name]]))</f>
        <v>Mr Giuseppe Ricks</v>
      </c>
      <c r="H1003" t="str">
        <f t="shared" si="30"/>
        <v>Mr G.Ricks</v>
      </c>
      <c r="I1003" t="str">
        <f t="shared" si="31"/>
        <v>M</v>
      </c>
    </row>
    <row r="1004" spans="1:9" x14ac:dyDescent="0.3">
      <c r="A1004">
        <v>1001</v>
      </c>
      <c r="B1004" t="s">
        <v>3140</v>
      </c>
      <c r="C1004" t="s">
        <v>560</v>
      </c>
      <c r="D1004" t="s">
        <v>2353</v>
      </c>
      <c r="E1004" t="str">
        <f>Table1[[#This Row],[Abbreviations]]</f>
        <v>Deptford Market</v>
      </c>
      <c r="F1004" t="s">
        <v>3307</v>
      </c>
      <c r="G1004" t="str">
        <f xml:space="preserve"> PROPER(_xlfn.CONCAT(Table13[[#This Row],[Title]]," ",Table13[[#This Row],[First Name]]," ",Table13[[#This Row],[Last Name]]))</f>
        <v>Mr Milford Denny</v>
      </c>
      <c r="H1004" t="str">
        <f t="shared" si="30"/>
        <v>Mr M.Denny</v>
      </c>
      <c r="I1004" t="str">
        <f t="shared" si="31"/>
        <v>M</v>
      </c>
    </row>
    <row r="1005" spans="1:9" x14ac:dyDescent="0.3">
      <c r="A1005">
        <v>1002</v>
      </c>
      <c r="B1005" t="s">
        <v>3308</v>
      </c>
      <c r="C1005" t="s">
        <v>3309</v>
      </c>
      <c r="D1005" t="s">
        <v>2353</v>
      </c>
      <c r="E1005" t="str">
        <f>Table1[[#This Row],[Abbreviations]]</f>
        <v>Shannon Terrace</v>
      </c>
      <c r="F1005" t="s">
        <v>373</v>
      </c>
      <c r="G1005" t="str">
        <f xml:space="preserve"> PROPER(_xlfn.CONCAT(Table13[[#This Row],[Title]]," ",Table13[[#This Row],[First Name]]," ",Table13[[#This Row],[Last Name]]))</f>
        <v>Mr Jean Lutz</v>
      </c>
      <c r="H1005" t="str">
        <f t="shared" si="30"/>
        <v>Mr J.Lutz</v>
      </c>
      <c r="I1005" t="str">
        <f t="shared" si="31"/>
        <v>M</v>
      </c>
    </row>
    <row r="1006" spans="1:9" x14ac:dyDescent="0.3">
      <c r="A1006">
        <v>1003</v>
      </c>
      <c r="B1006" t="s">
        <v>498</v>
      </c>
      <c r="C1006" t="s">
        <v>2593</v>
      </c>
      <c r="D1006" t="s">
        <v>2353</v>
      </c>
      <c r="E1006" t="str">
        <f>Table1[[#This Row],[Abbreviations]]</f>
        <v>Loraine Cottages</v>
      </c>
      <c r="F1006" t="s">
        <v>2765</v>
      </c>
      <c r="G1006" t="str">
        <f xml:space="preserve"> PROPER(_xlfn.CONCAT(Table13[[#This Row],[Title]]," ",Table13[[#This Row],[First Name]]," ",Table13[[#This Row],[Last Name]]))</f>
        <v>Mr Long David</v>
      </c>
      <c r="H1006" t="str">
        <f t="shared" si="30"/>
        <v>Mr L.David</v>
      </c>
      <c r="I1006" t="str">
        <f t="shared" si="31"/>
        <v>M</v>
      </c>
    </row>
    <row r="1007" spans="1:9" x14ac:dyDescent="0.3">
      <c r="A1007">
        <v>1004</v>
      </c>
      <c r="B1007" t="s">
        <v>3312</v>
      </c>
      <c r="C1007" t="s">
        <v>3313</v>
      </c>
      <c r="D1007" t="s">
        <v>2353</v>
      </c>
      <c r="E1007" t="str">
        <f>Table1[[#This Row],[Abbreviations]]</f>
        <v>Budd Close</v>
      </c>
      <c r="F1007" t="s">
        <v>514</v>
      </c>
      <c r="G1007" t="str">
        <f xml:space="preserve"> PROPER(_xlfn.CONCAT(Table13[[#This Row],[Title]]," ",Table13[[#This Row],[First Name]]," ",Table13[[#This Row],[Last Name]]))</f>
        <v>Mr Lenny Engel</v>
      </c>
      <c r="H1007" t="str">
        <f t="shared" si="30"/>
        <v>Mr L.Engel</v>
      </c>
      <c r="I1007" t="str">
        <f t="shared" si="31"/>
        <v>M</v>
      </c>
    </row>
    <row r="1008" spans="1:9" x14ac:dyDescent="0.3">
      <c r="A1008">
        <v>1005</v>
      </c>
      <c r="B1008" t="s">
        <v>2453</v>
      </c>
      <c r="C1008" t="s">
        <v>3315</v>
      </c>
      <c r="D1008" t="s">
        <v>2353</v>
      </c>
      <c r="E1008" t="str">
        <f>Table1[[#This Row],[Abbreviations]]</f>
        <v>Chase</v>
      </c>
      <c r="F1008" t="s">
        <v>335</v>
      </c>
      <c r="G1008" t="str">
        <f xml:space="preserve"> PROPER(_xlfn.CONCAT(Table13[[#This Row],[Title]]," ",Table13[[#This Row],[First Name]]," ",Table13[[#This Row],[Last Name]]))</f>
        <v>Mr Guillermo Tate</v>
      </c>
      <c r="H1008" t="str">
        <f t="shared" si="30"/>
        <v>Mr G.Tate</v>
      </c>
      <c r="I1008" t="str">
        <f t="shared" si="31"/>
        <v>M</v>
      </c>
    </row>
    <row r="1009" spans="1:9" x14ac:dyDescent="0.3">
      <c r="A1009">
        <v>1006</v>
      </c>
      <c r="B1009" t="s">
        <v>981</v>
      </c>
      <c r="C1009" t="s">
        <v>3153</v>
      </c>
      <c r="D1009" t="s">
        <v>2353</v>
      </c>
      <c r="E1009" t="str">
        <f>Table1[[#This Row],[Abbreviations]]</f>
        <v>Karl Place</v>
      </c>
      <c r="F1009" t="s">
        <v>999</v>
      </c>
      <c r="G1009" t="str">
        <f xml:space="preserve"> PROPER(_xlfn.CONCAT(Table13[[#This Row],[Title]]," ",Table13[[#This Row],[First Name]]," ",Table13[[#This Row],[Last Name]]))</f>
        <v>Mr Boyce Jordan</v>
      </c>
      <c r="H1009" t="str">
        <f t="shared" si="30"/>
        <v>Mr B.Jordan</v>
      </c>
      <c r="I1009" t="str">
        <f t="shared" si="31"/>
        <v>M</v>
      </c>
    </row>
    <row r="1010" spans="1:9" x14ac:dyDescent="0.3">
      <c r="A1010">
        <v>1007</v>
      </c>
      <c r="B1010" t="s">
        <v>823</v>
      </c>
      <c r="C1010" t="s">
        <v>3318</v>
      </c>
      <c r="D1010" t="s">
        <v>2353</v>
      </c>
      <c r="E1010" t="str">
        <f>Table1[[#This Row],[Abbreviations]]</f>
        <v>Roslyn Road</v>
      </c>
      <c r="F1010" t="s">
        <v>371</v>
      </c>
      <c r="G1010" t="str">
        <f xml:space="preserve"> PROPER(_xlfn.CONCAT(Table13[[#This Row],[Title]]," ",Table13[[#This Row],[First Name]]," ",Table13[[#This Row],[Last Name]]))</f>
        <v>Mr Lindsay Andersen</v>
      </c>
      <c r="H1010" t="str">
        <f t="shared" si="30"/>
        <v>Mr L.Andersen</v>
      </c>
      <c r="I1010" t="str">
        <f t="shared" si="31"/>
        <v>M</v>
      </c>
    </row>
    <row r="1011" spans="1:9" x14ac:dyDescent="0.3">
      <c r="A1011">
        <v>1008</v>
      </c>
      <c r="B1011" t="s">
        <v>3320</v>
      </c>
      <c r="C1011" t="s">
        <v>1720</v>
      </c>
      <c r="D1011" t="s">
        <v>2353</v>
      </c>
      <c r="E1011" t="str">
        <f>Table1[[#This Row],[Abbreviations]]</f>
        <v>Woodside Grove</v>
      </c>
      <c r="F1011" t="s">
        <v>3322</v>
      </c>
      <c r="G1011" t="str">
        <f xml:space="preserve"> PROPER(_xlfn.CONCAT(Table13[[#This Row],[Title]]," ",Table13[[#This Row],[First Name]]," ",Table13[[#This Row],[Last Name]]))</f>
        <v>Mr Jeramy Kearney</v>
      </c>
      <c r="H1011" t="str">
        <f t="shared" si="30"/>
        <v>Mr J.Kearney</v>
      </c>
      <c r="I1011" t="str">
        <f t="shared" si="31"/>
        <v>M</v>
      </c>
    </row>
    <row r="1012" spans="1:9" x14ac:dyDescent="0.3">
      <c r="A1012">
        <v>1009</v>
      </c>
      <c r="B1012" t="s">
        <v>3323</v>
      </c>
      <c r="C1012" t="s">
        <v>3324</v>
      </c>
      <c r="D1012" t="s">
        <v>55</v>
      </c>
      <c r="E1012" t="str">
        <f>Table1[[#This Row],[Abbreviations]]</f>
        <v>Oliphant Street</v>
      </c>
      <c r="F1012" t="s">
        <v>3326</v>
      </c>
      <c r="G1012" t="str">
        <f xml:space="preserve"> PROPER(_xlfn.CONCAT(Table13[[#This Row],[Title]]," ",Table13[[#This Row],[First Name]]," ",Table13[[#This Row],[Last Name]]))</f>
        <v>Prof Fidel Tracy</v>
      </c>
      <c r="H1012" t="str">
        <f t="shared" si="30"/>
        <v>Prof F.Tracy</v>
      </c>
      <c r="I1012" t="str">
        <f t="shared" si="31"/>
        <v>F</v>
      </c>
    </row>
    <row r="1013" spans="1:9" x14ac:dyDescent="0.3">
      <c r="A1013">
        <v>1010</v>
      </c>
      <c r="B1013" t="s">
        <v>3327</v>
      </c>
      <c r="C1013" t="s">
        <v>552</v>
      </c>
      <c r="D1013" t="s">
        <v>318</v>
      </c>
      <c r="E1013" t="str">
        <f>Table1[[#This Row],[Abbreviations]]</f>
        <v>Hylton Street</v>
      </c>
      <c r="F1013" t="s">
        <v>3294</v>
      </c>
      <c r="G1013" t="str">
        <f xml:space="preserve"> PROPER(_xlfn.CONCAT(Table13[[#This Row],[Title]]," ",Table13[[#This Row],[First Name]]," ",Table13[[#This Row],[Last Name]]))</f>
        <v>Dr Arlen Lowery</v>
      </c>
      <c r="H1013" t="str">
        <f t="shared" si="30"/>
        <v>Dr A.Lowery</v>
      </c>
      <c r="I1013" t="str">
        <f t="shared" si="31"/>
        <v>F</v>
      </c>
    </row>
    <row r="1014" spans="1:9" x14ac:dyDescent="0.3">
      <c r="A1014">
        <v>1011</v>
      </c>
      <c r="B1014" t="s">
        <v>3329</v>
      </c>
      <c r="C1014" t="s">
        <v>936</v>
      </c>
      <c r="D1014" t="s">
        <v>318</v>
      </c>
      <c r="E1014" t="str">
        <f>Table1[[#This Row],[Abbreviations]]</f>
        <v>St Saviours</v>
      </c>
      <c r="F1014" t="s">
        <v>478</v>
      </c>
      <c r="G1014" t="str">
        <f xml:space="preserve"> PROPER(_xlfn.CONCAT(Table13[[#This Row],[Title]]," ",Table13[[#This Row],[First Name]]," ",Table13[[#This Row],[Last Name]]))</f>
        <v>Dr Shaun Weber</v>
      </c>
      <c r="H1014" t="str">
        <f t="shared" si="30"/>
        <v>Dr S.Weber</v>
      </c>
      <c r="I1014" t="str">
        <f t="shared" si="31"/>
        <v>F</v>
      </c>
    </row>
    <row r="1015" spans="1:9" x14ac:dyDescent="0.3">
      <c r="A1015">
        <v>1012</v>
      </c>
      <c r="B1015" t="s">
        <v>3331</v>
      </c>
      <c r="C1015" t="s">
        <v>3332</v>
      </c>
      <c r="D1015" t="s">
        <v>2353</v>
      </c>
      <c r="E1015" t="str">
        <f>Table1[[#This Row],[Abbreviations]]</f>
        <v>Millbank Way</v>
      </c>
      <c r="F1015" t="s">
        <v>459</v>
      </c>
      <c r="G1015" t="str">
        <f xml:space="preserve"> PROPER(_xlfn.CONCAT(Table13[[#This Row],[Title]]," ",Table13[[#This Row],[First Name]]," ",Table13[[#This Row],[Last Name]]))</f>
        <v>Mr Greg Fountain</v>
      </c>
      <c r="H1015" t="str">
        <f t="shared" si="30"/>
        <v>Mr G.Fountain</v>
      </c>
      <c r="I1015" t="str">
        <f t="shared" si="31"/>
        <v>M</v>
      </c>
    </row>
    <row r="1016" spans="1:9" x14ac:dyDescent="0.3">
      <c r="A1016">
        <v>1013</v>
      </c>
      <c r="B1016" t="s">
        <v>2578</v>
      </c>
      <c r="C1016" t="s">
        <v>232</v>
      </c>
      <c r="D1016" t="s">
        <v>2353</v>
      </c>
      <c r="E1016" t="str">
        <f>Table1[[#This Row],[Abbreviations]]</f>
        <v>Albion Cottages</v>
      </c>
      <c r="F1016" t="s">
        <v>374</v>
      </c>
      <c r="G1016" t="str">
        <f xml:space="preserve"> PROPER(_xlfn.CONCAT(Table13[[#This Row],[Title]]," ",Table13[[#This Row],[First Name]]," ",Table13[[#This Row],[Last Name]]))</f>
        <v>Mr Walker Byrd</v>
      </c>
      <c r="H1016" t="str">
        <f t="shared" si="30"/>
        <v>Mr W.Byrd</v>
      </c>
      <c r="I1016" t="str">
        <f t="shared" si="31"/>
        <v>M</v>
      </c>
    </row>
    <row r="1017" spans="1:9" x14ac:dyDescent="0.3">
      <c r="A1017">
        <v>1014</v>
      </c>
      <c r="B1017" t="s">
        <v>3335</v>
      </c>
      <c r="C1017" t="s">
        <v>1665</v>
      </c>
      <c r="D1017" t="s">
        <v>2353</v>
      </c>
      <c r="E1017" t="str">
        <f>Table1[[#This Row],[Abbreviations]]</f>
        <v>Cambrian Close</v>
      </c>
      <c r="F1017" t="s">
        <v>468</v>
      </c>
      <c r="G1017" t="str">
        <f xml:space="preserve"> PROPER(_xlfn.CONCAT(Table13[[#This Row],[Title]]," ",Table13[[#This Row],[First Name]]," ",Table13[[#This Row],[Last Name]]))</f>
        <v>Mr Alphonse Belcher</v>
      </c>
      <c r="H1017" t="str">
        <f t="shared" si="30"/>
        <v>Mr A.Belcher</v>
      </c>
      <c r="I1017" t="str">
        <f t="shared" si="31"/>
        <v>M</v>
      </c>
    </row>
    <row r="1018" spans="1:9" x14ac:dyDescent="0.3">
      <c r="A1018">
        <v>1015</v>
      </c>
      <c r="B1018" t="s">
        <v>3337</v>
      </c>
      <c r="C1018" t="s">
        <v>535</v>
      </c>
      <c r="D1018" t="s">
        <v>2353</v>
      </c>
      <c r="E1018" t="str">
        <f>Table1[[#This Row],[Abbreviations]]</f>
        <v>Burdett Close</v>
      </c>
      <c r="F1018" t="s">
        <v>3088</v>
      </c>
      <c r="G1018" t="str">
        <f xml:space="preserve"> PROPER(_xlfn.CONCAT(Table13[[#This Row],[Title]]," ",Table13[[#This Row],[First Name]]," ",Table13[[#This Row],[Last Name]]))</f>
        <v>Mr Emanuel Gibbons</v>
      </c>
      <c r="H1018" t="str">
        <f t="shared" si="30"/>
        <v>Mr E.Gibbons</v>
      </c>
      <c r="I1018" t="str">
        <f t="shared" si="31"/>
        <v>M</v>
      </c>
    </row>
    <row r="1019" spans="1:9" x14ac:dyDescent="0.3">
      <c r="A1019">
        <v>1016</v>
      </c>
      <c r="B1019" t="s">
        <v>1340</v>
      </c>
      <c r="C1019" t="s">
        <v>3339</v>
      </c>
      <c r="D1019" t="s">
        <v>2353</v>
      </c>
      <c r="E1019" t="str">
        <f>Table1[[#This Row],[Abbreviations]]</f>
        <v>Hope Street</v>
      </c>
      <c r="F1019" t="s">
        <v>3341</v>
      </c>
      <c r="G1019" t="str">
        <f xml:space="preserve"> PROPER(_xlfn.CONCAT(Table13[[#This Row],[Title]]," ",Table13[[#This Row],[First Name]]," ",Table13[[#This Row],[Last Name]]))</f>
        <v>Mr Sheldon Hardin</v>
      </c>
      <c r="H1019" t="str">
        <f t="shared" si="30"/>
        <v>Mr S.Hardin</v>
      </c>
      <c r="I1019" t="str">
        <f t="shared" si="31"/>
        <v>M</v>
      </c>
    </row>
    <row r="1020" spans="1:9" x14ac:dyDescent="0.3">
      <c r="A1020">
        <v>1017</v>
      </c>
      <c r="B1020" t="s">
        <v>3342</v>
      </c>
      <c r="C1020" t="s">
        <v>3343</v>
      </c>
      <c r="D1020" t="s">
        <v>2353</v>
      </c>
      <c r="E1020" t="str">
        <f>Table1[[#This Row],[Abbreviations]]</f>
        <v>Balnacraig Avenue</v>
      </c>
      <c r="F1020" t="s">
        <v>411</v>
      </c>
      <c r="G1020" t="str">
        <f xml:space="preserve"> PROPER(_xlfn.CONCAT(Table13[[#This Row],[Title]]," ",Table13[[#This Row],[First Name]]," ",Table13[[#This Row],[Last Name]]))</f>
        <v>Mr Rick Land</v>
      </c>
      <c r="H1020" t="str">
        <f t="shared" si="30"/>
        <v>Mr R.Land</v>
      </c>
      <c r="I1020" t="str">
        <f t="shared" si="31"/>
        <v>M</v>
      </c>
    </row>
    <row r="1021" spans="1:9" x14ac:dyDescent="0.3">
      <c r="A1021">
        <v>1018</v>
      </c>
      <c r="B1021" t="s">
        <v>2375</v>
      </c>
      <c r="C1021" t="s">
        <v>3345</v>
      </c>
      <c r="D1021" t="s">
        <v>2353</v>
      </c>
      <c r="E1021" t="str">
        <f>Table1[[#This Row],[Abbreviations]]</f>
        <v>Glendish Road</v>
      </c>
      <c r="F1021" t="s">
        <v>2653</v>
      </c>
      <c r="G1021" t="str">
        <f xml:space="preserve"> PROPER(_xlfn.CONCAT(Table13[[#This Row],[Title]]," ",Table13[[#This Row],[First Name]]," ",Table13[[#This Row],[Last Name]]))</f>
        <v>Mr Jerrell Franco</v>
      </c>
      <c r="H1021" t="str">
        <f t="shared" si="30"/>
        <v>Mr J.Franco</v>
      </c>
      <c r="I1021" t="str">
        <f t="shared" si="31"/>
        <v>M</v>
      </c>
    </row>
    <row r="1022" spans="1:9" x14ac:dyDescent="0.3">
      <c r="A1022">
        <v>1019</v>
      </c>
      <c r="B1022" t="s">
        <v>3347</v>
      </c>
      <c r="C1022" t="s">
        <v>3348</v>
      </c>
      <c r="D1022" t="s">
        <v>2353</v>
      </c>
      <c r="E1022" t="str">
        <f>Table1[[#This Row],[Abbreviations]]</f>
        <v>Golden Plover</v>
      </c>
      <c r="F1022" t="s">
        <v>1560</v>
      </c>
      <c r="G1022" t="str">
        <f xml:space="preserve"> PROPER(_xlfn.CONCAT(Table13[[#This Row],[Title]]," ",Table13[[#This Row],[First Name]]," ",Table13[[#This Row],[Last Name]]))</f>
        <v>Mr Abdul Friedman</v>
      </c>
      <c r="H1022" t="str">
        <f t="shared" si="30"/>
        <v>Mr A.Friedman</v>
      </c>
      <c r="I1022" t="str">
        <f t="shared" si="31"/>
        <v>M</v>
      </c>
    </row>
    <row r="1023" spans="1:9" x14ac:dyDescent="0.3">
      <c r="A1023">
        <v>1020</v>
      </c>
      <c r="B1023" t="s">
        <v>3300</v>
      </c>
      <c r="C1023" t="s">
        <v>3350</v>
      </c>
      <c r="D1023" t="s">
        <v>2353</v>
      </c>
      <c r="E1023" t="str">
        <f>Table1[[#This Row],[Abbreviations]]</f>
        <v>Chaseley Drive</v>
      </c>
      <c r="F1023" t="s">
        <v>628</v>
      </c>
      <c r="G1023" t="str">
        <f xml:space="preserve"> PROPER(_xlfn.CONCAT(Table13[[#This Row],[Title]]," ",Table13[[#This Row],[First Name]]," ",Table13[[#This Row],[Last Name]]))</f>
        <v>Mr Lupe Hampton</v>
      </c>
      <c r="H1023" t="str">
        <f t="shared" si="30"/>
        <v>Mr L.Hampton</v>
      </c>
      <c r="I1023" t="str">
        <f t="shared" si="31"/>
        <v>M</v>
      </c>
    </row>
    <row r="1024" spans="1:9" x14ac:dyDescent="0.3">
      <c r="A1024">
        <v>1021</v>
      </c>
      <c r="B1024" t="s">
        <v>3352</v>
      </c>
      <c r="C1024" t="s">
        <v>3079</v>
      </c>
      <c r="D1024" t="s">
        <v>2353</v>
      </c>
      <c r="E1024" t="str">
        <f>Table1[[#This Row],[Abbreviations]]</f>
        <v>Prowse Place</v>
      </c>
      <c r="F1024" t="s">
        <v>3114</v>
      </c>
      <c r="G1024" t="str">
        <f xml:space="preserve"> PROPER(_xlfn.CONCAT(Table13[[#This Row],[Title]]," ",Table13[[#This Row],[First Name]]," ",Table13[[#This Row],[Last Name]]))</f>
        <v>Mr Mel Lloyd</v>
      </c>
      <c r="H1024" t="str">
        <f t="shared" si="30"/>
        <v>Mr M.Lloyd</v>
      </c>
      <c r="I1024" t="str">
        <f t="shared" si="31"/>
        <v>M</v>
      </c>
    </row>
    <row r="1025" spans="1:9" x14ac:dyDescent="0.3">
      <c r="A1025">
        <v>1022</v>
      </c>
      <c r="B1025" t="s">
        <v>2818</v>
      </c>
      <c r="C1025" t="s">
        <v>3354</v>
      </c>
      <c r="D1025" t="s">
        <v>2353</v>
      </c>
      <c r="E1025" t="str">
        <f>Table1[[#This Row],[Abbreviations]]</f>
        <v>Westmacott Street</v>
      </c>
      <c r="F1025" t="s">
        <v>3356</v>
      </c>
      <c r="G1025" t="str">
        <f xml:space="preserve"> PROPER(_xlfn.CONCAT(Table13[[#This Row],[Title]]," ",Table13[[#This Row],[First Name]]," ",Table13[[#This Row],[Last Name]]))</f>
        <v>Mr Rodrigo Beck</v>
      </c>
      <c r="H1025" t="str">
        <f t="shared" si="30"/>
        <v>Mr R.Beck</v>
      </c>
      <c r="I1025" t="str">
        <f t="shared" si="31"/>
        <v>M</v>
      </c>
    </row>
    <row r="1026" spans="1:9" x14ac:dyDescent="0.3">
      <c r="A1026">
        <v>1023</v>
      </c>
      <c r="B1026" t="s">
        <v>3357</v>
      </c>
      <c r="C1026" t="s">
        <v>549</v>
      </c>
      <c r="D1026" t="s">
        <v>2353</v>
      </c>
      <c r="E1026" t="str">
        <f>Table1[[#This Row],[Abbreviations]]</f>
        <v>Blomfield Circus</v>
      </c>
      <c r="F1026" t="s">
        <v>3359</v>
      </c>
      <c r="G1026" t="str">
        <f xml:space="preserve"> PROPER(_xlfn.CONCAT(Table13[[#This Row],[Title]]," ",Table13[[#This Row],[First Name]]," ",Table13[[#This Row],[Last Name]]))</f>
        <v>Mr Shawn Howell</v>
      </c>
      <c r="H1026" t="str">
        <f t="shared" si="30"/>
        <v>Mr S.Howell</v>
      </c>
      <c r="I1026" t="str">
        <f t="shared" si="31"/>
        <v>M</v>
      </c>
    </row>
    <row r="1027" spans="1:9" x14ac:dyDescent="0.3">
      <c r="A1027">
        <v>1024</v>
      </c>
      <c r="B1027" t="s">
        <v>2401</v>
      </c>
      <c r="C1027" t="s">
        <v>3360</v>
      </c>
      <c r="D1027" t="s">
        <v>2353</v>
      </c>
      <c r="E1027" t="str">
        <f>Table1[[#This Row],[Abbreviations]]</f>
        <v>Brancaster Drive</v>
      </c>
      <c r="F1027" t="s">
        <v>577</v>
      </c>
      <c r="G1027" t="str">
        <f xml:space="preserve"> PROPER(_xlfn.CONCAT(Table13[[#This Row],[Title]]," ",Table13[[#This Row],[First Name]]," ",Table13[[#This Row],[Last Name]]))</f>
        <v>Mr Philip Lockwood</v>
      </c>
      <c r="H1027" t="str">
        <f t="shared" si="30"/>
        <v>Mr P.Lockwood</v>
      </c>
      <c r="I1027" t="str">
        <f t="shared" si="31"/>
        <v>M</v>
      </c>
    </row>
    <row r="1028" spans="1:9" x14ac:dyDescent="0.3">
      <c r="A1028">
        <v>1025</v>
      </c>
      <c r="B1028" t="s">
        <v>3362</v>
      </c>
      <c r="C1028" t="s">
        <v>3363</v>
      </c>
      <c r="D1028" t="s">
        <v>2353</v>
      </c>
      <c r="E1028" t="str">
        <f>Table1[[#This Row],[Abbreviations]]</f>
        <v>Litchfield Street</v>
      </c>
      <c r="F1028" t="s">
        <v>1534</v>
      </c>
      <c r="G1028" t="str">
        <f xml:space="preserve"> PROPER(_xlfn.CONCAT(Table13[[#This Row],[Title]]," ",Table13[[#This Row],[First Name]]," ",Table13[[#This Row],[Last Name]]))</f>
        <v>Mr Virgil Lane</v>
      </c>
      <c r="H1028" t="str">
        <f t="shared" ref="H1028" si="32">_xlfn.CONCAT(D1028)&amp;" "&amp; LEFT(B1028,1)&amp;"."&amp;C1028</f>
        <v>Mr V.Lane</v>
      </c>
      <c r="I1028" t="str">
        <f t="shared" ref="I1028" si="33">IF(LEFT(D1028,3)="Mr","M","F")</f>
        <v>M</v>
      </c>
    </row>
  </sheetData>
  <sheetProtection algorithmName="SHA-512" hashValue="uE2HToUQEOfzq0xeOnHn4+zOfYqoSJzf2i8RnA76+bUlW9QJPeCuqfbK1AkBjCdTwvzO4P+y6vz1impRRWcYUw==" saltValue="bNCapAD4YrhV3utxsP1nyg==" spinCount="100000" sheet="1" objects="1" scenarios="1"/>
  <mergeCells count="10">
    <mergeCell ref="K7:R7"/>
    <mergeCell ref="K10:R11"/>
    <mergeCell ref="K12:R12"/>
    <mergeCell ref="K9:R9"/>
    <mergeCell ref="K14:R14"/>
    <mergeCell ref="A2:G2"/>
    <mergeCell ref="H2:I2"/>
    <mergeCell ref="K5:R6"/>
    <mergeCell ref="K4:R4"/>
    <mergeCell ref="K3:R3"/>
  </mergeCells>
  <phoneticPr fontId="5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 5.0</vt:lpstr>
      <vt:lpstr>Task 5.1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Bocij</dc:creator>
  <cp:lastModifiedBy>YASH PAWAR</cp:lastModifiedBy>
  <dcterms:created xsi:type="dcterms:W3CDTF">2011-02-09T22:40:01Z</dcterms:created>
  <dcterms:modified xsi:type="dcterms:W3CDTF">2024-08-17T22:34:28Z</dcterms:modified>
</cp:coreProperties>
</file>