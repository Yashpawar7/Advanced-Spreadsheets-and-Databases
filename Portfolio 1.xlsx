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LL DOCUMENTS\ASTON NOTES\Referred\SUBMISSION\"/>
    </mc:Choice>
  </mc:AlternateContent>
  <xr:revisionPtr revIDLastSave="0" documentId="13_ncr:1_{14AE2391-230F-43E4-B967-A0AB7DAB3D9D}" xr6:coauthVersionLast="47" xr6:coauthVersionMax="47" xr10:uidLastSave="{00000000-0000-0000-0000-000000000000}"/>
  <workbookProtection workbookAlgorithmName="SHA-512" workbookHashValue="LLwMHTxFWkTp0yju9upfUOVWBELiZFP8ZZ535BfTnYLRi4tZXnUU1eV+asgWSGo3fvv7HRj62oXjIIIEWLmsyg==" workbookSaltValue="0hrx7zBKSZDnpYJ4hVNjoA==" workbookSpinCount="100000" lockStructure="1"/>
  <bookViews>
    <workbookView xWindow="-108" yWindow="-108" windowWidth="23256" windowHeight="13896" xr2:uid="{D7175912-C428-41E8-B961-A3D788E906B0}"/>
  </bookViews>
  <sheets>
    <sheet name="Task 1.0" sheetId="1" r:id="rId1"/>
    <sheet name="Task 1.1" sheetId="2" r:id="rId2"/>
    <sheet name="Task 1.2" sheetId="3" r:id="rId3"/>
    <sheet name="Task 1.3" sheetId="4" r:id="rId4"/>
    <sheet name="Task 1.3(1)" sheetId="5" r:id="rId5"/>
    <sheet name="Task 1.3(Optional)" sheetId="6" r:id="rId6"/>
    <sheet name="Task 1.4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3" l="1"/>
  <c r="D71" i="3" l="1"/>
  <c r="E71" i="3"/>
  <c r="F71" i="3"/>
  <c r="G71" i="3"/>
  <c r="J54" i="3"/>
  <c r="J56" i="3" s="1"/>
  <c r="I54" i="3"/>
  <c r="I56" i="3" s="1"/>
  <c r="H54" i="3"/>
  <c r="H56" i="3" s="1"/>
  <c r="E56" i="3"/>
  <c r="D56" i="3"/>
  <c r="C56" i="3"/>
  <c r="E58" i="3" s="1"/>
  <c r="J39" i="3"/>
  <c r="J41" i="3" s="1"/>
  <c r="I39" i="3"/>
  <c r="I41" i="3" s="1"/>
  <c r="H41" i="3"/>
  <c r="J43" i="3" s="1"/>
  <c r="E41" i="3"/>
  <c r="D41" i="3"/>
  <c r="C41" i="3"/>
  <c r="E43" i="3" s="1"/>
  <c r="J24" i="3"/>
  <c r="J26" i="3" s="1"/>
  <c r="I24" i="3"/>
  <c r="I26" i="3" s="1"/>
  <c r="H24" i="3"/>
  <c r="H26" i="3" s="1"/>
  <c r="E26" i="3"/>
  <c r="D26" i="3"/>
  <c r="C26" i="3"/>
  <c r="J9" i="3"/>
  <c r="J11" i="3" s="1"/>
  <c r="I9" i="3"/>
  <c r="I11" i="3" s="1"/>
  <c r="H9" i="3"/>
  <c r="H11" i="3" s="1"/>
  <c r="E11" i="3"/>
  <c r="D11" i="3"/>
  <c r="C11" i="3"/>
  <c r="E28" i="3" l="1"/>
  <c r="J58" i="3"/>
  <c r="J28" i="3"/>
  <c r="E13" i="3"/>
  <c r="J13" i="3"/>
  <c r="E19" i="7" l="1"/>
  <c r="J19" i="7"/>
  <c r="I16" i="7"/>
  <c r="H16" i="7"/>
  <c r="J14" i="7"/>
  <c r="J16" i="7" s="1"/>
  <c r="I14" i="7"/>
  <c r="H14" i="7"/>
  <c r="E15" i="7"/>
  <c r="D15" i="7"/>
  <c r="C15" i="7"/>
  <c r="H6" i="7"/>
  <c r="C36" i="6"/>
  <c r="F36" i="6" s="1"/>
  <c r="C31" i="6"/>
  <c r="D31" i="6" s="1"/>
  <c r="E31" i="6" s="1"/>
  <c r="C30" i="6"/>
  <c r="D30" i="6" s="1"/>
  <c r="E30" i="6" s="1"/>
  <c r="C29" i="6"/>
  <c r="F29" i="6" s="1"/>
  <c r="C28" i="6"/>
  <c r="F28" i="6" s="1"/>
  <c r="C27" i="6"/>
  <c r="F27" i="6" s="1"/>
  <c r="C26" i="6"/>
  <c r="F26" i="6" s="1"/>
  <c r="C25" i="6"/>
  <c r="D25" i="6" s="1"/>
  <c r="E25" i="6" s="1"/>
  <c r="C24" i="6"/>
  <c r="F24" i="6" s="1"/>
  <c r="C23" i="6"/>
  <c r="F23" i="6" s="1"/>
  <c r="C22" i="6"/>
  <c r="D22" i="6" s="1"/>
  <c r="E22" i="6" s="1"/>
  <c r="C21" i="6"/>
  <c r="F21" i="6" s="1"/>
  <c r="C20" i="6"/>
  <c r="D20" i="6" s="1"/>
  <c r="E20" i="6" s="1"/>
  <c r="C19" i="6"/>
  <c r="F19" i="6" s="1"/>
  <c r="C18" i="6"/>
  <c r="D18" i="6" s="1"/>
  <c r="E18" i="6" s="1"/>
  <c r="C17" i="6"/>
  <c r="F17" i="6" s="1"/>
  <c r="C16" i="6"/>
  <c r="F16" i="6" s="1"/>
  <c r="C15" i="6"/>
  <c r="D15" i="6" s="1"/>
  <c r="E15" i="6" s="1"/>
  <c r="C14" i="6"/>
  <c r="F14" i="6" s="1"/>
  <c r="C13" i="6"/>
  <c r="F13" i="6" s="1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36" i="5"/>
  <c r="F14" i="5"/>
  <c r="F15" i="5"/>
  <c r="F17" i="5"/>
  <c r="F18" i="5"/>
  <c r="F19" i="5"/>
  <c r="F20" i="5"/>
  <c r="F21" i="5"/>
  <c r="F22" i="5"/>
  <c r="F23" i="5"/>
  <c r="F25" i="5"/>
  <c r="F30" i="5"/>
  <c r="F31" i="5"/>
  <c r="E17" i="5"/>
  <c r="G17" i="5" s="1"/>
  <c r="E18" i="5"/>
  <c r="G18" i="5" s="1"/>
  <c r="D14" i="5"/>
  <c r="E14" i="5" s="1"/>
  <c r="G14" i="5" s="1"/>
  <c r="D15" i="5"/>
  <c r="E15" i="5" s="1"/>
  <c r="G15" i="5" s="1"/>
  <c r="D17" i="5"/>
  <c r="D18" i="5"/>
  <c r="D19" i="5"/>
  <c r="E19" i="5" s="1"/>
  <c r="G19" i="5" s="1"/>
  <c r="D23" i="5"/>
  <c r="E23" i="5" s="1"/>
  <c r="G23" i="5" s="1"/>
  <c r="D24" i="5"/>
  <c r="E24" i="5" s="1"/>
  <c r="D30" i="5"/>
  <c r="E30" i="5" s="1"/>
  <c r="G30" i="5" s="1"/>
  <c r="D31" i="5"/>
  <c r="E31" i="5" s="1"/>
  <c r="G31" i="5" s="1"/>
  <c r="C14" i="5"/>
  <c r="C15" i="5"/>
  <c r="C16" i="5"/>
  <c r="D16" i="5" s="1"/>
  <c r="E16" i="5" s="1"/>
  <c r="C17" i="5"/>
  <c r="C18" i="5"/>
  <c r="C19" i="5"/>
  <c r="C20" i="5"/>
  <c r="D20" i="5" s="1"/>
  <c r="E20" i="5" s="1"/>
  <c r="G20" i="5" s="1"/>
  <c r="C21" i="5"/>
  <c r="D21" i="5" s="1"/>
  <c r="E21" i="5" s="1"/>
  <c r="G21" i="5" s="1"/>
  <c r="C22" i="5"/>
  <c r="D22" i="5" s="1"/>
  <c r="E22" i="5" s="1"/>
  <c r="G22" i="5" s="1"/>
  <c r="C23" i="5"/>
  <c r="C24" i="5"/>
  <c r="F24" i="5" s="1"/>
  <c r="C25" i="5"/>
  <c r="D25" i="5" s="1"/>
  <c r="E25" i="5" s="1"/>
  <c r="G25" i="5" s="1"/>
  <c r="C26" i="5"/>
  <c r="F26" i="5" s="1"/>
  <c r="C27" i="5"/>
  <c r="F27" i="5" s="1"/>
  <c r="C28" i="5"/>
  <c r="F28" i="5" s="1"/>
  <c r="C29" i="5"/>
  <c r="D29" i="5" s="1"/>
  <c r="E29" i="5" s="1"/>
  <c r="C30" i="5"/>
  <c r="C31" i="5"/>
  <c r="C13" i="5"/>
  <c r="D13" i="5" s="1"/>
  <c r="E13" i="5" s="1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3" i="4"/>
  <c r="E814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13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4" i="4"/>
  <c r="C13" i="4"/>
  <c r="M69" i="3"/>
  <c r="M71" i="3" s="1"/>
  <c r="N69" i="3"/>
  <c r="N71" i="3" s="1"/>
  <c r="L69" i="3"/>
  <c r="L71" i="3" s="1"/>
  <c r="K69" i="3"/>
  <c r="K71" i="3" s="1"/>
  <c r="J69" i="3"/>
  <c r="J71" i="3" s="1"/>
  <c r="C71" i="3"/>
  <c r="I8" i="2"/>
  <c r="I10" i="2" s="1"/>
  <c r="J8" i="2"/>
  <c r="J10" i="2" s="1"/>
  <c r="H8" i="2"/>
  <c r="H10" i="2" s="1"/>
  <c r="J12" i="2" s="1"/>
  <c r="E10" i="2"/>
  <c r="D10" i="2"/>
  <c r="C10" i="2"/>
  <c r="I8" i="1"/>
  <c r="C8" i="1"/>
  <c r="E12" i="2" l="1"/>
  <c r="E17" i="7"/>
  <c r="J17" i="7"/>
  <c r="F20" i="6"/>
  <c r="D17" i="6"/>
  <c r="E17" i="6" s="1"/>
  <c r="G17" i="6" s="1"/>
  <c r="D36" i="6"/>
  <c r="E36" i="6" s="1"/>
  <c r="G36" i="6" s="1"/>
  <c r="F25" i="6"/>
  <c r="F18" i="6"/>
  <c r="G18" i="6" s="1"/>
  <c r="D19" i="6"/>
  <c r="E19" i="6" s="1"/>
  <c r="G19" i="6" s="1"/>
  <c r="D28" i="6"/>
  <c r="E28" i="6" s="1"/>
  <c r="G28" i="6" s="1"/>
  <c r="G20" i="6"/>
  <c r="G25" i="6"/>
  <c r="F31" i="6"/>
  <c r="G31" i="6" s="1"/>
  <c r="F22" i="6"/>
  <c r="G22" i="6" s="1"/>
  <c r="D13" i="6"/>
  <c r="E13" i="6" s="1"/>
  <c r="G13" i="6" s="1"/>
  <c r="F15" i="6"/>
  <c r="G15" i="6" s="1"/>
  <c r="D23" i="6"/>
  <c r="E23" i="6" s="1"/>
  <c r="G23" i="6" s="1"/>
  <c r="D16" i="6"/>
  <c r="E16" i="6" s="1"/>
  <c r="G16" i="6" s="1"/>
  <c r="D29" i="6"/>
  <c r="E29" i="6" s="1"/>
  <c r="G29" i="6" s="1"/>
  <c r="D26" i="6"/>
  <c r="E26" i="6" s="1"/>
  <c r="G26" i="6" s="1"/>
  <c r="D14" i="6"/>
  <c r="E14" i="6" s="1"/>
  <c r="G14" i="6" s="1"/>
  <c r="D27" i="6"/>
  <c r="E27" i="6" s="1"/>
  <c r="G27" i="6" s="1"/>
  <c r="D24" i="6"/>
  <c r="E24" i="6" s="1"/>
  <c r="G24" i="6" s="1"/>
  <c r="D21" i="6"/>
  <c r="E21" i="6" s="1"/>
  <c r="G21" i="6" s="1"/>
  <c r="F30" i="6"/>
  <c r="G30" i="6" s="1"/>
  <c r="G24" i="5"/>
  <c r="D28" i="5"/>
  <c r="E28" i="5" s="1"/>
  <c r="G28" i="5" s="1"/>
  <c r="D27" i="5"/>
  <c r="E27" i="5" s="1"/>
  <c r="G27" i="5" s="1"/>
  <c r="D26" i="5"/>
  <c r="E26" i="5" s="1"/>
  <c r="G26" i="5" s="1"/>
  <c r="F13" i="5"/>
  <c r="G13" i="5" s="1"/>
  <c r="F16" i="5"/>
  <c r="G16" i="5" s="1"/>
  <c r="F29" i="5"/>
  <c r="G29" i="5" s="1"/>
  <c r="G73" i="3"/>
  <c r="N73" i="3"/>
</calcChain>
</file>

<file path=xl/sharedStrings.xml><?xml version="1.0" encoding="utf-8"?>
<sst xmlns="http://schemas.openxmlformats.org/spreadsheetml/2006/main" count="321" uniqueCount="90">
  <si>
    <t xml:space="preserve">Cost of Buying </t>
  </si>
  <si>
    <t>Cost of Leasing</t>
  </si>
  <si>
    <t>New Printer</t>
  </si>
  <si>
    <t>Maintenance per year</t>
  </si>
  <si>
    <t>Annual Cost</t>
  </si>
  <si>
    <t>Copies per year</t>
  </si>
  <si>
    <t>Years</t>
  </si>
  <si>
    <t>Total Cost of buying a new printer for 3 years</t>
  </si>
  <si>
    <t xml:space="preserve">Total Cost of leasing a printer for 3 years </t>
  </si>
  <si>
    <t>Expensive</t>
  </si>
  <si>
    <t>Conditional Formatting</t>
  </si>
  <si>
    <t>Cheapest</t>
  </si>
  <si>
    <t>Cost of Buying for 3 Years</t>
  </si>
  <si>
    <t>Cost of Leasing for 3 Years</t>
  </si>
  <si>
    <t>Year 1</t>
  </si>
  <si>
    <t>Year 2</t>
  </si>
  <si>
    <t>Year 3</t>
  </si>
  <si>
    <t>Fixed Cost</t>
  </si>
  <si>
    <t>Variable Cost</t>
  </si>
  <si>
    <t xml:space="preserve">Second-hand (Scrap value) </t>
  </si>
  <si>
    <t>Total Cost</t>
  </si>
  <si>
    <t>Total Cost (3 years)</t>
  </si>
  <si>
    <t>Cost per page printed</t>
  </si>
  <si>
    <t>Cost of printing</t>
  </si>
  <si>
    <t>Base Values</t>
  </si>
  <si>
    <t>If maintenance costs double, does buying become more expensive than leasing?</t>
  </si>
  <si>
    <t>What happens if the planning period becomes 5 years?</t>
  </si>
  <si>
    <t>Year 4</t>
  </si>
  <si>
    <t>Year 5</t>
  </si>
  <si>
    <t>Cost of Buying for 5 Years</t>
  </si>
  <si>
    <t>What must the cost per page become before leasing is less expensive than buying?</t>
  </si>
  <si>
    <t xml:space="preserve"> £0.04</t>
  </si>
  <si>
    <t>What must the expected usage become before leasing is less expensive than buying?</t>
  </si>
  <si>
    <t>No</t>
  </si>
  <si>
    <t>Answer</t>
  </si>
  <si>
    <t>Buying is still cheaper (with base values)</t>
  </si>
  <si>
    <t>Cost of Leasing for 5 Years</t>
  </si>
  <si>
    <t>Total Cost (5 years)</t>
  </si>
  <si>
    <t>Buying (Supplier 1)</t>
  </si>
  <si>
    <t>Leasing (Supplier 2)</t>
  </si>
  <si>
    <t xml:space="preserve">Leasing Cost per year </t>
  </si>
  <si>
    <t>Buying Cost per year</t>
  </si>
  <si>
    <t>Cost of Maintenance</t>
  </si>
  <si>
    <t>Scrap Value</t>
  </si>
  <si>
    <t>Number of Year</t>
  </si>
  <si>
    <t>Decrease per 1000 copies</t>
  </si>
  <si>
    <t>Printed pages per year</t>
  </si>
  <si>
    <t>Cost per page</t>
  </si>
  <si>
    <t>Breakeven Point ( Nearest Thousand Copies)</t>
  </si>
  <si>
    <t>Extra Pages (1000s)</t>
  </si>
  <si>
    <t>Total annual usage</t>
  </si>
  <si>
    <t>Total Cost of Buying</t>
  </si>
  <si>
    <t>Total Cost of leasing</t>
  </si>
  <si>
    <t>Difference between total buying &amp; leasing cost</t>
  </si>
  <si>
    <t>Breakeven Point To The Nearest Single Copy</t>
  </si>
  <si>
    <t>No. of years</t>
  </si>
  <si>
    <t>Interest Rate</t>
  </si>
  <si>
    <t>Yearly payment for printing</t>
  </si>
  <si>
    <t>Least Money Spent</t>
  </si>
  <si>
    <t>Most Money Spent</t>
  </si>
  <si>
    <t>Buying Cost</t>
  </si>
  <si>
    <t>Maintenance Cost</t>
  </si>
  <si>
    <r>
      <t>future value of money</t>
    </r>
    <r>
      <rPr>
        <sz val="11"/>
        <color theme="1"/>
        <rFont val="Calibri"/>
        <family val="2"/>
      </rPr>
      <t xml:space="preserve"> </t>
    </r>
    <r>
      <rPr>
        <b/>
        <sz val="11"/>
        <color rgb="FF0070C0"/>
        <rFont val="Calibri"/>
        <family val="2"/>
      </rPr>
      <t>(Scrap Cost)</t>
    </r>
  </si>
  <si>
    <r>
      <t>future value of money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rgb="FF0070C0"/>
        <rFont val="Calibri"/>
        <family val="2"/>
      </rPr>
      <t>(Scrap Cost)</t>
    </r>
  </si>
  <si>
    <t xml:space="preserve">Used Goalseek to find the exact number of copies and calculate the difference between cost of buying and leasing </t>
  </si>
  <si>
    <t>STEPS</t>
  </si>
  <si>
    <t>Created a simple worksheet to calculate the cost of buying versus the cost of leasing.</t>
  </si>
  <si>
    <t>Calculated the Total Cost of buying a new printer for 3 years by using the following formula =C3+C4*I2-C5</t>
  </si>
  <si>
    <t>Calculated the Total Cost of leasing a new printer for 3 years by using the following formula =F3*I2+(F4*F5)*I2</t>
  </si>
  <si>
    <t>Used Conditional formatting to highlight the cells with Cheapest and Expensive Cost.</t>
  </si>
  <si>
    <t>Modified the worksheet by using formulas so that the user can alter any variable and see the effect on the results. For example: If the user decides to change the cost of printing the results will be affected with the changes in cost of printing.</t>
  </si>
  <si>
    <t>Changed the layout of the worksheet so that information is presented logically and clearly and costs are listed as fixed and variable costs.</t>
  </si>
  <si>
    <t xml:space="preserve">Improved the appearance of the worksheet. </t>
  </si>
  <si>
    <t>£0.04</t>
  </si>
  <si>
    <t>No, Buying is still cheaper as compared to leasing</t>
  </si>
  <si>
    <r>
      <rPr>
        <b/>
        <sz val="11"/>
        <color theme="1"/>
        <rFont val="Aptos"/>
        <family val="2"/>
      </rPr>
      <t xml:space="preserve">Buying is still cheaper (with base values) </t>
    </r>
    <r>
      <rPr>
        <sz val="11"/>
        <color theme="1"/>
        <rFont val="Aptos"/>
        <family val="2"/>
      </rPr>
      <t>(</t>
    </r>
    <r>
      <rPr>
        <i/>
        <sz val="11"/>
        <color theme="1"/>
        <rFont val="Aptos"/>
        <family val="2"/>
      </rPr>
      <t>Added 2 more columns for Year 4 &amp; Year 5)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</si>
  <si>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What must the expected usage become before leasing is less expensive than buying?</t>
    </r>
  </si>
  <si>
    <r>
      <t>Answered the below questions in this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worksheet:</t>
    </r>
  </si>
  <si>
    <r>
      <t xml:space="preserve">Formula used: </t>
    </r>
    <r>
      <rPr>
        <b/>
        <sz val="11"/>
        <color theme="1"/>
        <rFont val="Aptos Narrow"/>
        <family val="2"/>
        <scheme val="minor"/>
      </rPr>
      <t>=SUM / Multiplication / Addition</t>
    </r>
    <r>
      <rPr>
        <sz val="11"/>
        <color theme="1"/>
        <rFont val="Aptos Narrow"/>
        <family val="2"/>
        <scheme val="minor"/>
      </rPr>
      <t xml:space="preserve"> (Formula copied to other cells)</t>
    </r>
  </si>
  <si>
    <t>Created a payback table showing the cost of leasing/buying in relation to usage.</t>
  </si>
  <si>
    <t>The Table in this sheet is used to find the Breakeven Point (Nearest Thousand Copies) where the cost of purchasing the printer becomes equal to the cost of leasing.</t>
  </si>
  <si>
    <t>The figures in the worksheet show the difference between leasing and buying.</t>
  </si>
  <si>
    <t>In the optional Task we modified the worksheet to calculate the exact number of copies to reach the breakeven point.</t>
  </si>
  <si>
    <t>Changed the Scrap Value to 0 when it drops below £200</t>
  </si>
  <si>
    <t>Changed the cost of printing to 0.04 per page.</t>
  </si>
  <si>
    <t>Calculated breakeven Point To The Nearest Single Copy</t>
  </si>
  <si>
    <t>In this task we modified the original worksheet taking the future value of money into account for both buying and leasing the printer and assuming an interest rate of 20%.</t>
  </si>
  <si>
    <t>The future value of money was calculated using the FV function.</t>
  </si>
  <si>
    <t xml:space="preserve">Used Conditional formatting to show the cheapest &amp; Expensive cost as well as the Least and Most Money spent on the future value. </t>
  </si>
  <si>
    <r>
      <t>Note: This Sheet is Password Protected, To unlock this sheet use "</t>
    </r>
    <r>
      <rPr>
        <b/>
        <i/>
        <sz val="11"/>
        <color rgb="FF9C0006"/>
        <rFont val="Aptos Narrow"/>
        <family val="2"/>
        <scheme val="minor"/>
      </rPr>
      <t>qwer</t>
    </r>
    <r>
      <rPr>
        <i/>
        <sz val="11"/>
        <color rgb="FF9C0006"/>
        <rFont val="Aptos Narrow"/>
        <family val="2"/>
        <scheme val="minor"/>
      </rPr>
      <t>" as password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</si>
</sst>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£-809]* #,##0.00_-;\-[$£-809]* #,##0.00_-;_-[$£-809]* &quot;-&quot;??_-;_-@_-"/>
    <numFmt numFmtId="165" formatCode="0.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70C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rgb="FF9C0006"/>
      <name val="Aptos Narrow"/>
      <family val="2"/>
      <scheme val="minor"/>
    </font>
    <font>
      <i/>
      <sz val="11"/>
      <color rgb="FF9C0006"/>
      <name val="Aptos Narrow"/>
      <family val="2"/>
      <scheme val="minor"/>
    </font>
    <font>
      <b/>
      <i/>
      <sz val="11"/>
      <color rgb="FF9C000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5" applyNumberFormat="0" applyFont="0" applyAlignment="0" applyProtection="0"/>
    <xf numFmtId="0" fontId="2" fillId="0" borderId="6" applyNumberFormat="0" applyFill="0" applyAlignment="0" applyProtection="0"/>
    <xf numFmtId="0" fontId="1" fillId="9" borderId="0" applyNumberFormat="0" applyBorder="0" applyAlignment="0" applyProtection="0"/>
    <xf numFmtId="0" fontId="17" fillId="11" borderId="0" applyNumberFormat="0" applyBorder="0" applyAlignment="0" applyProtection="0"/>
  </cellStyleXfs>
  <cellXfs count="6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2" applyNumberFormat="1" applyFont="1" applyBorder="1"/>
    <xf numFmtId="164" fontId="0" fillId="0" borderId="1" xfId="0" applyNumberFormat="1" applyBorder="1"/>
    <xf numFmtId="164" fontId="2" fillId="0" borderId="1" xfId="0" applyNumberFormat="1" applyFont="1" applyBorder="1"/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165" fontId="0" fillId="0" borderId="1" xfId="0" applyNumberFormat="1" applyBorder="1"/>
    <xf numFmtId="1" fontId="0" fillId="0" borderId="1" xfId="0" applyNumberFormat="1" applyBorder="1"/>
    <xf numFmtId="0" fontId="0" fillId="0" borderId="1" xfId="2" applyNumberFormat="1" applyFont="1" applyFill="1" applyBorder="1"/>
    <xf numFmtId="9" fontId="0" fillId="0" borderId="1" xfId="0" applyNumberFormat="1" applyBorder="1"/>
    <xf numFmtId="164" fontId="7" fillId="0" borderId="1" xfId="0" applyNumberFormat="1" applyFont="1" applyBorder="1"/>
    <xf numFmtId="164" fontId="8" fillId="0" borderId="1" xfId="0" applyNumberFormat="1" applyFont="1" applyBorder="1"/>
    <xf numFmtId="0" fontId="2" fillId="0" borderId="0" xfId="0" applyFont="1"/>
    <xf numFmtId="0" fontId="6" fillId="0" borderId="1" xfId="0" applyFont="1" applyBorder="1"/>
    <xf numFmtId="164" fontId="0" fillId="0" borderId="1" xfId="0" applyNumberFormat="1" applyBorder="1" applyAlignment="1">
      <alignment horizontal="left"/>
    </xf>
    <xf numFmtId="43" fontId="0" fillId="0" borderId="0" xfId="1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8" fillId="11" borderId="2" xfId="6" applyFont="1" applyBorder="1" applyAlignment="1">
      <alignment horizontal="center" wrapText="1"/>
    </xf>
    <xf numFmtId="0" fontId="18" fillId="11" borderId="3" xfId="6" applyFont="1" applyBorder="1" applyAlignment="1">
      <alignment horizontal="center" wrapText="1"/>
    </xf>
    <xf numFmtId="0" fontId="18" fillId="11" borderId="4" xfId="6" applyFont="1" applyBorder="1" applyAlignment="1">
      <alignment horizontal="center" wrapText="1"/>
    </xf>
    <xf numFmtId="0" fontId="2" fillId="9" borderId="6" xfId="5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9" borderId="6" xfId="4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7" borderId="2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8" borderId="1" xfId="3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</cellXfs>
  <cellStyles count="7">
    <cellStyle name="20% - Accent4" xfId="5" builtinId="42"/>
    <cellStyle name="Bad" xfId="6" builtinId="27"/>
    <cellStyle name="Comma" xfId="1" builtinId="3"/>
    <cellStyle name="Currency" xfId="2" builtinId="4"/>
    <cellStyle name="Normal" xfId="0" builtinId="0"/>
    <cellStyle name="Note" xfId="3" builtinId="10"/>
    <cellStyle name="Total" xfId="4" builtinId="25"/>
  </cellStyles>
  <dxfs count="60"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7" tint="-0.499984740745262"/>
          <bgColor theme="7" tint="0.7999206518753624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B1BE-4EE2-40CE-948F-723CBBFEABEF}">
  <sheetPr codeName="Sheet1"/>
  <dimension ref="B2:R13"/>
  <sheetViews>
    <sheetView tabSelected="1" workbookViewId="0">
      <selection activeCell="M14" sqref="M14"/>
    </sheetView>
  </sheetViews>
  <sheetFormatPr defaultRowHeight="14.4" x14ac:dyDescent="0.3"/>
  <cols>
    <col min="2" max="2" width="22.88671875" bestFit="1" customWidth="1"/>
    <col min="3" max="3" width="11.44140625" bestFit="1" customWidth="1"/>
    <col min="8" max="8" width="18.21875" bestFit="1" customWidth="1"/>
    <col min="9" max="9" width="11.44140625" bestFit="1" customWidth="1"/>
  </cols>
  <sheetData>
    <row r="2" spans="2:18" ht="15" thickBot="1" x14ac:dyDescent="0.35">
      <c r="B2" s="23" t="s">
        <v>0</v>
      </c>
      <c r="C2" s="23"/>
      <c r="H2" s="24" t="s">
        <v>1</v>
      </c>
      <c r="I2" s="24"/>
      <c r="K2" s="31" t="s">
        <v>65</v>
      </c>
      <c r="L2" s="31"/>
      <c r="M2" s="31"/>
      <c r="N2" s="31"/>
      <c r="O2" s="31"/>
      <c r="P2" s="31"/>
      <c r="Q2" s="31"/>
      <c r="R2" s="31"/>
    </row>
    <row r="3" spans="2:18" ht="15" thickTop="1" x14ac:dyDescent="0.3">
      <c r="B3" s="2" t="s">
        <v>2</v>
      </c>
      <c r="C3" s="3">
        <v>10000</v>
      </c>
      <c r="E3" s="20" t="s">
        <v>6</v>
      </c>
      <c r="F3" s="21">
        <v>3</v>
      </c>
      <c r="H3" s="2" t="s">
        <v>4</v>
      </c>
      <c r="I3" s="4">
        <v>1500</v>
      </c>
      <c r="K3" s="33" t="s">
        <v>66</v>
      </c>
      <c r="L3" s="33"/>
      <c r="M3" s="33"/>
      <c r="N3" s="33"/>
      <c r="O3" s="33"/>
      <c r="P3" s="33"/>
      <c r="Q3" s="33"/>
      <c r="R3" s="33"/>
    </row>
    <row r="4" spans="2:18" x14ac:dyDescent="0.3">
      <c r="B4" s="2" t="s">
        <v>3</v>
      </c>
      <c r="C4" s="3">
        <v>800</v>
      </c>
      <c r="E4" s="20"/>
      <c r="F4" s="21"/>
      <c r="H4" s="2" t="s">
        <v>22</v>
      </c>
      <c r="I4" s="4">
        <v>7.0000000000000007E-2</v>
      </c>
      <c r="K4" s="32" t="s">
        <v>67</v>
      </c>
      <c r="L4" s="32"/>
      <c r="M4" s="32"/>
      <c r="N4" s="32"/>
      <c r="O4" s="32"/>
      <c r="P4" s="32"/>
      <c r="Q4" s="32"/>
      <c r="R4" s="32"/>
    </row>
    <row r="5" spans="2:18" x14ac:dyDescent="0.3">
      <c r="B5" s="2" t="s">
        <v>19</v>
      </c>
      <c r="C5" s="3">
        <v>1000</v>
      </c>
      <c r="E5" s="20"/>
      <c r="F5" s="21"/>
      <c r="H5" s="2" t="s">
        <v>5</v>
      </c>
      <c r="I5" s="2">
        <v>50000</v>
      </c>
      <c r="K5" s="32"/>
      <c r="L5" s="32"/>
      <c r="M5" s="32"/>
      <c r="N5" s="32"/>
      <c r="O5" s="32"/>
      <c r="P5" s="32"/>
      <c r="Q5" s="32"/>
      <c r="R5" s="32"/>
    </row>
    <row r="6" spans="2:18" x14ac:dyDescent="0.3">
      <c r="E6" s="20"/>
      <c r="F6" s="21"/>
      <c r="K6" s="32" t="s">
        <v>68</v>
      </c>
      <c r="L6" s="32"/>
      <c r="M6" s="32"/>
      <c r="N6" s="32"/>
      <c r="O6" s="32"/>
      <c r="P6" s="32"/>
      <c r="Q6" s="32"/>
      <c r="R6" s="32"/>
    </row>
    <row r="7" spans="2:18" x14ac:dyDescent="0.3">
      <c r="K7" s="32"/>
      <c r="L7" s="32"/>
      <c r="M7" s="32"/>
      <c r="N7" s="32"/>
      <c r="O7" s="32"/>
      <c r="P7" s="32"/>
      <c r="Q7" s="32"/>
      <c r="R7" s="32"/>
    </row>
    <row r="8" spans="2:18" x14ac:dyDescent="0.3">
      <c r="B8" s="25" t="s">
        <v>7</v>
      </c>
      <c r="C8" s="26">
        <f>C3+C4*F3-C5</f>
        <v>11400</v>
      </c>
      <c r="H8" s="25" t="s">
        <v>8</v>
      </c>
      <c r="I8" s="27">
        <f>I3*F3+(I4*I5)*F3</f>
        <v>15000.000000000002</v>
      </c>
      <c r="K8" s="32" t="s">
        <v>69</v>
      </c>
      <c r="L8" s="32"/>
      <c r="M8" s="32"/>
      <c r="N8" s="32"/>
      <c r="O8" s="32"/>
      <c r="P8" s="32"/>
      <c r="Q8" s="32"/>
      <c r="R8" s="32"/>
    </row>
    <row r="9" spans="2:18" x14ac:dyDescent="0.3">
      <c r="B9" s="25"/>
      <c r="C9" s="26"/>
      <c r="H9" s="25"/>
      <c r="I9" s="27"/>
    </row>
    <row r="10" spans="2:18" x14ac:dyDescent="0.3">
      <c r="K10" s="28" t="s">
        <v>89</v>
      </c>
      <c r="L10" s="29"/>
      <c r="M10" s="29"/>
      <c r="N10" s="29"/>
      <c r="O10" s="29"/>
      <c r="P10" s="29"/>
      <c r="Q10" s="29"/>
      <c r="R10" s="30"/>
    </row>
    <row r="12" spans="2:18" x14ac:dyDescent="0.3">
      <c r="B12" s="22" t="s">
        <v>10</v>
      </c>
      <c r="C12" s="2" t="s">
        <v>11</v>
      </c>
    </row>
    <row r="13" spans="2:18" x14ac:dyDescent="0.3">
      <c r="B13" s="22"/>
      <c r="C13" s="2" t="s">
        <v>9</v>
      </c>
    </row>
  </sheetData>
  <sheetProtection algorithmName="SHA-512" hashValue="f8knXS3ObyT8KF0jmOp9nqeN+9IgUrfZljwFCod6z84fsoYeJyIx3vFKRHFZ6VxAFnTvr3T/NHmp8Y7eGp1Hbg==" saltValue="DjRQmn/piXJbNK6eN+/srA==" spinCount="100000" sheet="1" objects="1" scenarios="1"/>
  <mergeCells count="15">
    <mergeCell ref="K10:R10"/>
    <mergeCell ref="K2:R2"/>
    <mergeCell ref="K4:R5"/>
    <mergeCell ref="K6:R7"/>
    <mergeCell ref="K8:R8"/>
    <mergeCell ref="K3:R3"/>
    <mergeCell ref="E3:E6"/>
    <mergeCell ref="F3:F6"/>
    <mergeCell ref="B12:B13"/>
    <mergeCell ref="B2:C2"/>
    <mergeCell ref="H2:I2"/>
    <mergeCell ref="B8:B9"/>
    <mergeCell ref="H8:H9"/>
    <mergeCell ref="C8:C9"/>
    <mergeCell ref="I8:I9"/>
  </mergeCells>
  <conditionalFormatting sqref="C8:C9 I8:I9">
    <cfRule type="cellIs" dxfId="59" priority="5" operator="equal">
      <formula>15000</formula>
    </cfRule>
  </conditionalFormatting>
  <conditionalFormatting sqref="C8:C9">
    <cfRule type="cellIs" dxfId="58" priority="3" operator="equal">
      <formula>11400</formula>
    </cfRule>
    <cfRule type="cellIs" dxfId="57" priority="4" operator="equal">
      <formula>" £11,400.00 "</formula>
    </cfRule>
  </conditionalFormatting>
  <conditionalFormatting sqref="C12">
    <cfRule type="containsText" dxfId="56" priority="2" operator="containsText" text="cheapest">
      <formula>NOT(ISERROR(SEARCH("cheapest",C12)))</formula>
    </cfRule>
  </conditionalFormatting>
  <conditionalFormatting sqref="C13">
    <cfRule type="containsText" dxfId="55" priority="1" operator="containsText" text="Expensive">
      <formula>NOT(ISERROR(SEARCH("Expensive",C13)))</formula>
    </cfRule>
  </conditionalFormatting>
  <conditionalFormatting sqref="H14">
    <cfRule type="cellIs" dxfId="54" priority="6" operator="greaterThan">
      <formula>11400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A291-C42C-4B08-B69E-C217C01DB3FB}">
  <sheetPr codeName="Sheet2"/>
  <dimension ref="B2:S15"/>
  <sheetViews>
    <sheetView workbookViewId="0">
      <selection activeCell="L11" sqref="L11:S11"/>
    </sheetView>
  </sheetViews>
  <sheetFormatPr defaultRowHeight="14.4" x14ac:dyDescent="0.3"/>
  <cols>
    <col min="2" max="2" width="23" bestFit="1" customWidth="1"/>
    <col min="3" max="3" width="11.44140625" bestFit="1" customWidth="1"/>
    <col min="4" max="4" width="9.109375" bestFit="1" customWidth="1"/>
    <col min="5" max="5" width="11.44140625" bestFit="1" customWidth="1"/>
    <col min="7" max="7" width="22.109375" bestFit="1" customWidth="1"/>
    <col min="8" max="9" width="10.44140625" bestFit="1" customWidth="1"/>
    <col min="10" max="10" width="11.44140625" bestFit="1" customWidth="1"/>
  </cols>
  <sheetData>
    <row r="2" spans="2:19" s="14" customFormat="1" ht="15" thickBot="1" x14ac:dyDescent="0.35">
      <c r="B2" s="34" t="s">
        <v>12</v>
      </c>
      <c r="C2" s="34"/>
      <c r="D2" s="34"/>
      <c r="E2" s="34"/>
      <c r="G2" s="34" t="s">
        <v>13</v>
      </c>
      <c r="H2" s="34"/>
      <c r="I2" s="34"/>
      <c r="J2" s="34"/>
      <c r="L2" s="39" t="s">
        <v>65</v>
      </c>
      <c r="M2" s="39"/>
      <c r="N2" s="39"/>
      <c r="O2" s="39"/>
      <c r="P2" s="39"/>
      <c r="Q2" s="39"/>
      <c r="R2" s="39"/>
      <c r="S2" s="39"/>
    </row>
    <row r="3" spans="2:19" s="14" customFormat="1" ht="15" thickTop="1" x14ac:dyDescent="0.3">
      <c r="B3" s="7"/>
      <c r="C3" s="7" t="s">
        <v>14</v>
      </c>
      <c r="D3" s="7" t="s">
        <v>15</v>
      </c>
      <c r="E3" s="7" t="s">
        <v>16</v>
      </c>
      <c r="G3" s="7"/>
      <c r="H3" s="7" t="s">
        <v>14</v>
      </c>
      <c r="I3" s="7" t="s">
        <v>15</v>
      </c>
      <c r="J3" s="7" t="s">
        <v>16</v>
      </c>
      <c r="L3" s="32" t="s">
        <v>70</v>
      </c>
      <c r="M3" s="32"/>
      <c r="N3" s="32"/>
      <c r="O3" s="32"/>
      <c r="P3" s="32"/>
      <c r="Q3" s="32"/>
      <c r="R3" s="32"/>
      <c r="S3" s="32"/>
    </row>
    <row r="4" spans="2:19" x14ac:dyDescent="0.3">
      <c r="B4" s="7" t="s">
        <v>17</v>
      </c>
      <c r="C4" s="2"/>
      <c r="D4" s="2"/>
      <c r="E4" s="2"/>
      <c r="G4" s="7" t="s">
        <v>17</v>
      </c>
      <c r="H4" s="2"/>
      <c r="I4" s="2"/>
      <c r="J4" s="2"/>
      <c r="L4" s="32"/>
      <c r="M4" s="32"/>
      <c r="N4" s="32"/>
      <c r="O4" s="32"/>
      <c r="P4" s="32"/>
      <c r="Q4" s="32"/>
      <c r="R4" s="32"/>
      <c r="S4" s="32"/>
    </row>
    <row r="5" spans="2:19" x14ac:dyDescent="0.3">
      <c r="B5" s="2" t="s">
        <v>60</v>
      </c>
      <c r="C5" s="4">
        <v>10000</v>
      </c>
      <c r="D5" s="4">
        <v>0</v>
      </c>
      <c r="E5" s="4">
        <v>0</v>
      </c>
      <c r="G5" s="2" t="s">
        <v>4</v>
      </c>
      <c r="H5" s="4">
        <v>1500</v>
      </c>
      <c r="I5" s="4">
        <v>1500</v>
      </c>
      <c r="J5" s="4">
        <v>1500</v>
      </c>
      <c r="L5" s="32"/>
      <c r="M5" s="32"/>
      <c r="N5" s="32"/>
      <c r="O5" s="32"/>
      <c r="P5" s="32"/>
      <c r="Q5" s="32"/>
      <c r="R5" s="32"/>
      <c r="S5" s="32"/>
    </row>
    <row r="6" spans="2:19" x14ac:dyDescent="0.3">
      <c r="B6" s="7" t="s">
        <v>18</v>
      </c>
      <c r="C6" s="4"/>
      <c r="D6" s="4"/>
      <c r="E6" s="4"/>
      <c r="G6" s="7" t="s">
        <v>18</v>
      </c>
      <c r="H6" s="4"/>
      <c r="I6" s="4"/>
      <c r="J6" s="4"/>
      <c r="L6" s="32" t="s">
        <v>71</v>
      </c>
      <c r="M6" s="32"/>
      <c r="N6" s="32"/>
      <c r="O6" s="32"/>
      <c r="P6" s="32"/>
      <c r="Q6" s="32"/>
      <c r="R6" s="32"/>
      <c r="S6" s="32"/>
    </row>
    <row r="7" spans="2:19" x14ac:dyDescent="0.3">
      <c r="B7" s="2" t="s">
        <v>61</v>
      </c>
      <c r="C7" s="4">
        <v>800</v>
      </c>
      <c r="D7" s="4">
        <v>800</v>
      </c>
      <c r="E7" s="4">
        <v>800</v>
      </c>
      <c r="G7" s="2" t="s">
        <v>22</v>
      </c>
      <c r="H7" s="4">
        <v>7.0000000000000007E-2</v>
      </c>
      <c r="I7" s="4">
        <v>7.0000000000000007E-2</v>
      </c>
      <c r="J7" s="4">
        <v>7.0000000000000007E-2</v>
      </c>
      <c r="L7" s="32"/>
      <c r="M7" s="32"/>
      <c r="N7" s="32"/>
      <c r="O7" s="32"/>
      <c r="P7" s="32"/>
      <c r="Q7" s="32"/>
      <c r="R7" s="32"/>
      <c r="S7" s="32"/>
    </row>
    <row r="8" spans="2:19" x14ac:dyDescent="0.3">
      <c r="B8" s="2" t="s">
        <v>19</v>
      </c>
      <c r="C8" s="4">
        <v>0</v>
      </c>
      <c r="D8" s="4">
        <v>0</v>
      </c>
      <c r="E8" s="4">
        <v>1000</v>
      </c>
      <c r="G8" s="2" t="s">
        <v>23</v>
      </c>
      <c r="H8" s="4">
        <f>H7*H9</f>
        <v>3500.0000000000005</v>
      </c>
      <c r="I8" s="4">
        <f t="shared" ref="I8:J8" si="0">I7*I9</f>
        <v>3500.0000000000005</v>
      </c>
      <c r="J8" s="4">
        <f t="shared" si="0"/>
        <v>3500.0000000000005</v>
      </c>
      <c r="L8" s="40" t="s">
        <v>72</v>
      </c>
      <c r="M8" s="41"/>
      <c r="N8" s="41"/>
      <c r="O8" s="41"/>
      <c r="P8" s="41"/>
      <c r="Q8" s="41"/>
      <c r="R8" s="41"/>
      <c r="S8" s="42"/>
    </row>
    <row r="9" spans="2:19" x14ac:dyDescent="0.3">
      <c r="B9" s="2"/>
      <c r="C9" s="2"/>
      <c r="D9" s="2"/>
      <c r="E9" s="2"/>
      <c r="G9" s="2" t="s">
        <v>5</v>
      </c>
      <c r="H9" s="2">
        <v>50000</v>
      </c>
      <c r="I9" s="2">
        <v>50000</v>
      </c>
      <c r="J9" s="2">
        <v>50000</v>
      </c>
      <c r="L9" s="32" t="s">
        <v>69</v>
      </c>
      <c r="M9" s="32"/>
      <c r="N9" s="32"/>
      <c r="O9" s="32"/>
      <c r="P9" s="32"/>
      <c r="Q9" s="32"/>
      <c r="R9" s="32"/>
      <c r="S9" s="32"/>
    </row>
    <row r="10" spans="2:19" x14ac:dyDescent="0.3">
      <c r="B10" s="7" t="s">
        <v>20</v>
      </c>
      <c r="C10" s="5">
        <f>SUM(C5:C8)</f>
        <v>10800</v>
      </c>
      <c r="D10" s="5">
        <f>SUM(D5:D8)</f>
        <v>800</v>
      </c>
      <c r="E10" s="5">
        <f>SUM(E5:E7)-E8</f>
        <v>-200</v>
      </c>
      <c r="G10" s="7" t="s">
        <v>20</v>
      </c>
      <c r="H10" s="5">
        <f>H5+H8</f>
        <v>5000</v>
      </c>
      <c r="I10" s="5">
        <f>I5+I8</f>
        <v>5000</v>
      </c>
      <c r="J10" s="5">
        <f>J5+J8</f>
        <v>5000</v>
      </c>
    </row>
    <row r="11" spans="2:19" x14ac:dyDescent="0.3">
      <c r="B11" s="2"/>
      <c r="C11" s="4"/>
      <c r="D11" s="4"/>
      <c r="E11" s="2"/>
      <c r="G11" s="2"/>
      <c r="H11" s="4"/>
      <c r="I11" s="4"/>
      <c r="J11" s="4"/>
      <c r="L11" s="28" t="s">
        <v>89</v>
      </c>
      <c r="M11" s="29"/>
      <c r="N11" s="29"/>
      <c r="O11" s="29"/>
      <c r="P11" s="29"/>
      <c r="Q11" s="29"/>
      <c r="R11" s="29"/>
      <c r="S11" s="30"/>
    </row>
    <row r="12" spans="2:19" s="14" customFormat="1" x14ac:dyDescent="0.3">
      <c r="B12" s="35" t="s">
        <v>21</v>
      </c>
      <c r="C12" s="35"/>
      <c r="D12" s="35"/>
      <c r="E12" s="5">
        <f>SUM(C10:E10)</f>
        <v>11400</v>
      </c>
      <c r="G12" s="36" t="s">
        <v>21</v>
      </c>
      <c r="H12" s="37"/>
      <c r="I12" s="38"/>
      <c r="J12" s="5">
        <f>SUM(H10:J10)</f>
        <v>15000</v>
      </c>
    </row>
    <row r="14" spans="2:19" x14ac:dyDescent="0.3">
      <c r="B14" s="22" t="s">
        <v>10</v>
      </c>
      <c r="C14" s="2" t="s">
        <v>11</v>
      </c>
    </row>
    <row r="15" spans="2:19" x14ac:dyDescent="0.3">
      <c r="B15" s="22"/>
      <c r="C15" s="2" t="s">
        <v>9</v>
      </c>
    </row>
  </sheetData>
  <sheetProtection algorithmName="SHA-512" hashValue="qwkFuu9ERN/539LI09oFPCfJz9mIItgThT2R1ztSL2NnFiGpVocFhKXCJ5+R0ugeMsQu3LYx4sPl9u17ZYxkTw==" saltValue="J53m6XcWTfV66Js1zCkVLA==" spinCount="100000" sheet="1" objects="1" scenarios="1"/>
  <mergeCells count="11">
    <mergeCell ref="L11:S11"/>
    <mergeCell ref="L3:S5"/>
    <mergeCell ref="L6:S7"/>
    <mergeCell ref="L9:S9"/>
    <mergeCell ref="L2:S2"/>
    <mergeCell ref="L8:S8"/>
    <mergeCell ref="B14:B15"/>
    <mergeCell ref="B2:E2"/>
    <mergeCell ref="G2:J2"/>
    <mergeCell ref="B12:D12"/>
    <mergeCell ref="G12:I12"/>
  </mergeCells>
  <conditionalFormatting sqref="C14">
    <cfRule type="containsText" dxfId="53" priority="6" operator="containsText" text="cheapest">
      <formula>NOT(ISERROR(SEARCH("cheapest",C14)))</formula>
    </cfRule>
  </conditionalFormatting>
  <conditionalFormatting sqref="C15">
    <cfRule type="containsText" dxfId="52" priority="5" operator="containsText" text="Expensive">
      <formula>NOT(ISERROR(SEARCH("Expensive",C15)))</formula>
    </cfRule>
  </conditionalFormatting>
  <conditionalFormatting sqref="E12">
    <cfRule type="cellIs" dxfId="51" priority="3" operator="equal">
      <formula>11400</formula>
    </cfRule>
    <cfRule type="cellIs" dxfId="50" priority="4" operator="equal">
      <formula>" £11,400.00 "</formula>
    </cfRule>
  </conditionalFormatting>
  <conditionalFormatting sqref="J12">
    <cfRule type="cellIs" dxfId="49" priority="1" operator="equal">
      <formula>$J$12</formula>
    </cfRule>
    <cfRule type="cellIs" dxfId="48" priority="2" operator="equal">
      <formula>" £15,000.00 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5192-DD02-45CC-A2C5-138AFAD4AF0C}">
  <sheetPr codeName="Sheet3"/>
  <dimension ref="B2:S76"/>
  <sheetViews>
    <sheetView topLeftCell="A50" workbookViewId="0">
      <selection activeCell="L22" sqref="L22"/>
    </sheetView>
  </sheetViews>
  <sheetFormatPr defaultRowHeight="14.4" x14ac:dyDescent="0.3"/>
  <cols>
    <col min="2" max="2" width="23" bestFit="1" customWidth="1"/>
    <col min="3" max="3" width="11.44140625" bestFit="1" customWidth="1"/>
    <col min="4" max="4" width="10.44140625" bestFit="1" customWidth="1"/>
    <col min="5" max="6" width="11.44140625" bestFit="1" customWidth="1"/>
    <col min="7" max="7" width="18.109375" bestFit="1" customWidth="1"/>
    <col min="8" max="8" width="10.44140625" bestFit="1" customWidth="1"/>
    <col min="9" max="9" width="18.109375" bestFit="1" customWidth="1"/>
    <col min="10" max="10" width="11.44140625" bestFit="1" customWidth="1"/>
    <col min="11" max="11" width="10.44140625" bestFit="1" customWidth="1"/>
    <col min="12" max="12" width="16.6640625" bestFit="1" customWidth="1"/>
    <col min="13" max="13" width="10.44140625" bestFit="1" customWidth="1"/>
    <col min="14" max="15" width="11.44140625" bestFit="1" customWidth="1"/>
  </cols>
  <sheetData>
    <row r="2" spans="2:19" ht="18.600000000000001" thickBot="1" x14ac:dyDescent="0.4">
      <c r="B2" s="52" t="s">
        <v>24</v>
      </c>
      <c r="C2" s="52"/>
      <c r="D2" s="52"/>
      <c r="E2" s="52"/>
      <c r="F2" s="52"/>
      <c r="G2" s="52"/>
      <c r="H2" s="52"/>
      <c r="I2" s="52"/>
      <c r="J2" s="52"/>
      <c r="L2" s="39" t="s">
        <v>65</v>
      </c>
      <c r="M2" s="39"/>
      <c r="N2" s="39"/>
      <c r="O2" s="39"/>
      <c r="P2" s="39"/>
      <c r="Q2" s="39"/>
      <c r="R2" s="39"/>
      <c r="S2" s="39"/>
    </row>
    <row r="3" spans="2:19" ht="14.4" customHeight="1" thickTop="1" x14ac:dyDescent="0.3">
      <c r="B3" s="34" t="s">
        <v>12</v>
      </c>
      <c r="C3" s="34"/>
      <c r="D3" s="34"/>
      <c r="E3" s="34"/>
      <c r="G3" s="34" t="s">
        <v>13</v>
      </c>
      <c r="H3" s="34"/>
      <c r="I3" s="34"/>
      <c r="J3" s="34"/>
      <c r="L3" s="56" t="s">
        <v>77</v>
      </c>
      <c r="M3" s="56"/>
      <c r="N3" s="56"/>
      <c r="O3" s="56"/>
      <c r="P3" s="56"/>
      <c r="Q3" s="56"/>
      <c r="R3" s="56"/>
      <c r="S3" s="56"/>
    </row>
    <row r="4" spans="2:19" x14ac:dyDescent="0.3">
      <c r="B4" s="7"/>
      <c r="C4" s="7" t="s">
        <v>14</v>
      </c>
      <c r="D4" s="7" t="s">
        <v>15</v>
      </c>
      <c r="E4" s="7" t="s">
        <v>16</v>
      </c>
      <c r="G4" s="7"/>
      <c r="H4" s="7" t="s">
        <v>14</v>
      </c>
      <c r="I4" s="7" t="s">
        <v>15</v>
      </c>
      <c r="J4" s="7" t="s">
        <v>16</v>
      </c>
      <c r="L4" s="54" t="s">
        <v>30</v>
      </c>
      <c r="M4" s="54"/>
      <c r="N4" s="54"/>
      <c r="O4" s="54"/>
      <c r="P4" s="54"/>
      <c r="Q4" s="54"/>
      <c r="R4" s="54"/>
      <c r="S4" s="54"/>
    </row>
    <row r="5" spans="2:19" x14ac:dyDescent="0.3">
      <c r="B5" s="7" t="s">
        <v>17</v>
      </c>
      <c r="C5" s="2"/>
      <c r="D5" s="2"/>
      <c r="E5" s="2"/>
      <c r="G5" s="7" t="s">
        <v>17</v>
      </c>
      <c r="H5" s="2"/>
      <c r="I5" s="2"/>
      <c r="J5" s="2"/>
      <c r="L5" s="56" t="s">
        <v>73</v>
      </c>
      <c r="M5" s="56"/>
      <c r="N5" s="56"/>
      <c r="O5" s="56"/>
      <c r="P5" s="56"/>
      <c r="Q5" s="56"/>
      <c r="R5" s="56"/>
      <c r="S5" s="56"/>
    </row>
    <row r="6" spans="2:19" x14ac:dyDescent="0.3">
      <c r="B6" s="2" t="s">
        <v>60</v>
      </c>
      <c r="C6" s="4">
        <v>10000</v>
      </c>
      <c r="D6" s="4">
        <v>0</v>
      </c>
      <c r="E6" s="4">
        <v>0</v>
      </c>
      <c r="G6" s="2" t="s">
        <v>4</v>
      </c>
      <c r="H6" s="4">
        <v>1500</v>
      </c>
      <c r="I6" s="4">
        <v>1500</v>
      </c>
      <c r="J6" s="4">
        <v>1500</v>
      </c>
      <c r="L6" s="33" t="s">
        <v>78</v>
      </c>
      <c r="M6" s="33"/>
      <c r="N6" s="33"/>
      <c r="O6" s="33"/>
      <c r="P6" s="33"/>
      <c r="Q6" s="33"/>
      <c r="R6" s="33"/>
      <c r="S6" s="33"/>
    </row>
    <row r="7" spans="2:19" x14ac:dyDescent="0.3">
      <c r="B7" s="7" t="s">
        <v>18</v>
      </c>
      <c r="C7" s="4"/>
      <c r="D7" s="4"/>
      <c r="E7" s="4"/>
      <c r="G7" s="7" t="s">
        <v>18</v>
      </c>
      <c r="H7" s="4"/>
      <c r="I7" s="4"/>
      <c r="J7" s="4"/>
    </row>
    <row r="8" spans="2:19" x14ac:dyDescent="0.3">
      <c r="B8" s="2" t="s">
        <v>61</v>
      </c>
      <c r="C8" s="4">
        <v>800</v>
      </c>
      <c r="D8" s="4">
        <v>800</v>
      </c>
      <c r="E8" s="4">
        <v>800</v>
      </c>
      <c r="G8" s="2" t="s">
        <v>22</v>
      </c>
      <c r="H8" s="4">
        <v>7.0000000000000007E-2</v>
      </c>
      <c r="I8" s="4">
        <v>7.0000000000000007E-2</v>
      </c>
      <c r="J8" s="4">
        <v>7.0000000000000007E-2</v>
      </c>
      <c r="L8" s="55" t="s">
        <v>76</v>
      </c>
      <c r="M8" s="55"/>
      <c r="N8" s="55"/>
      <c r="O8" s="55"/>
      <c r="P8" s="55"/>
      <c r="Q8" s="55"/>
      <c r="R8" s="55"/>
      <c r="S8" s="55"/>
    </row>
    <row r="9" spans="2:19" x14ac:dyDescent="0.3">
      <c r="B9" s="2" t="s">
        <v>19</v>
      </c>
      <c r="C9" s="4">
        <v>0</v>
      </c>
      <c r="D9" s="4">
        <v>0</v>
      </c>
      <c r="E9" s="4">
        <v>1000</v>
      </c>
      <c r="G9" s="2" t="s">
        <v>23</v>
      </c>
      <c r="H9" s="4">
        <f>H8*H10</f>
        <v>3500.0000000000005</v>
      </c>
      <c r="I9" s="4">
        <f t="shared" ref="I9:J9" si="0">I8*I10</f>
        <v>3500.0000000000005</v>
      </c>
      <c r="J9" s="4">
        <f t="shared" si="0"/>
        <v>3500.0000000000005</v>
      </c>
      <c r="L9" s="56">
        <v>32000</v>
      </c>
      <c r="M9" s="56"/>
      <c r="N9" s="56"/>
      <c r="O9" s="56"/>
      <c r="P9" s="56"/>
      <c r="Q9" s="56"/>
      <c r="R9" s="56"/>
      <c r="S9" s="56"/>
    </row>
    <row r="10" spans="2:19" x14ac:dyDescent="0.3">
      <c r="B10" s="2"/>
      <c r="C10" s="2"/>
      <c r="D10" s="2"/>
      <c r="E10" s="2"/>
      <c r="G10" s="2" t="s">
        <v>5</v>
      </c>
      <c r="H10" s="2">
        <v>50000</v>
      </c>
      <c r="I10" s="2">
        <v>50000</v>
      </c>
      <c r="J10" s="2">
        <v>50000</v>
      </c>
      <c r="L10" s="33" t="s">
        <v>78</v>
      </c>
      <c r="M10" s="33"/>
      <c r="N10" s="33"/>
      <c r="O10" s="33"/>
      <c r="P10" s="33"/>
      <c r="Q10" s="33"/>
      <c r="R10" s="33"/>
      <c r="S10" s="33"/>
    </row>
    <row r="11" spans="2:19" x14ac:dyDescent="0.3">
      <c r="B11" s="7" t="s">
        <v>20</v>
      </c>
      <c r="C11" s="5">
        <f>SUM(C6:C9)</f>
        <v>10800</v>
      </c>
      <c r="D11" s="5">
        <f>SUM(D6:D9)</f>
        <v>800</v>
      </c>
      <c r="E11" s="5">
        <f>SUM(E6:E8)-E9</f>
        <v>-200</v>
      </c>
      <c r="G11" s="7" t="s">
        <v>20</v>
      </c>
      <c r="H11" s="5">
        <f>H6+H9</f>
        <v>5000</v>
      </c>
      <c r="I11" s="5">
        <f>I6+I9</f>
        <v>5000</v>
      </c>
      <c r="J11" s="5">
        <f>J6+J9</f>
        <v>5000</v>
      </c>
    </row>
    <row r="12" spans="2:19" x14ac:dyDescent="0.3">
      <c r="B12" s="2"/>
      <c r="C12" s="4"/>
      <c r="D12" s="4"/>
      <c r="E12" s="2"/>
      <c r="G12" s="2"/>
      <c r="H12" s="4"/>
      <c r="I12" s="4"/>
      <c r="J12" s="4"/>
      <c r="L12" s="54" t="s">
        <v>25</v>
      </c>
      <c r="M12" s="54"/>
      <c r="N12" s="54"/>
      <c r="O12" s="54"/>
      <c r="P12" s="54"/>
      <c r="Q12" s="54"/>
      <c r="R12" s="54"/>
      <c r="S12" s="54"/>
    </row>
    <row r="13" spans="2:19" x14ac:dyDescent="0.3">
      <c r="B13" s="35" t="s">
        <v>21</v>
      </c>
      <c r="C13" s="35"/>
      <c r="D13" s="35"/>
      <c r="E13" s="5">
        <f>SUM(C11:E11)</f>
        <v>11400</v>
      </c>
      <c r="G13" s="36" t="s">
        <v>21</v>
      </c>
      <c r="H13" s="37"/>
      <c r="I13" s="38"/>
      <c r="J13" s="5">
        <f>SUM(H11:J11)</f>
        <v>15000</v>
      </c>
      <c r="L13" s="56" t="s">
        <v>74</v>
      </c>
      <c r="M13" s="56"/>
      <c r="N13" s="56"/>
      <c r="O13" s="56"/>
      <c r="P13" s="56"/>
      <c r="Q13" s="56"/>
      <c r="R13" s="56"/>
      <c r="S13" s="56"/>
    </row>
    <row r="14" spans="2:19" x14ac:dyDescent="0.3">
      <c r="B14" s="18"/>
      <c r="C14" s="18"/>
      <c r="D14" s="18"/>
      <c r="E14" s="19"/>
      <c r="G14" s="18"/>
      <c r="H14" s="18"/>
      <c r="I14" s="18"/>
      <c r="J14" s="19"/>
      <c r="L14" s="33" t="s">
        <v>78</v>
      </c>
      <c r="M14" s="33"/>
      <c r="N14" s="33"/>
      <c r="O14" s="33"/>
      <c r="P14" s="33"/>
      <c r="Q14" s="33"/>
      <c r="R14" s="33"/>
      <c r="S14" s="33"/>
    </row>
    <row r="16" spans="2:19" ht="18" customHeight="1" x14ac:dyDescent="0.35">
      <c r="B16" s="43" t="s">
        <v>30</v>
      </c>
      <c r="C16" s="44"/>
      <c r="D16" s="44"/>
      <c r="E16" s="44"/>
      <c r="F16" s="44"/>
      <c r="G16" s="44"/>
      <c r="H16" s="44"/>
      <c r="I16" s="44"/>
      <c r="J16" s="45"/>
      <c r="L16" s="54" t="s">
        <v>26</v>
      </c>
      <c r="M16" s="54"/>
      <c r="N16" s="54"/>
      <c r="O16" s="54"/>
      <c r="P16" s="54"/>
      <c r="Q16" s="54"/>
      <c r="R16" s="54"/>
      <c r="S16" s="54"/>
    </row>
    <row r="17" spans="2:19" ht="18" x14ac:dyDescent="0.35">
      <c r="B17" s="6" t="s">
        <v>34</v>
      </c>
      <c r="C17" s="46" t="s">
        <v>31</v>
      </c>
      <c r="D17" s="47"/>
      <c r="E17" s="47"/>
      <c r="F17" s="47"/>
      <c r="G17" s="47"/>
      <c r="H17" s="47"/>
      <c r="I17" s="47"/>
      <c r="J17" s="48"/>
      <c r="L17" s="57" t="s">
        <v>75</v>
      </c>
      <c r="M17" s="57"/>
      <c r="N17" s="57"/>
      <c r="O17" s="57"/>
      <c r="P17" s="57"/>
      <c r="Q17" s="57"/>
      <c r="R17" s="57"/>
      <c r="S17" s="57"/>
    </row>
    <row r="18" spans="2:19" ht="14.4" customHeight="1" x14ac:dyDescent="0.3">
      <c r="B18" s="34" t="s">
        <v>12</v>
      </c>
      <c r="C18" s="34"/>
      <c r="D18" s="34"/>
      <c r="E18" s="34"/>
      <c r="G18" s="34" t="s">
        <v>13</v>
      </c>
      <c r="H18" s="34"/>
      <c r="I18" s="34"/>
      <c r="J18" s="34"/>
      <c r="L18" s="33" t="s">
        <v>78</v>
      </c>
      <c r="M18" s="33"/>
      <c r="N18" s="33"/>
      <c r="O18" s="33"/>
      <c r="P18" s="33"/>
      <c r="Q18" s="33"/>
      <c r="R18" s="33"/>
      <c r="S18" s="33"/>
    </row>
    <row r="19" spans="2:19" x14ac:dyDescent="0.3">
      <c r="B19" s="7"/>
      <c r="C19" s="7" t="s">
        <v>14</v>
      </c>
      <c r="D19" s="7" t="s">
        <v>15</v>
      </c>
      <c r="E19" s="7" t="s">
        <v>16</v>
      </c>
      <c r="G19" s="7"/>
      <c r="H19" s="7" t="s">
        <v>14</v>
      </c>
      <c r="I19" s="7" t="s">
        <v>15</v>
      </c>
      <c r="J19" s="7" t="s">
        <v>16</v>
      </c>
    </row>
    <row r="20" spans="2:19" x14ac:dyDescent="0.3">
      <c r="B20" s="7" t="s">
        <v>17</v>
      </c>
      <c r="C20" s="2"/>
      <c r="D20" s="2"/>
      <c r="E20" s="2"/>
      <c r="G20" s="7" t="s">
        <v>17</v>
      </c>
      <c r="H20" s="2"/>
      <c r="I20" s="2"/>
      <c r="J20" s="2"/>
      <c r="L20" s="28" t="s">
        <v>89</v>
      </c>
      <c r="M20" s="29"/>
      <c r="N20" s="29"/>
      <c r="O20" s="29"/>
      <c r="P20" s="29"/>
      <c r="Q20" s="29"/>
      <c r="R20" s="29"/>
      <c r="S20" s="30"/>
    </row>
    <row r="21" spans="2:19" x14ac:dyDescent="0.3">
      <c r="B21" s="2" t="s">
        <v>60</v>
      </c>
      <c r="C21" s="4">
        <v>10000</v>
      </c>
      <c r="D21" s="4">
        <v>0</v>
      </c>
      <c r="E21" s="4">
        <v>0</v>
      </c>
      <c r="G21" s="2" t="s">
        <v>4</v>
      </c>
      <c r="H21" s="4">
        <v>1500</v>
      </c>
      <c r="I21" s="4">
        <v>1500</v>
      </c>
      <c r="J21" s="4">
        <v>1500</v>
      </c>
      <c r="L21" s="53"/>
      <c r="M21" s="53"/>
      <c r="N21" s="53"/>
      <c r="O21" s="53"/>
      <c r="P21" s="53"/>
      <c r="Q21" s="53"/>
      <c r="R21" s="53"/>
      <c r="S21" s="53"/>
    </row>
    <row r="22" spans="2:19" x14ac:dyDescent="0.3">
      <c r="B22" s="7" t="s">
        <v>18</v>
      </c>
      <c r="C22" s="4"/>
      <c r="D22" s="4"/>
      <c r="E22" s="4"/>
      <c r="G22" s="7" t="s">
        <v>18</v>
      </c>
      <c r="H22" s="4"/>
      <c r="I22" s="4"/>
      <c r="J22" s="4"/>
    </row>
    <row r="23" spans="2:19" x14ac:dyDescent="0.3">
      <c r="B23" s="2" t="s">
        <v>61</v>
      </c>
      <c r="C23" s="4">
        <v>800</v>
      </c>
      <c r="D23" s="4">
        <v>800</v>
      </c>
      <c r="E23" s="4">
        <v>800</v>
      </c>
      <c r="G23" s="2" t="s">
        <v>22</v>
      </c>
      <c r="H23" s="4">
        <v>0.04</v>
      </c>
      <c r="I23" s="4">
        <v>0.04</v>
      </c>
      <c r="J23" s="4">
        <v>0.04</v>
      </c>
    </row>
    <row r="24" spans="2:19" x14ac:dyDescent="0.3">
      <c r="B24" s="2" t="s">
        <v>19</v>
      </c>
      <c r="C24" s="4">
        <v>0</v>
      </c>
      <c r="D24" s="4">
        <v>0</v>
      </c>
      <c r="E24" s="4">
        <v>1000</v>
      </c>
      <c r="G24" s="2" t="s">
        <v>23</v>
      </c>
      <c r="H24" s="4">
        <f>H23*H25</f>
        <v>2000</v>
      </c>
      <c r="I24" s="4">
        <f t="shared" ref="I24:J24" si="1">I23*I25</f>
        <v>2000</v>
      </c>
      <c r="J24" s="4">
        <f t="shared" si="1"/>
        <v>2000</v>
      </c>
    </row>
    <row r="25" spans="2:19" x14ac:dyDescent="0.3">
      <c r="B25" s="2"/>
      <c r="C25" s="2"/>
      <c r="D25" s="2"/>
      <c r="E25" s="2"/>
      <c r="G25" s="2" t="s">
        <v>5</v>
      </c>
      <c r="H25" s="2">
        <v>50000</v>
      </c>
      <c r="I25" s="2">
        <v>50000</v>
      </c>
      <c r="J25" s="2">
        <v>50000</v>
      </c>
    </row>
    <row r="26" spans="2:19" x14ac:dyDescent="0.3">
      <c r="B26" s="7" t="s">
        <v>20</v>
      </c>
      <c r="C26" s="5">
        <f>SUM(C21:C24)</f>
        <v>10800</v>
      </c>
      <c r="D26" s="5">
        <f>SUM(D21:D24)</f>
        <v>800</v>
      </c>
      <c r="E26" s="5">
        <f>SUM(E21:E23)-E24</f>
        <v>-200</v>
      </c>
      <c r="G26" s="7" t="s">
        <v>20</v>
      </c>
      <c r="H26" s="5">
        <f>H21+H24</f>
        <v>3500</v>
      </c>
      <c r="I26" s="5">
        <f>I21+I24</f>
        <v>3500</v>
      </c>
      <c r="J26" s="5">
        <f>J21+J24</f>
        <v>3500</v>
      </c>
    </row>
    <row r="27" spans="2:19" x14ac:dyDescent="0.3">
      <c r="B27" s="2"/>
      <c r="C27" s="4"/>
      <c r="D27" s="4"/>
      <c r="E27" s="2"/>
      <c r="G27" s="2"/>
      <c r="H27" s="4"/>
      <c r="I27" s="4"/>
      <c r="J27" s="4"/>
    </row>
    <row r="28" spans="2:19" x14ac:dyDescent="0.3">
      <c r="B28" s="35" t="s">
        <v>21</v>
      </c>
      <c r="C28" s="35"/>
      <c r="D28" s="35"/>
      <c r="E28" s="5">
        <f>SUM(C26:E26)</f>
        <v>11400</v>
      </c>
      <c r="G28" s="36" t="s">
        <v>21</v>
      </c>
      <c r="H28" s="37"/>
      <c r="I28" s="38"/>
      <c r="J28" s="5">
        <f>SUM(H26:J26)</f>
        <v>10500</v>
      </c>
    </row>
    <row r="31" spans="2:19" ht="18" customHeight="1" x14ac:dyDescent="0.35">
      <c r="B31" s="43" t="s">
        <v>32</v>
      </c>
      <c r="C31" s="44"/>
      <c r="D31" s="44"/>
      <c r="E31" s="44"/>
      <c r="F31" s="44"/>
      <c r="G31" s="44"/>
      <c r="H31" s="44"/>
      <c r="I31" s="44"/>
      <c r="J31" s="45"/>
    </row>
    <row r="32" spans="2:19" ht="18" x14ac:dyDescent="0.35">
      <c r="B32" s="6" t="s">
        <v>34</v>
      </c>
      <c r="C32" s="46">
        <v>32000</v>
      </c>
      <c r="D32" s="47"/>
      <c r="E32" s="47"/>
      <c r="F32" s="47"/>
      <c r="G32" s="47"/>
      <c r="H32" s="47"/>
      <c r="I32" s="47"/>
      <c r="J32" s="48"/>
    </row>
    <row r="33" spans="2:10" ht="14.4" customHeight="1" x14ac:dyDescent="0.3">
      <c r="B33" s="34" t="s">
        <v>12</v>
      </c>
      <c r="C33" s="34"/>
      <c r="D33" s="34"/>
      <c r="E33" s="34"/>
      <c r="G33" s="34" t="s">
        <v>13</v>
      </c>
      <c r="H33" s="34"/>
      <c r="I33" s="34"/>
      <c r="J33" s="34"/>
    </row>
    <row r="34" spans="2:10" x14ac:dyDescent="0.3">
      <c r="B34" s="7"/>
      <c r="C34" s="7" t="s">
        <v>14</v>
      </c>
      <c r="D34" s="7" t="s">
        <v>15</v>
      </c>
      <c r="E34" s="7" t="s">
        <v>16</v>
      </c>
      <c r="G34" s="7"/>
      <c r="H34" s="7" t="s">
        <v>14</v>
      </c>
      <c r="I34" s="7" t="s">
        <v>15</v>
      </c>
      <c r="J34" s="7" t="s">
        <v>16</v>
      </c>
    </row>
    <row r="35" spans="2:10" x14ac:dyDescent="0.3">
      <c r="B35" s="7" t="s">
        <v>17</v>
      </c>
      <c r="C35" s="2"/>
      <c r="D35" s="2"/>
      <c r="E35" s="2"/>
      <c r="G35" s="7" t="s">
        <v>17</v>
      </c>
      <c r="H35" s="2"/>
      <c r="I35" s="2"/>
      <c r="J35" s="2"/>
    </row>
    <row r="36" spans="2:10" x14ac:dyDescent="0.3">
      <c r="B36" s="2" t="s">
        <v>60</v>
      </c>
      <c r="C36" s="4">
        <v>10000</v>
      </c>
      <c r="D36" s="4">
        <v>0</v>
      </c>
      <c r="E36" s="4">
        <v>0</v>
      </c>
      <c r="G36" s="2" t="s">
        <v>4</v>
      </c>
      <c r="H36" s="4">
        <v>1500</v>
      </c>
      <c r="I36" s="4">
        <v>1500</v>
      </c>
      <c r="J36" s="4">
        <v>1500</v>
      </c>
    </row>
    <row r="37" spans="2:10" x14ac:dyDescent="0.3">
      <c r="B37" s="7" t="s">
        <v>18</v>
      </c>
      <c r="C37" s="4"/>
      <c r="D37" s="4"/>
      <c r="E37" s="4"/>
      <c r="G37" s="7" t="s">
        <v>18</v>
      </c>
      <c r="H37" s="4"/>
      <c r="I37" s="4"/>
      <c r="J37" s="4"/>
    </row>
    <row r="38" spans="2:10" x14ac:dyDescent="0.3">
      <c r="B38" s="2" t="s">
        <v>61</v>
      </c>
      <c r="C38" s="4">
        <v>800</v>
      </c>
      <c r="D38" s="4">
        <v>800</v>
      </c>
      <c r="E38" s="4">
        <v>800</v>
      </c>
      <c r="G38" s="2" t="s">
        <v>22</v>
      </c>
      <c r="H38" s="4">
        <v>7.0000000000000007E-2</v>
      </c>
      <c r="I38" s="4">
        <v>7.0000000000000007E-2</v>
      </c>
      <c r="J38" s="4">
        <v>7.0000000000000007E-2</v>
      </c>
    </row>
    <row r="39" spans="2:10" x14ac:dyDescent="0.3">
      <c r="B39" s="2" t="s">
        <v>19</v>
      </c>
      <c r="C39" s="4">
        <v>0</v>
      </c>
      <c r="D39" s="4">
        <v>0</v>
      </c>
      <c r="E39" s="4">
        <v>1000</v>
      </c>
      <c r="G39" s="2" t="s">
        <v>23</v>
      </c>
      <c r="H39" s="4">
        <f>H38*H40</f>
        <v>2240</v>
      </c>
      <c r="I39" s="4">
        <f t="shared" ref="I39:J39" si="2">I38*I40</f>
        <v>2240</v>
      </c>
      <c r="J39" s="4">
        <f t="shared" si="2"/>
        <v>2240</v>
      </c>
    </row>
    <row r="40" spans="2:10" x14ac:dyDescent="0.3">
      <c r="B40" s="2"/>
      <c r="C40" s="2"/>
      <c r="D40" s="2"/>
      <c r="E40" s="2"/>
      <c r="G40" s="2" t="s">
        <v>5</v>
      </c>
      <c r="H40" s="2">
        <v>32000</v>
      </c>
      <c r="I40" s="2">
        <v>32000</v>
      </c>
      <c r="J40" s="2">
        <v>32000</v>
      </c>
    </row>
    <row r="41" spans="2:10" x14ac:dyDescent="0.3">
      <c r="B41" s="7" t="s">
        <v>20</v>
      </c>
      <c r="C41" s="5">
        <f>SUM(C36:C39)</f>
        <v>10800</v>
      </c>
      <c r="D41" s="5">
        <f>SUM(D36:D39)</f>
        <v>800</v>
      </c>
      <c r="E41" s="5">
        <f>SUM(E36:E38)-E39</f>
        <v>-200</v>
      </c>
      <c r="G41" s="7" t="s">
        <v>20</v>
      </c>
      <c r="H41" s="5">
        <f>H36+H39</f>
        <v>3740</v>
      </c>
      <c r="I41" s="5">
        <f>I36+I39</f>
        <v>3740</v>
      </c>
      <c r="J41" s="5">
        <f>J36+J39</f>
        <v>3740</v>
      </c>
    </row>
    <row r="42" spans="2:10" x14ac:dyDescent="0.3">
      <c r="B42" s="2"/>
      <c r="C42" s="4"/>
      <c r="D42" s="4"/>
      <c r="E42" s="2"/>
      <c r="G42" s="2"/>
      <c r="H42" s="4"/>
      <c r="I42" s="4"/>
      <c r="J42" s="4"/>
    </row>
    <row r="43" spans="2:10" x14ac:dyDescent="0.3">
      <c r="B43" s="35" t="s">
        <v>21</v>
      </c>
      <c r="C43" s="35"/>
      <c r="D43" s="35"/>
      <c r="E43" s="5">
        <f>SUM(C41:E41)</f>
        <v>11400</v>
      </c>
      <c r="G43" s="36" t="s">
        <v>21</v>
      </c>
      <c r="H43" s="37"/>
      <c r="I43" s="38"/>
      <c r="J43" s="5">
        <f>SUM(H41:J41)</f>
        <v>11220</v>
      </c>
    </row>
    <row r="46" spans="2:10" ht="18" customHeight="1" x14ac:dyDescent="0.35">
      <c r="B46" s="43" t="s">
        <v>25</v>
      </c>
      <c r="C46" s="44"/>
      <c r="D46" s="44"/>
      <c r="E46" s="44"/>
      <c r="F46" s="44"/>
      <c r="G46" s="44"/>
      <c r="H46" s="44"/>
      <c r="I46" s="44"/>
      <c r="J46" s="45"/>
    </row>
    <row r="47" spans="2:10" ht="18" x14ac:dyDescent="0.35">
      <c r="B47" s="6" t="s">
        <v>34</v>
      </c>
      <c r="C47" s="46" t="s">
        <v>33</v>
      </c>
      <c r="D47" s="47"/>
      <c r="E47" s="47"/>
      <c r="F47" s="47"/>
      <c r="G47" s="47"/>
      <c r="H47" s="47"/>
      <c r="I47" s="47"/>
      <c r="J47" s="48"/>
    </row>
    <row r="48" spans="2:10" ht="14.4" customHeight="1" x14ac:dyDescent="0.3">
      <c r="B48" s="34" t="s">
        <v>12</v>
      </c>
      <c r="C48" s="34"/>
      <c r="D48" s="34"/>
      <c r="E48" s="34"/>
      <c r="G48" s="34" t="s">
        <v>13</v>
      </c>
      <c r="H48" s="34"/>
      <c r="I48" s="34"/>
      <c r="J48" s="34"/>
    </row>
    <row r="49" spans="2:14" x14ac:dyDescent="0.3">
      <c r="B49" s="7"/>
      <c r="C49" s="7" t="s">
        <v>14</v>
      </c>
      <c r="D49" s="7" t="s">
        <v>15</v>
      </c>
      <c r="E49" s="7" t="s">
        <v>16</v>
      </c>
      <c r="G49" s="7"/>
      <c r="H49" s="7" t="s">
        <v>14</v>
      </c>
      <c r="I49" s="7" t="s">
        <v>15</v>
      </c>
      <c r="J49" s="7" t="s">
        <v>16</v>
      </c>
    </row>
    <row r="50" spans="2:14" x14ac:dyDescent="0.3">
      <c r="B50" s="7" t="s">
        <v>17</v>
      </c>
      <c r="C50" s="2"/>
      <c r="D50" s="2"/>
      <c r="E50" s="2"/>
      <c r="G50" s="7" t="s">
        <v>17</v>
      </c>
      <c r="H50" s="2"/>
      <c r="I50" s="2"/>
      <c r="J50" s="2"/>
    </row>
    <row r="51" spans="2:14" x14ac:dyDescent="0.3">
      <c r="B51" s="2" t="s">
        <v>60</v>
      </c>
      <c r="C51" s="4">
        <v>10000</v>
      </c>
      <c r="D51" s="4">
        <v>0</v>
      </c>
      <c r="E51" s="4">
        <v>0</v>
      </c>
      <c r="G51" s="2" t="s">
        <v>4</v>
      </c>
      <c r="H51" s="4">
        <v>1500</v>
      </c>
      <c r="I51" s="4">
        <v>1500</v>
      </c>
      <c r="J51" s="4">
        <v>1500</v>
      </c>
    </row>
    <row r="52" spans="2:14" x14ac:dyDescent="0.3">
      <c r="B52" s="7" t="s">
        <v>18</v>
      </c>
      <c r="C52" s="4"/>
      <c r="D52" s="4"/>
      <c r="E52" s="4"/>
      <c r="G52" s="7" t="s">
        <v>18</v>
      </c>
      <c r="H52" s="4"/>
      <c r="I52" s="4"/>
      <c r="J52" s="4"/>
    </row>
    <row r="53" spans="2:14" x14ac:dyDescent="0.3">
      <c r="B53" s="2" t="s">
        <v>61</v>
      </c>
      <c r="C53" s="4">
        <v>1600</v>
      </c>
      <c r="D53" s="4">
        <v>1600</v>
      </c>
      <c r="E53" s="4">
        <v>1600</v>
      </c>
      <c r="G53" s="2" t="s">
        <v>22</v>
      </c>
      <c r="H53" s="4">
        <v>7.0000000000000007E-2</v>
      </c>
      <c r="I53" s="4">
        <v>7.0000000000000007E-2</v>
      </c>
      <c r="J53" s="4">
        <v>7.0000000000000007E-2</v>
      </c>
    </row>
    <row r="54" spans="2:14" x14ac:dyDescent="0.3">
      <c r="B54" s="2" t="s">
        <v>19</v>
      </c>
      <c r="C54" s="4">
        <v>0</v>
      </c>
      <c r="D54" s="4">
        <v>0</v>
      </c>
      <c r="E54" s="4">
        <v>1000</v>
      </c>
      <c r="G54" s="2" t="s">
        <v>23</v>
      </c>
      <c r="H54" s="4">
        <f>H53*H55</f>
        <v>3500.0000000000005</v>
      </c>
      <c r="I54" s="4">
        <f t="shared" ref="I54:J54" si="3">I53*I55</f>
        <v>3500.0000000000005</v>
      </c>
      <c r="J54" s="4">
        <f t="shared" si="3"/>
        <v>3500.0000000000005</v>
      </c>
    </row>
    <row r="55" spans="2:14" x14ac:dyDescent="0.3">
      <c r="B55" s="2"/>
      <c r="C55" s="2"/>
      <c r="D55" s="2"/>
      <c r="E55" s="2"/>
      <c r="G55" s="2" t="s">
        <v>5</v>
      </c>
      <c r="H55" s="2">
        <v>50000</v>
      </c>
      <c r="I55" s="2">
        <v>50000</v>
      </c>
      <c r="J55" s="2">
        <v>50000</v>
      </c>
    </row>
    <row r="56" spans="2:14" x14ac:dyDescent="0.3">
      <c r="B56" s="7" t="s">
        <v>20</v>
      </c>
      <c r="C56" s="5">
        <f>SUM(C51:C54)</f>
        <v>11600</v>
      </c>
      <c r="D56" s="5">
        <f>SUM(D51:D54)</f>
        <v>1600</v>
      </c>
      <c r="E56" s="5">
        <f>SUM(E51:E53)-E54</f>
        <v>600</v>
      </c>
      <c r="G56" s="7" t="s">
        <v>20</v>
      </c>
      <c r="H56" s="5">
        <f>H51+H54</f>
        <v>5000</v>
      </c>
      <c r="I56" s="5">
        <f>I51+I54</f>
        <v>5000</v>
      </c>
      <c r="J56" s="5">
        <f>J51+J54</f>
        <v>5000</v>
      </c>
    </row>
    <row r="57" spans="2:14" x14ac:dyDescent="0.3">
      <c r="B57" s="2"/>
      <c r="C57" s="4"/>
      <c r="D57" s="4"/>
      <c r="E57" s="2"/>
      <c r="G57" s="2"/>
      <c r="H57" s="4"/>
      <c r="I57" s="4"/>
      <c r="J57" s="4"/>
    </row>
    <row r="58" spans="2:14" x14ac:dyDescent="0.3">
      <c r="B58" s="35" t="s">
        <v>21</v>
      </c>
      <c r="C58" s="35"/>
      <c r="D58" s="35"/>
      <c r="E58" s="5">
        <f>SUM(C56:E56)</f>
        <v>13800</v>
      </c>
      <c r="G58" s="36" t="s">
        <v>21</v>
      </c>
      <c r="H58" s="37"/>
      <c r="I58" s="38"/>
      <c r="J58" s="5">
        <f>SUM(H56:J56)</f>
        <v>15000</v>
      </c>
    </row>
    <row r="61" spans="2:14" ht="18" customHeight="1" x14ac:dyDescent="0.35">
      <c r="B61" s="43" t="s">
        <v>26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5"/>
    </row>
    <row r="62" spans="2:14" ht="18" customHeight="1" x14ac:dyDescent="0.35">
      <c r="B62" s="6" t="s">
        <v>34</v>
      </c>
      <c r="C62" s="46" t="s">
        <v>35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</row>
    <row r="63" spans="2:14" ht="14.4" customHeight="1" x14ac:dyDescent="0.3">
      <c r="B63" s="34" t="s">
        <v>29</v>
      </c>
      <c r="C63" s="34"/>
      <c r="D63" s="34"/>
      <c r="E63" s="34"/>
      <c r="F63" s="34"/>
      <c r="G63" s="34"/>
      <c r="I63" s="49" t="s">
        <v>36</v>
      </c>
      <c r="J63" s="50"/>
      <c r="K63" s="50"/>
      <c r="L63" s="50"/>
      <c r="M63" s="50"/>
      <c r="N63" s="51"/>
    </row>
    <row r="64" spans="2:14" x14ac:dyDescent="0.3">
      <c r="B64" s="2"/>
      <c r="C64" s="2" t="s">
        <v>14</v>
      </c>
      <c r="D64" s="2" t="s">
        <v>15</v>
      </c>
      <c r="E64" s="2" t="s">
        <v>16</v>
      </c>
      <c r="F64" s="2" t="s">
        <v>27</v>
      </c>
      <c r="G64" s="2" t="s">
        <v>28</v>
      </c>
      <c r="I64" s="2"/>
      <c r="J64" s="2" t="s">
        <v>14</v>
      </c>
      <c r="K64" s="2" t="s">
        <v>15</v>
      </c>
      <c r="L64" s="2" t="s">
        <v>16</v>
      </c>
      <c r="M64" s="2" t="s">
        <v>27</v>
      </c>
      <c r="N64" s="2" t="s">
        <v>28</v>
      </c>
    </row>
    <row r="65" spans="2:14" x14ac:dyDescent="0.3">
      <c r="B65" s="7" t="s">
        <v>17</v>
      </c>
      <c r="C65" s="2"/>
      <c r="D65" s="2"/>
      <c r="E65" s="2"/>
      <c r="F65" s="2"/>
      <c r="G65" s="2"/>
      <c r="I65" s="7" t="s">
        <v>17</v>
      </c>
      <c r="J65" s="2"/>
      <c r="K65" s="2"/>
      <c r="L65" s="2"/>
      <c r="M65" s="2"/>
      <c r="N65" s="2"/>
    </row>
    <row r="66" spans="2:14" x14ac:dyDescent="0.3">
      <c r="B66" s="2" t="s">
        <v>60</v>
      </c>
      <c r="C66" s="4">
        <v>10000</v>
      </c>
      <c r="D66" s="4">
        <v>0</v>
      </c>
      <c r="E66" s="4">
        <v>0</v>
      </c>
      <c r="F66" s="4">
        <v>10000</v>
      </c>
      <c r="G66" s="4">
        <v>0</v>
      </c>
      <c r="I66" s="2" t="s">
        <v>4</v>
      </c>
      <c r="J66" s="4">
        <v>1500</v>
      </c>
      <c r="K66" s="4">
        <v>1500</v>
      </c>
      <c r="L66" s="4">
        <v>1500</v>
      </c>
      <c r="M66" s="4">
        <v>1500</v>
      </c>
      <c r="N66" s="4">
        <v>1500</v>
      </c>
    </row>
    <row r="67" spans="2:14" x14ac:dyDescent="0.3">
      <c r="B67" s="7" t="s">
        <v>18</v>
      </c>
      <c r="C67" s="4"/>
      <c r="D67" s="4"/>
      <c r="E67" s="4"/>
      <c r="F67" s="4"/>
      <c r="G67" s="4"/>
      <c r="I67" s="7" t="s">
        <v>18</v>
      </c>
      <c r="J67" s="4"/>
      <c r="K67" s="4"/>
      <c r="L67" s="4"/>
      <c r="M67" s="4"/>
      <c r="N67" s="4"/>
    </row>
    <row r="68" spans="2:14" x14ac:dyDescent="0.3">
      <c r="B68" s="2" t="s">
        <v>61</v>
      </c>
      <c r="C68" s="4">
        <v>800</v>
      </c>
      <c r="D68" s="4">
        <v>800</v>
      </c>
      <c r="E68" s="4">
        <v>800</v>
      </c>
      <c r="F68" s="4">
        <v>800</v>
      </c>
      <c r="G68" s="4">
        <v>800</v>
      </c>
      <c r="I68" s="2" t="s">
        <v>22</v>
      </c>
      <c r="J68" s="4">
        <v>7.0000000000000007E-2</v>
      </c>
      <c r="K68" s="4">
        <v>7.0000000000000007E-2</v>
      </c>
      <c r="L68" s="4">
        <v>7.0000000000000007E-2</v>
      </c>
      <c r="M68" s="4">
        <v>7.0000000000000007E-2</v>
      </c>
      <c r="N68" s="4">
        <v>7.0000000000000007E-2</v>
      </c>
    </row>
    <row r="69" spans="2:14" x14ac:dyDescent="0.3">
      <c r="B69" s="2" t="s">
        <v>19</v>
      </c>
      <c r="C69" s="4">
        <v>0</v>
      </c>
      <c r="D69" s="4">
        <v>0</v>
      </c>
      <c r="E69" s="4">
        <v>1000</v>
      </c>
      <c r="F69" s="2"/>
      <c r="G69" s="2"/>
      <c r="I69" s="2" t="s">
        <v>23</v>
      </c>
      <c r="J69" s="4">
        <f>J68*J70</f>
        <v>3500.0000000000005</v>
      </c>
      <c r="K69" s="4">
        <f t="shared" ref="K69" si="4">K68*K70</f>
        <v>3500.0000000000005</v>
      </c>
      <c r="L69" s="4">
        <f t="shared" ref="L69" si="5">L68*L70</f>
        <v>3500.0000000000005</v>
      </c>
      <c r="M69" s="4">
        <f>M68*M70</f>
        <v>3500.0000000000005</v>
      </c>
      <c r="N69" s="4">
        <f t="shared" ref="N69" si="6">N68*N70</f>
        <v>3500.0000000000005</v>
      </c>
    </row>
    <row r="70" spans="2:14" x14ac:dyDescent="0.3">
      <c r="B70" s="2"/>
      <c r="C70" s="2"/>
      <c r="D70" s="2"/>
      <c r="E70" s="2"/>
      <c r="F70" s="2"/>
      <c r="G70" s="2"/>
      <c r="I70" s="2" t="s">
        <v>5</v>
      </c>
      <c r="J70" s="2">
        <v>50000</v>
      </c>
      <c r="K70" s="2">
        <v>50000</v>
      </c>
      <c r="L70" s="2">
        <v>50000</v>
      </c>
      <c r="M70" s="2">
        <v>50000</v>
      </c>
      <c r="N70" s="2">
        <v>50000</v>
      </c>
    </row>
    <row r="71" spans="2:14" x14ac:dyDescent="0.3">
      <c r="B71" s="7" t="s">
        <v>20</v>
      </c>
      <c r="C71" s="5">
        <f>SUM(C66:C69)</f>
        <v>10800</v>
      </c>
      <c r="D71" s="5">
        <f>SUM(D66:D69)</f>
        <v>800</v>
      </c>
      <c r="E71" s="5">
        <f>SUM(E66:E68)-E69</f>
        <v>-200</v>
      </c>
      <c r="F71" s="5">
        <f>SUM(F66:F69)</f>
        <v>10800</v>
      </c>
      <c r="G71" s="5">
        <f>SUM(G66:G69)</f>
        <v>800</v>
      </c>
      <c r="I71" s="7" t="s">
        <v>20</v>
      </c>
      <c r="J71" s="5">
        <f>J66+J69</f>
        <v>5000</v>
      </c>
      <c r="K71" s="5">
        <f t="shared" ref="K71:N71" si="7">K66+K69</f>
        <v>5000</v>
      </c>
      <c r="L71" s="5">
        <f t="shared" si="7"/>
        <v>5000</v>
      </c>
      <c r="M71" s="5">
        <f t="shared" si="7"/>
        <v>5000</v>
      </c>
      <c r="N71" s="5">
        <f t="shared" si="7"/>
        <v>5000</v>
      </c>
    </row>
    <row r="72" spans="2:14" x14ac:dyDescent="0.3">
      <c r="B72" s="2"/>
      <c r="C72" s="2"/>
      <c r="D72" s="2"/>
      <c r="E72" s="2"/>
      <c r="F72" s="2"/>
      <c r="G72" s="2"/>
      <c r="I72" s="2"/>
      <c r="J72" s="4"/>
      <c r="K72" s="4"/>
      <c r="L72" s="4"/>
      <c r="M72" s="2"/>
      <c r="N72" s="2"/>
    </row>
    <row r="73" spans="2:14" x14ac:dyDescent="0.3">
      <c r="B73" s="25" t="s">
        <v>37</v>
      </c>
      <c r="C73" s="25"/>
      <c r="D73" s="25"/>
      <c r="E73" s="25"/>
      <c r="F73" s="25"/>
      <c r="G73" s="5">
        <f>SUM(C71:G71)</f>
        <v>23000</v>
      </c>
      <c r="I73" s="36" t="s">
        <v>37</v>
      </c>
      <c r="J73" s="37"/>
      <c r="K73" s="37"/>
      <c r="L73" s="37"/>
      <c r="M73" s="38"/>
      <c r="N73" s="5">
        <f>SUM(J71:N71)</f>
        <v>25000</v>
      </c>
    </row>
    <row r="75" spans="2:14" x14ac:dyDescent="0.3">
      <c r="B75" s="22" t="s">
        <v>10</v>
      </c>
      <c r="C75" s="2" t="s">
        <v>11</v>
      </c>
    </row>
    <row r="76" spans="2:14" x14ac:dyDescent="0.3">
      <c r="B76" s="22"/>
      <c r="C76" s="2" t="s">
        <v>9</v>
      </c>
    </row>
  </sheetData>
  <sheetProtection algorithmName="SHA-512" hashValue="2z2LorQCK7Y4+tQEwqtT9YWiWQHdfFv0W26YMdOR1M+T6e/MJyKAgZAsb/Gw2783yy43P54OLg9AU/EditbGlw==" saltValue="VqaljYFpMLDgKSyHlTFttg==" spinCount="100000" sheet="1" objects="1" scenarios="1"/>
  <mergeCells count="46">
    <mergeCell ref="L18:S18"/>
    <mergeCell ref="L21:S21"/>
    <mergeCell ref="L10:S10"/>
    <mergeCell ref="L14:S14"/>
    <mergeCell ref="L2:S2"/>
    <mergeCell ref="L4:S4"/>
    <mergeCell ref="L8:S8"/>
    <mergeCell ref="L5:S5"/>
    <mergeCell ref="L9:S9"/>
    <mergeCell ref="L3:S3"/>
    <mergeCell ref="L12:S12"/>
    <mergeCell ref="L13:S13"/>
    <mergeCell ref="L16:S16"/>
    <mergeCell ref="L17:S17"/>
    <mergeCell ref="L6:S6"/>
    <mergeCell ref="L20:S20"/>
    <mergeCell ref="B28:D28"/>
    <mergeCell ref="G28:I28"/>
    <mergeCell ref="B43:D43"/>
    <mergeCell ref="G43:I43"/>
    <mergeCell ref="B46:J46"/>
    <mergeCell ref="C32:J32"/>
    <mergeCell ref="B3:E3"/>
    <mergeCell ref="G3:J3"/>
    <mergeCell ref="B2:J2"/>
    <mergeCell ref="B16:J16"/>
    <mergeCell ref="B18:E18"/>
    <mergeCell ref="G18:J18"/>
    <mergeCell ref="C17:J17"/>
    <mergeCell ref="B13:D13"/>
    <mergeCell ref="G13:I13"/>
    <mergeCell ref="B75:B76"/>
    <mergeCell ref="B63:G63"/>
    <mergeCell ref="B73:F73"/>
    <mergeCell ref="I73:M73"/>
    <mergeCell ref="I63:N63"/>
    <mergeCell ref="B61:N61"/>
    <mergeCell ref="C62:N62"/>
    <mergeCell ref="B31:J31"/>
    <mergeCell ref="B33:E33"/>
    <mergeCell ref="G33:J33"/>
    <mergeCell ref="B58:D58"/>
    <mergeCell ref="G58:I58"/>
    <mergeCell ref="G48:J48"/>
    <mergeCell ref="B48:E48"/>
    <mergeCell ref="C47:J47"/>
  </mergeCells>
  <phoneticPr fontId="4" type="noConversion"/>
  <conditionalFormatting sqref="C75">
    <cfRule type="containsText" dxfId="47" priority="33" operator="containsText" text="cheapest">
      <formula>NOT(ISERROR(SEARCH("cheapest",C75)))</formula>
    </cfRule>
  </conditionalFormatting>
  <conditionalFormatting sqref="C76">
    <cfRule type="containsText" dxfId="46" priority="32" operator="containsText" text="Expensive">
      <formula>NOT(ISERROR(SEARCH("Expensive",C76)))</formula>
    </cfRule>
  </conditionalFormatting>
  <conditionalFormatting sqref="E13:E14">
    <cfRule type="cellIs" dxfId="45" priority="30" operator="equal">
      <formula>11400</formula>
    </cfRule>
    <cfRule type="cellIs" dxfId="44" priority="31" operator="equal">
      <formula>" £11,400.00 "</formula>
    </cfRule>
  </conditionalFormatting>
  <conditionalFormatting sqref="E28">
    <cfRule type="cellIs" dxfId="43" priority="4" operator="equal">
      <formula>$E$28</formula>
    </cfRule>
    <cfRule type="cellIs" dxfId="42" priority="26" operator="equal">
      <formula>" £11,400.00 "</formula>
    </cfRule>
    <cfRule type="cellIs" dxfId="41" priority="25" operator="equal">
      <formula>11400</formula>
    </cfRule>
  </conditionalFormatting>
  <conditionalFormatting sqref="E43">
    <cfRule type="cellIs" dxfId="40" priority="2" operator="equal">
      <formula>$E$43</formula>
    </cfRule>
    <cfRule type="cellIs" dxfId="39" priority="19" operator="equal">
      <formula>11400</formula>
    </cfRule>
    <cfRule type="cellIs" dxfId="38" priority="20" operator="equal">
      <formula>" £11,400.00 "</formula>
    </cfRule>
  </conditionalFormatting>
  <conditionalFormatting sqref="E58">
    <cfRule type="cellIs" dxfId="37" priority="1" operator="equal">
      <formula>$E$58</formula>
    </cfRule>
    <cfRule type="cellIs" dxfId="36" priority="9" operator="equal">
      <formula>11400</formula>
    </cfRule>
    <cfRule type="cellIs" dxfId="35" priority="10" operator="equal">
      <formula>" £11,400.00 "</formula>
    </cfRule>
  </conditionalFormatting>
  <conditionalFormatting sqref="G73">
    <cfRule type="cellIs" dxfId="34" priority="40" operator="equal">
      <formula>11400</formula>
    </cfRule>
    <cfRule type="cellIs" dxfId="33" priority="41" operator="equal">
      <formula>" £11,400.00 "</formula>
    </cfRule>
    <cfRule type="cellIs" dxfId="32" priority="38" operator="equal">
      <formula>$G$73</formula>
    </cfRule>
    <cfRule type="cellIs" dxfId="31" priority="39" operator="equal">
      <formula>" £23,000.00 "</formula>
    </cfRule>
  </conditionalFormatting>
  <conditionalFormatting sqref="J13">
    <cfRule type="cellIs" dxfId="30" priority="28" operator="equal">
      <formula>$J$12</formula>
    </cfRule>
    <cfRule type="cellIs" dxfId="29" priority="29" operator="equal">
      <formula>" £15,000.00 "</formula>
    </cfRule>
    <cfRule type="cellIs" dxfId="28" priority="27" operator="equal">
      <formula>$J$13</formula>
    </cfRule>
  </conditionalFormatting>
  <conditionalFormatting sqref="J28">
    <cfRule type="cellIs" dxfId="27" priority="5" operator="equal">
      <formula>$J$28</formula>
    </cfRule>
    <cfRule type="cellIs" dxfId="26" priority="21" operator="equal">
      <formula>" £10,500.00 "</formula>
    </cfRule>
    <cfRule type="cellIs" dxfId="25" priority="23" operator="equal">
      <formula>$J$12</formula>
    </cfRule>
    <cfRule type="cellIs" dxfId="24" priority="22" operator="equal">
      <formula>$J$13</formula>
    </cfRule>
    <cfRule type="cellIs" dxfId="23" priority="24" operator="equal">
      <formula>" £15,000.00 "</formula>
    </cfRule>
  </conditionalFormatting>
  <conditionalFormatting sqref="J43">
    <cfRule type="cellIs" dxfId="22" priority="3" operator="equal">
      <formula>$J$43</formula>
    </cfRule>
    <cfRule type="cellIs" dxfId="21" priority="13" operator="equal">
      <formula>" £15,000.00 "</formula>
    </cfRule>
    <cfRule type="cellIs" dxfId="20" priority="12" operator="equal">
      <formula>$J$12</formula>
    </cfRule>
    <cfRule type="cellIs" dxfId="19" priority="11" operator="equal">
      <formula>$J$13</formula>
    </cfRule>
  </conditionalFormatting>
  <conditionalFormatting sqref="J58">
    <cfRule type="cellIs" dxfId="18" priority="6" operator="equal">
      <formula>$J$13</formula>
    </cfRule>
    <cfRule type="cellIs" dxfId="17" priority="7" operator="equal">
      <formula>$J$12</formula>
    </cfRule>
    <cfRule type="cellIs" dxfId="16" priority="8" operator="equal">
      <formula>" £15,000.00 "</formula>
    </cfRule>
  </conditionalFormatting>
  <conditionalFormatting sqref="N73">
    <cfRule type="cellIs" dxfId="15" priority="34" operator="equal">
      <formula>$N$73</formula>
    </cfRule>
    <cfRule type="cellIs" dxfId="14" priority="35" operator="equal">
      <formula>$J$12</formula>
    </cfRule>
    <cfRule type="cellIs" dxfId="13" priority="36" operator="equal">
      <formula>$J$10</formula>
    </cfRule>
    <cfRule type="cellIs" dxfId="12" priority="37" operator="equal">
      <formula>" £15,000.00 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8BD6-87E0-4A6B-A4CA-67AC6770D57F}">
  <sheetPr codeName="Sheet4"/>
  <dimension ref="B2:P1155"/>
  <sheetViews>
    <sheetView workbookViewId="0">
      <selection activeCell="I10" sqref="I10:P10"/>
    </sheetView>
  </sheetViews>
  <sheetFormatPr defaultRowHeight="14.4" x14ac:dyDescent="0.3"/>
  <cols>
    <col min="2" max="2" width="22.109375" bestFit="1" customWidth="1"/>
    <col min="3" max="3" width="16.21875" bestFit="1" customWidth="1"/>
    <col min="4" max="4" width="10.88671875" bestFit="1" customWidth="1"/>
    <col min="5" max="5" width="18.44140625" bestFit="1" customWidth="1"/>
    <col min="6" max="6" width="17.5546875" bestFit="1" customWidth="1"/>
    <col min="7" max="7" width="40.77734375" style="1" bestFit="1" customWidth="1"/>
  </cols>
  <sheetData>
    <row r="2" spans="2:16" ht="15" thickBot="1" x14ac:dyDescent="0.35">
      <c r="B2" s="34" t="s">
        <v>38</v>
      </c>
      <c r="C2" s="34"/>
      <c r="E2" s="34" t="s">
        <v>39</v>
      </c>
      <c r="F2" s="34"/>
      <c r="I2" s="39" t="s">
        <v>65</v>
      </c>
      <c r="J2" s="39"/>
      <c r="K2" s="39"/>
      <c r="L2" s="39"/>
      <c r="M2" s="39"/>
      <c r="N2" s="39"/>
      <c r="O2" s="39"/>
      <c r="P2" s="39"/>
    </row>
    <row r="3" spans="2:16" ht="15" thickTop="1" x14ac:dyDescent="0.3">
      <c r="B3" s="2" t="s">
        <v>41</v>
      </c>
      <c r="C3" s="4">
        <v>10000</v>
      </c>
      <c r="E3" s="2" t="s">
        <v>40</v>
      </c>
      <c r="F3" s="4">
        <v>800</v>
      </c>
      <c r="I3" s="32" t="s">
        <v>79</v>
      </c>
      <c r="J3" s="32"/>
      <c r="K3" s="32"/>
      <c r="L3" s="32"/>
      <c r="M3" s="32"/>
      <c r="N3" s="32"/>
      <c r="O3" s="32"/>
      <c r="P3" s="32"/>
    </row>
    <row r="4" spans="2:16" x14ac:dyDescent="0.3">
      <c r="B4" s="2" t="s">
        <v>42</v>
      </c>
      <c r="C4" s="4">
        <v>800</v>
      </c>
      <c r="E4" s="2" t="s">
        <v>47</v>
      </c>
      <c r="F4" s="4">
        <v>0.04</v>
      </c>
      <c r="I4" s="33" t="s">
        <v>83</v>
      </c>
      <c r="J4" s="33"/>
      <c r="K4" s="33"/>
      <c r="L4" s="33"/>
      <c r="M4" s="33"/>
      <c r="N4" s="33"/>
      <c r="O4" s="33"/>
      <c r="P4" s="33"/>
    </row>
    <row r="5" spans="2:16" x14ac:dyDescent="0.3">
      <c r="B5" s="2" t="s">
        <v>43</v>
      </c>
      <c r="C5" s="4">
        <v>1000</v>
      </c>
      <c r="I5" s="59" t="s">
        <v>84</v>
      </c>
      <c r="J5" s="59"/>
      <c r="K5" s="59"/>
      <c r="L5" s="59"/>
      <c r="M5" s="59"/>
      <c r="N5" s="59"/>
      <c r="O5" s="59"/>
      <c r="P5" s="59"/>
    </row>
    <row r="6" spans="2:16" x14ac:dyDescent="0.3">
      <c r="B6" s="2" t="s">
        <v>44</v>
      </c>
      <c r="C6" s="2">
        <v>1</v>
      </c>
      <c r="I6" s="33" t="s">
        <v>81</v>
      </c>
      <c r="J6" s="33"/>
      <c r="K6" s="33"/>
      <c r="L6" s="33"/>
      <c r="M6" s="33"/>
      <c r="N6" s="33"/>
      <c r="O6" s="33"/>
      <c r="P6" s="33"/>
    </row>
    <row r="7" spans="2:16" x14ac:dyDescent="0.3">
      <c r="B7" s="2" t="s">
        <v>45</v>
      </c>
      <c r="C7" s="2">
        <v>1</v>
      </c>
      <c r="I7" s="32" t="s">
        <v>80</v>
      </c>
      <c r="J7" s="32"/>
      <c r="K7" s="32"/>
      <c r="L7" s="32"/>
      <c r="M7" s="32"/>
      <c r="N7" s="32"/>
      <c r="O7" s="32"/>
      <c r="P7" s="32"/>
    </row>
    <row r="8" spans="2:16" x14ac:dyDescent="0.3">
      <c r="B8" s="2" t="s">
        <v>46</v>
      </c>
      <c r="C8" s="2">
        <v>50000</v>
      </c>
      <c r="I8" s="32"/>
      <c r="J8" s="32"/>
      <c r="K8" s="32"/>
      <c r="L8" s="32"/>
      <c r="M8" s="32"/>
      <c r="N8" s="32"/>
      <c r="O8" s="32"/>
      <c r="P8" s="32"/>
    </row>
    <row r="10" spans="2:16" x14ac:dyDescent="0.3">
      <c r="I10" s="28" t="s">
        <v>89</v>
      </c>
      <c r="J10" s="29"/>
      <c r="K10" s="29"/>
      <c r="L10" s="29"/>
      <c r="M10" s="29"/>
      <c r="N10" s="29"/>
      <c r="O10" s="29"/>
      <c r="P10" s="30"/>
    </row>
    <row r="11" spans="2:16" ht="18" x14ac:dyDescent="0.35">
      <c r="B11" s="58" t="s">
        <v>48</v>
      </c>
      <c r="C11" s="58"/>
      <c r="D11" s="58"/>
      <c r="E11" s="58"/>
      <c r="F11" s="58"/>
      <c r="G11" s="58"/>
    </row>
    <row r="12" spans="2:16" s="14" customFormat="1" x14ac:dyDescent="0.3">
      <c r="B12" s="7" t="s">
        <v>49</v>
      </c>
      <c r="C12" s="7" t="s">
        <v>50</v>
      </c>
      <c r="D12" s="7" t="s">
        <v>43</v>
      </c>
      <c r="E12" s="7" t="s">
        <v>51</v>
      </c>
      <c r="F12" s="7" t="s">
        <v>52</v>
      </c>
      <c r="G12" s="5" t="s">
        <v>53</v>
      </c>
    </row>
    <row r="13" spans="2:16" x14ac:dyDescent="0.3">
      <c r="B13" s="2">
        <v>0</v>
      </c>
      <c r="C13" s="2">
        <f>$C$8+(B13*1000)</f>
        <v>50000</v>
      </c>
      <c r="D13" s="4">
        <f>IF(C13&lt;=50000,$C$5,$C$5-((C13-50000)/1000)*$C$7)</f>
        <v>1000</v>
      </c>
      <c r="E13" s="4">
        <f>$C$3+$C$4*$C$6-D13</f>
        <v>9800</v>
      </c>
      <c r="F13" s="4">
        <f>$F$3*$C$7+$F$4*C13</f>
        <v>2800</v>
      </c>
      <c r="G13" s="4">
        <f>E13-F13</f>
        <v>7000</v>
      </c>
    </row>
    <row r="14" spans="2:16" x14ac:dyDescent="0.3">
      <c r="B14" s="2">
        <v>1</v>
      </c>
      <c r="C14" s="2">
        <f>$C$8+(B14*1000)</f>
        <v>51000</v>
      </c>
      <c r="D14" s="4">
        <f t="shared" ref="D14:D77" si="0">IF(C14&lt;=50000,$C$5,$C$5-((C14-50000)/1000)*$C$7)</f>
        <v>999</v>
      </c>
      <c r="E14" s="4">
        <f t="shared" ref="E14:E77" si="1">$C$3+$C$4*$C$6-D14</f>
        <v>9801</v>
      </c>
      <c r="F14" s="4">
        <f t="shared" ref="F14:F77" si="2">$F$3*$C$7+$F$4*C14</f>
        <v>2840</v>
      </c>
      <c r="G14" s="4">
        <f t="shared" ref="G14:G77" si="3">E14-F14</f>
        <v>6961</v>
      </c>
    </row>
    <row r="15" spans="2:16" x14ac:dyDescent="0.3">
      <c r="B15" s="2">
        <v>2</v>
      </c>
      <c r="C15" s="2">
        <f t="shared" ref="C15:C78" si="4">$C$8+(B15*1000)</f>
        <v>52000</v>
      </c>
      <c r="D15" s="4">
        <f t="shared" si="0"/>
        <v>998</v>
      </c>
      <c r="E15" s="4">
        <f t="shared" si="1"/>
        <v>9802</v>
      </c>
      <c r="F15" s="4">
        <f t="shared" si="2"/>
        <v>2880</v>
      </c>
      <c r="G15" s="4">
        <f t="shared" si="3"/>
        <v>6922</v>
      </c>
    </row>
    <row r="16" spans="2:16" x14ac:dyDescent="0.3">
      <c r="B16" s="2">
        <v>3</v>
      </c>
      <c r="C16" s="2">
        <f t="shared" si="4"/>
        <v>53000</v>
      </c>
      <c r="D16" s="4">
        <f t="shared" si="0"/>
        <v>997</v>
      </c>
      <c r="E16" s="4">
        <f t="shared" si="1"/>
        <v>9803</v>
      </c>
      <c r="F16" s="4">
        <f t="shared" si="2"/>
        <v>2920</v>
      </c>
      <c r="G16" s="4">
        <f t="shared" si="3"/>
        <v>6883</v>
      </c>
    </row>
    <row r="17" spans="2:7" x14ac:dyDescent="0.3">
      <c r="B17" s="2">
        <v>4</v>
      </c>
      <c r="C17" s="2">
        <f t="shared" si="4"/>
        <v>54000</v>
      </c>
      <c r="D17" s="4">
        <f t="shared" si="0"/>
        <v>996</v>
      </c>
      <c r="E17" s="4">
        <f t="shared" si="1"/>
        <v>9804</v>
      </c>
      <c r="F17" s="4">
        <f t="shared" si="2"/>
        <v>2960</v>
      </c>
      <c r="G17" s="4">
        <f t="shared" si="3"/>
        <v>6844</v>
      </c>
    </row>
    <row r="18" spans="2:7" x14ac:dyDescent="0.3">
      <c r="B18" s="2">
        <v>5</v>
      </c>
      <c r="C18" s="2">
        <f t="shared" si="4"/>
        <v>55000</v>
      </c>
      <c r="D18" s="4">
        <f t="shared" si="0"/>
        <v>995</v>
      </c>
      <c r="E18" s="4">
        <f t="shared" si="1"/>
        <v>9805</v>
      </c>
      <c r="F18" s="4">
        <f t="shared" si="2"/>
        <v>3000</v>
      </c>
      <c r="G18" s="4">
        <f t="shared" si="3"/>
        <v>6805</v>
      </c>
    </row>
    <row r="19" spans="2:7" x14ac:dyDescent="0.3">
      <c r="B19" s="2">
        <v>6</v>
      </c>
      <c r="C19" s="2">
        <f t="shared" si="4"/>
        <v>56000</v>
      </c>
      <c r="D19" s="4">
        <f t="shared" si="0"/>
        <v>994</v>
      </c>
      <c r="E19" s="4">
        <f t="shared" si="1"/>
        <v>9806</v>
      </c>
      <c r="F19" s="4">
        <f t="shared" si="2"/>
        <v>3040</v>
      </c>
      <c r="G19" s="4">
        <f t="shared" si="3"/>
        <v>6766</v>
      </c>
    </row>
    <row r="20" spans="2:7" x14ac:dyDescent="0.3">
      <c r="B20" s="2">
        <v>7</v>
      </c>
      <c r="C20" s="2">
        <f t="shared" si="4"/>
        <v>57000</v>
      </c>
      <c r="D20" s="4">
        <f t="shared" si="0"/>
        <v>993</v>
      </c>
      <c r="E20" s="4">
        <f t="shared" si="1"/>
        <v>9807</v>
      </c>
      <c r="F20" s="4">
        <f t="shared" si="2"/>
        <v>3080</v>
      </c>
      <c r="G20" s="4">
        <f t="shared" si="3"/>
        <v>6727</v>
      </c>
    </row>
    <row r="21" spans="2:7" x14ac:dyDescent="0.3">
      <c r="B21" s="2">
        <v>8</v>
      </c>
      <c r="C21" s="2">
        <f t="shared" si="4"/>
        <v>58000</v>
      </c>
      <c r="D21" s="4">
        <f t="shared" si="0"/>
        <v>992</v>
      </c>
      <c r="E21" s="4">
        <f t="shared" si="1"/>
        <v>9808</v>
      </c>
      <c r="F21" s="4">
        <f t="shared" si="2"/>
        <v>3120</v>
      </c>
      <c r="G21" s="4">
        <f t="shared" si="3"/>
        <v>6688</v>
      </c>
    </row>
    <row r="22" spans="2:7" x14ac:dyDescent="0.3">
      <c r="B22" s="2">
        <v>9</v>
      </c>
      <c r="C22" s="2">
        <f t="shared" si="4"/>
        <v>59000</v>
      </c>
      <c r="D22" s="4">
        <f t="shared" si="0"/>
        <v>991</v>
      </c>
      <c r="E22" s="4">
        <f t="shared" si="1"/>
        <v>9809</v>
      </c>
      <c r="F22" s="4">
        <f t="shared" si="2"/>
        <v>3160</v>
      </c>
      <c r="G22" s="4">
        <f t="shared" si="3"/>
        <v>6649</v>
      </c>
    </row>
    <row r="23" spans="2:7" x14ac:dyDescent="0.3">
      <c r="B23" s="2">
        <v>10</v>
      </c>
      <c r="C23" s="2">
        <f t="shared" si="4"/>
        <v>60000</v>
      </c>
      <c r="D23" s="4">
        <f t="shared" si="0"/>
        <v>990</v>
      </c>
      <c r="E23" s="4">
        <f t="shared" si="1"/>
        <v>9810</v>
      </c>
      <c r="F23" s="4">
        <f t="shared" si="2"/>
        <v>3200</v>
      </c>
      <c r="G23" s="4">
        <f t="shared" si="3"/>
        <v>6610</v>
      </c>
    </row>
    <row r="24" spans="2:7" x14ac:dyDescent="0.3">
      <c r="B24" s="2">
        <v>11</v>
      </c>
      <c r="C24" s="2">
        <f t="shared" si="4"/>
        <v>61000</v>
      </c>
      <c r="D24" s="4">
        <f t="shared" si="0"/>
        <v>989</v>
      </c>
      <c r="E24" s="4">
        <f t="shared" si="1"/>
        <v>9811</v>
      </c>
      <c r="F24" s="4">
        <f t="shared" si="2"/>
        <v>3240</v>
      </c>
      <c r="G24" s="4">
        <f t="shared" si="3"/>
        <v>6571</v>
      </c>
    </row>
    <row r="25" spans="2:7" x14ac:dyDescent="0.3">
      <c r="B25" s="2">
        <v>12</v>
      </c>
      <c r="C25" s="2">
        <f t="shared" si="4"/>
        <v>62000</v>
      </c>
      <c r="D25" s="4">
        <f t="shared" si="0"/>
        <v>988</v>
      </c>
      <c r="E25" s="4">
        <f t="shared" si="1"/>
        <v>9812</v>
      </c>
      <c r="F25" s="4">
        <f t="shared" si="2"/>
        <v>3280</v>
      </c>
      <c r="G25" s="4">
        <f t="shared" si="3"/>
        <v>6532</v>
      </c>
    </row>
    <row r="26" spans="2:7" x14ac:dyDescent="0.3">
      <c r="B26" s="2">
        <v>13</v>
      </c>
      <c r="C26" s="2">
        <f t="shared" si="4"/>
        <v>63000</v>
      </c>
      <c r="D26" s="4">
        <f t="shared" si="0"/>
        <v>987</v>
      </c>
      <c r="E26" s="4">
        <f t="shared" si="1"/>
        <v>9813</v>
      </c>
      <c r="F26" s="4">
        <f t="shared" si="2"/>
        <v>3320</v>
      </c>
      <c r="G26" s="4">
        <f t="shared" si="3"/>
        <v>6493</v>
      </c>
    </row>
    <row r="27" spans="2:7" x14ac:dyDescent="0.3">
      <c r="B27" s="2">
        <v>14</v>
      </c>
      <c r="C27" s="2">
        <f t="shared" si="4"/>
        <v>64000</v>
      </c>
      <c r="D27" s="4">
        <f t="shared" si="0"/>
        <v>986</v>
      </c>
      <c r="E27" s="4">
        <f t="shared" si="1"/>
        <v>9814</v>
      </c>
      <c r="F27" s="4">
        <f t="shared" si="2"/>
        <v>3360</v>
      </c>
      <c r="G27" s="4">
        <f t="shared" si="3"/>
        <v>6454</v>
      </c>
    </row>
    <row r="28" spans="2:7" x14ac:dyDescent="0.3">
      <c r="B28" s="2">
        <v>15</v>
      </c>
      <c r="C28" s="2">
        <f t="shared" si="4"/>
        <v>65000</v>
      </c>
      <c r="D28" s="4">
        <f t="shared" si="0"/>
        <v>985</v>
      </c>
      <c r="E28" s="4">
        <f t="shared" si="1"/>
        <v>9815</v>
      </c>
      <c r="F28" s="4">
        <f t="shared" si="2"/>
        <v>3400</v>
      </c>
      <c r="G28" s="4">
        <f t="shared" si="3"/>
        <v>6415</v>
      </c>
    </row>
    <row r="29" spans="2:7" x14ac:dyDescent="0.3">
      <c r="B29" s="2">
        <v>16</v>
      </c>
      <c r="C29" s="2">
        <f t="shared" si="4"/>
        <v>66000</v>
      </c>
      <c r="D29" s="4">
        <f t="shared" si="0"/>
        <v>984</v>
      </c>
      <c r="E29" s="4">
        <f t="shared" si="1"/>
        <v>9816</v>
      </c>
      <c r="F29" s="4">
        <f t="shared" si="2"/>
        <v>3440</v>
      </c>
      <c r="G29" s="4">
        <f t="shared" si="3"/>
        <v>6376</v>
      </c>
    </row>
    <row r="30" spans="2:7" x14ac:dyDescent="0.3">
      <c r="B30" s="2">
        <v>17</v>
      </c>
      <c r="C30" s="2">
        <f t="shared" si="4"/>
        <v>67000</v>
      </c>
      <c r="D30" s="4">
        <f t="shared" si="0"/>
        <v>983</v>
      </c>
      <c r="E30" s="4">
        <f t="shared" si="1"/>
        <v>9817</v>
      </c>
      <c r="F30" s="4">
        <f t="shared" si="2"/>
        <v>3480</v>
      </c>
      <c r="G30" s="4">
        <f t="shared" si="3"/>
        <v>6337</v>
      </c>
    </row>
    <row r="31" spans="2:7" x14ac:dyDescent="0.3">
      <c r="B31" s="2">
        <v>18</v>
      </c>
      <c r="C31" s="2">
        <f t="shared" si="4"/>
        <v>68000</v>
      </c>
      <c r="D31" s="4">
        <f t="shared" si="0"/>
        <v>982</v>
      </c>
      <c r="E31" s="4">
        <f t="shared" si="1"/>
        <v>9818</v>
      </c>
      <c r="F31" s="4">
        <f t="shared" si="2"/>
        <v>3520</v>
      </c>
      <c r="G31" s="4">
        <f t="shared" si="3"/>
        <v>6298</v>
      </c>
    </row>
    <row r="32" spans="2:7" x14ac:dyDescent="0.3">
      <c r="B32" s="2">
        <v>19</v>
      </c>
      <c r="C32" s="2">
        <f t="shared" si="4"/>
        <v>69000</v>
      </c>
      <c r="D32" s="4">
        <f t="shared" si="0"/>
        <v>981</v>
      </c>
      <c r="E32" s="4">
        <f t="shared" si="1"/>
        <v>9819</v>
      </c>
      <c r="F32" s="4">
        <f t="shared" si="2"/>
        <v>3560</v>
      </c>
      <c r="G32" s="4">
        <f t="shared" si="3"/>
        <v>6259</v>
      </c>
    </row>
    <row r="33" spans="2:7" x14ac:dyDescent="0.3">
      <c r="B33" s="2">
        <v>20</v>
      </c>
      <c r="C33" s="2">
        <f t="shared" si="4"/>
        <v>70000</v>
      </c>
      <c r="D33" s="4">
        <f t="shared" si="0"/>
        <v>980</v>
      </c>
      <c r="E33" s="4">
        <f t="shared" si="1"/>
        <v>9820</v>
      </c>
      <c r="F33" s="4">
        <f t="shared" si="2"/>
        <v>3600</v>
      </c>
      <c r="G33" s="4">
        <f t="shared" si="3"/>
        <v>6220</v>
      </c>
    </row>
    <row r="34" spans="2:7" x14ac:dyDescent="0.3">
      <c r="B34" s="2">
        <v>21</v>
      </c>
      <c r="C34" s="2">
        <f t="shared" si="4"/>
        <v>71000</v>
      </c>
      <c r="D34" s="4">
        <f t="shared" si="0"/>
        <v>979</v>
      </c>
      <c r="E34" s="4">
        <f t="shared" si="1"/>
        <v>9821</v>
      </c>
      <c r="F34" s="4">
        <f t="shared" si="2"/>
        <v>3640</v>
      </c>
      <c r="G34" s="4">
        <f t="shared" si="3"/>
        <v>6181</v>
      </c>
    </row>
    <row r="35" spans="2:7" x14ac:dyDescent="0.3">
      <c r="B35" s="2">
        <v>22</v>
      </c>
      <c r="C35" s="2">
        <f t="shared" si="4"/>
        <v>72000</v>
      </c>
      <c r="D35" s="4">
        <f t="shared" si="0"/>
        <v>978</v>
      </c>
      <c r="E35" s="4">
        <f t="shared" si="1"/>
        <v>9822</v>
      </c>
      <c r="F35" s="4">
        <f t="shared" si="2"/>
        <v>3680</v>
      </c>
      <c r="G35" s="4">
        <f t="shared" si="3"/>
        <v>6142</v>
      </c>
    </row>
    <row r="36" spans="2:7" x14ac:dyDescent="0.3">
      <c r="B36" s="2">
        <v>23</v>
      </c>
      <c r="C36" s="2">
        <f t="shared" si="4"/>
        <v>73000</v>
      </c>
      <c r="D36" s="4">
        <f t="shared" si="0"/>
        <v>977</v>
      </c>
      <c r="E36" s="4">
        <f t="shared" si="1"/>
        <v>9823</v>
      </c>
      <c r="F36" s="4">
        <f t="shared" si="2"/>
        <v>3720</v>
      </c>
      <c r="G36" s="4">
        <f t="shared" si="3"/>
        <v>6103</v>
      </c>
    </row>
    <row r="37" spans="2:7" x14ac:dyDescent="0.3">
      <c r="B37" s="2">
        <v>24</v>
      </c>
      <c r="C37" s="2">
        <f t="shared" si="4"/>
        <v>74000</v>
      </c>
      <c r="D37" s="4">
        <f t="shared" si="0"/>
        <v>976</v>
      </c>
      <c r="E37" s="4">
        <f t="shared" si="1"/>
        <v>9824</v>
      </c>
      <c r="F37" s="4">
        <f t="shared" si="2"/>
        <v>3760</v>
      </c>
      <c r="G37" s="4">
        <f t="shared" si="3"/>
        <v>6064</v>
      </c>
    </row>
    <row r="38" spans="2:7" x14ac:dyDescent="0.3">
      <c r="B38" s="2">
        <v>25</v>
      </c>
      <c r="C38" s="2">
        <f t="shared" si="4"/>
        <v>75000</v>
      </c>
      <c r="D38" s="4">
        <f t="shared" si="0"/>
        <v>975</v>
      </c>
      <c r="E38" s="4">
        <f t="shared" si="1"/>
        <v>9825</v>
      </c>
      <c r="F38" s="4">
        <f t="shared" si="2"/>
        <v>3800</v>
      </c>
      <c r="G38" s="4">
        <f t="shared" si="3"/>
        <v>6025</v>
      </c>
    </row>
    <row r="39" spans="2:7" x14ac:dyDescent="0.3">
      <c r="B39" s="2">
        <v>26</v>
      </c>
      <c r="C39" s="2">
        <f t="shared" si="4"/>
        <v>76000</v>
      </c>
      <c r="D39" s="4">
        <f t="shared" si="0"/>
        <v>974</v>
      </c>
      <c r="E39" s="4">
        <f t="shared" si="1"/>
        <v>9826</v>
      </c>
      <c r="F39" s="4">
        <f t="shared" si="2"/>
        <v>3840</v>
      </c>
      <c r="G39" s="4">
        <f t="shared" si="3"/>
        <v>5986</v>
      </c>
    </row>
    <row r="40" spans="2:7" x14ac:dyDescent="0.3">
      <c r="B40" s="2">
        <v>27</v>
      </c>
      <c r="C40" s="2">
        <f t="shared" si="4"/>
        <v>77000</v>
      </c>
      <c r="D40" s="4">
        <f t="shared" si="0"/>
        <v>973</v>
      </c>
      <c r="E40" s="4">
        <f t="shared" si="1"/>
        <v>9827</v>
      </c>
      <c r="F40" s="4">
        <f t="shared" si="2"/>
        <v>3880</v>
      </c>
      <c r="G40" s="4">
        <f t="shared" si="3"/>
        <v>5947</v>
      </c>
    </row>
    <row r="41" spans="2:7" x14ac:dyDescent="0.3">
      <c r="B41" s="2">
        <v>28</v>
      </c>
      <c r="C41" s="2">
        <f t="shared" si="4"/>
        <v>78000</v>
      </c>
      <c r="D41" s="4">
        <f t="shared" si="0"/>
        <v>972</v>
      </c>
      <c r="E41" s="4">
        <f t="shared" si="1"/>
        <v>9828</v>
      </c>
      <c r="F41" s="4">
        <f t="shared" si="2"/>
        <v>3920</v>
      </c>
      <c r="G41" s="4">
        <f t="shared" si="3"/>
        <v>5908</v>
      </c>
    </row>
    <row r="42" spans="2:7" x14ac:dyDescent="0.3">
      <c r="B42" s="2">
        <v>29</v>
      </c>
      <c r="C42" s="2">
        <f t="shared" si="4"/>
        <v>79000</v>
      </c>
      <c r="D42" s="4">
        <f t="shared" si="0"/>
        <v>971</v>
      </c>
      <c r="E42" s="4">
        <f t="shared" si="1"/>
        <v>9829</v>
      </c>
      <c r="F42" s="4">
        <f t="shared" si="2"/>
        <v>3960</v>
      </c>
      <c r="G42" s="4">
        <f t="shared" si="3"/>
        <v>5869</v>
      </c>
    </row>
    <row r="43" spans="2:7" x14ac:dyDescent="0.3">
      <c r="B43" s="2">
        <v>30</v>
      </c>
      <c r="C43" s="2">
        <f t="shared" si="4"/>
        <v>80000</v>
      </c>
      <c r="D43" s="4">
        <f t="shared" si="0"/>
        <v>970</v>
      </c>
      <c r="E43" s="4">
        <f t="shared" si="1"/>
        <v>9830</v>
      </c>
      <c r="F43" s="4">
        <f t="shared" si="2"/>
        <v>4000</v>
      </c>
      <c r="G43" s="4">
        <f t="shared" si="3"/>
        <v>5830</v>
      </c>
    </row>
    <row r="44" spans="2:7" x14ac:dyDescent="0.3">
      <c r="B44" s="2">
        <v>31</v>
      </c>
      <c r="C44" s="2">
        <f t="shared" si="4"/>
        <v>81000</v>
      </c>
      <c r="D44" s="4">
        <f t="shared" si="0"/>
        <v>969</v>
      </c>
      <c r="E44" s="4">
        <f t="shared" si="1"/>
        <v>9831</v>
      </c>
      <c r="F44" s="4">
        <f t="shared" si="2"/>
        <v>4040</v>
      </c>
      <c r="G44" s="4">
        <f t="shared" si="3"/>
        <v>5791</v>
      </c>
    </row>
    <row r="45" spans="2:7" x14ac:dyDescent="0.3">
      <c r="B45" s="2">
        <v>32</v>
      </c>
      <c r="C45" s="2">
        <f t="shared" si="4"/>
        <v>82000</v>
      </c>
      <c r="D45" s="4">
        <f t="shared" si="0"/>
        <v>968</v>
      </c>
      <c r="E45" s="4">
        <f t="shared" si="1"/>
        <v>9832</v>
      </c>
      <c r="F45" s="4">
        <f t="shared" si="2"/>
        <v>4080</v>
      </c>
      <c r="G45" s="4">
        <f t="shared" si="3"/>
        <v>5752</v>
      </c>
    </row>
    <row r="46" spans="2:7" x14ac:dyDescent="0.3">
      <c r="B46" s="2">
        <v>33</v>
      </c>
      <c r="C46" s="2">
        <f t="shared" si="4"/>
        <v>83000</v>
      </c>
      <c r="D46" s="4">
        <f t="shared" si="0"/>
        <v>967</v>
      </c>
      <c r="E46" s="4">
        <f t="shared" si="1"/>
        <v>9833</v>
      </c>
      <c r="F46" s="4">
        <f t="shared" si="2"/>
        <v>4120</v>
      </c>
      <c r="G46" s="4">
        <f t="shared" si="3"/>
        <v>5713</v>
      </c>
    </row>
    <row r="47" spans="2:7" x14ac:dyDescent="0.3">
      <c r="B47" s="2">
        <v>34</v>
      </c>
      <c r="C47" s="2">
        <f t="shared" si="4"/>
        <v>84000</v>
      </c>
      <c r="D47" s="4">
        <f t="shared" si="0"/>
        <v>966</v>
      </c>
      <c r="E47" s="4">
        <f t="shared" si="1"/>
        <v>9834</v>
      </c>
      <c r="F47" s="4">
        <f t="shared" si="2"/>
        <v>4160</v>
      </c>
      <c r="G47" s="4">
        <f t="shared" si="3"/>
        <v>5674</v>
      </c>
    </row>
    <row r="48" spans="2:7" x14ac:dyDescent="0.3">
      <c r="B48" s="2">
        <v>35</v>
      </c>
      <c r="C48" s="2">
        <f t="shared" si="4"/>
        <v>85000</v>
      </c>
      <c r="D48" s="4">
        <f t="shared" si="0"/>
        <v>965</v>
      </c>
      <c r="E48" s="4">
        <f t="shared" si="1"/>
        <v>9835</v>
      </c>
      <c r="F48" s="4">
        <f t="shared" si="2"/>
        <v>4200</v>
      </c>
      <c r="G48" s="4">
        <f t="shared" si="3"/>
        <v>5635</v>
      </c>
    </row>
    <row r="49" spans="2:7" x14ac:dyDescent="0.3">
      <c r="B49" s="2">
        <v>36</v>
      </c>
      <c r="C49" s="2">
        <f t="shared" si="4"/>
        <v>86000</v>
      </c>
      <c r="D49" s="4">
        <f t="shared" si="0"/>
        <v>964</v>
      </c>
      <c r="E49" s="4">
        <f t="shared" si="1"/>
        <v>9836</v>
      </c>
      <c r="F49" s="4">
        <f t="shared" si="2"/>
        <v>4240</v>
      </c>
      <c r="G49" s="4">
        <f t="shared" si="3"/>
        <v>5596</v>
      </c>
    </row>
    <row r="50" spans="2:7" x14ac:dyDescent="0.3">
      <c r="B50" s="2">
        <v>37</v>
      </c>
      <c r="C50" s="2">
        <f t="shared" si="4"/>
        <v>87000</v>
      </c>
      <c r="D50" s="4">
        <f t="shared" si="0"/>
        <v>963</v>
      </c>
      <c r="E50" s="4">
        <f t="shared" si="1"/>
        <v>9837</v>
      </c>
      <c r="F50" s="4">
        <f t="shared" si="2"/>
        <v>4280</v>
      </c>
      <c r="G50" s="4">
        <f t="shared" si="3"/>
        <v>5557</v>
      </c>
    </row>
    <row r="51" spans="2:7" x14ac:dyDescent="0.3">
      <c r="B51" s="2">
        <v>38</v>
      </c>
      <c r="C51" s="2">
        <f t="shared" si="4"/>
        <v>88000</v>
      </c>
      <c r="D51" s="4">
        <f t="shared" si="0"/>
        <v>962</v>
      </c>
      <c r="E51" s="4">
        <f t="shared" si="1"/>
        <v>9838</v>
      </c>
      <c r="F51" s="4">
        <f t="shared" si="2"/>
        <v>4320</v>
      </c>
      <c r="G51" s="4">
        <f t="shared" si="3"/>
        <v>5518</v>
      </c>
    </row>
    <row r="52" spans="2:7" x14ac:dyDescent="0.3">
      <c r="B52" s="2">
        <v>39</v>
      </c>
      <c r="C52" s="2">
        <f t="shared" si="4"/>
        <v>89000</v>
      </c>
      <c r="D52" s="4">
        <f t="shared" si="0"/>
        <v>961</v>
      </c>
      <c r="E52" s="4">
        <f t="shared" si="1"/>
        <v>9839</v>
      </c>
      <c r="F52" s="4">
        <f t="shared" si="2"/>
        <v>4360</v>
      </c>
      <c r="G52" s="4">
        <f t="shared" si="3"/>
        <v>5479</v>
      </c>
    </row>
    <row r="53" spans="2:7" x14ac:dyDescent="0.3">
      <c r="B53" s="2">
        <v>40</v>
      </c>
      <c r="C53" s="2">
        <f t="shared" si="4"/>
        <v>90000</v>
      </c>
      <c r="D53" s="4">
        <f t="shared" si="0"/>
        <v>960</v>
      </c>
      <c r="E53" s="4">
        <f t="shared" si="1"/>
        <v>9840</v>
      </c>
      <c r="F53" s="4">
        <f t="shared" si="2"/>
        <v>4400</v>
      </c>
      <c r="G53" s="4">
        <f t="shared" si="3"/>
        <v>5440</v>
      </c>
    </row>
    <row r="54" spans="2:7" x14ac:dyDescent="0.3">
      <c r="B54" s="2">
        <v>41</v>
      </c>
      <c r="C54" s="2">
        <f t="shared" si="4"/>
        <v>91000</v>
      </c>
      <c r="D54" s="4">
        <f t="shared" si="0"/>
        <v>959</v>
      </c>
      <c r="E54" s="4">
        <f t="shared" si="1"/>
        <v>9841</v>
      </c>
      <c r="F54" s="4">
        <f t="shared" si="2"/>
        <v>4440</v>
      </c>
      <c r="G54" s="4">
        <f t="shared" si="3"/>
        <v>5401</v>
      </c>
    </row>
    <row r="55" spans="2:7" x14ac:dyDescent="0.3">
      <c r="B55" s="2">
        <v>42</v>
      </c>
      <c r="C55" s="2">
        <f t="shared" si="4"/>
        <v>92000</v>
      </c>
      <c r="D55" s="4">
        <f t="shared" si="0"/>
        <v>958</v>
      </c>
      <c r="E55" s="4">
        <f t="shared" si="1"/>
        <v>9842</v>
      </c>
      <c r="F55" s="4">
        <f t="shared" si="2"/>
        <v>4480</v>
      </c>
      <c r="G55" s="4">
        <f t="shared" si="3"/>
        <v>5362</v>
      </c>
    </row>
    <row r="56" spans="2:7" x14ac:dyDescent="0.3">
      <c r="B56" s="2">
        <v>43</v>
      </c>
      <c r="C56" s="2">
        <f t="shared" si="4"/>
        <v>93000</v>
      </c>
      <c r="D56" s="4">
        <f t="shared" si="0"/>
        <v>957</v>
      </c>
      <c r="E56" s="4">
        <f t="shared" si="1"/>
        <v>9843</v>
      </c>
      <c r="F56" s="4">
        <f t="shared" si="2"/>
        <v>4520</v>
      </c>
      <c r="G56" s="4">
        <f t="shared" si="3"/>
        <v>5323</v>
      </c>
    </row>
    <row r="57" spans="2:7" x14ac:dyDescent="0.3">
      <c r="B57" s="2">
        <v>44</v>
      </c>
      <c r="C57" s="2">
        <f t="shared" si="4"/>
        <v>94000</v>
      </c>
      <c r="D57" s="4">
        <f t="shared" si="0"/>
        <v>956</v>
      </c>
      <c r="E57" s="4">
        <f t="shared" si="1"/>
        <v>9844</v>
      </c>
      <c r="F57" s="4">
        <f t="shared" si="2"/>
        <v>4560</v>
      </c>
      <c r="G57" s="4">
        <f t="shared" si="3"/>
        <v>5284</v>
      </c>
    </row>
    <row r="58" spans="2:7" x14ac:dyDescent="0.3">
      <c r="B58" s="2">
        <v>45</v>
      </c>
      <c r="C58" s="2">
        <f t="shared" si="4"/>
        <v>95000</v>
      </c>
      <c r="D58" s="4">
        <f t="shared" si="0"/>
        <v>955</v>
      </c>
      <c r="E58" s="4">
        <f t="shared" si="1"/>
        <v>9845</v>
      </c>
      <c r="F58" s="4">
        <f t="shared" si="2"/>
        <v>4600</v>
      </c>
      <c r="G58" s="4">
        <f t="shared" si="3"/>
        <v>5245</v>
      </c>
    </row>
    <row r="59" spans="2:7" x14ac:dyDescent="0.3">
      <c r="B59" s="2">
        <v>46</v>
      </c>
      <c r="C59" s="2">
        <f t="shared" si="4"/>
        <v>96000</v>
      </c>
      <c r="D59" s="4">
        <f t="shared" si="0"/>
        <v>954</v>
      </c>
      <c r="E59" s="4">
        <f t="shared" si="1"/>
        <v>9846</v>
      </c>
      <c r="F59" s="4">
        <f t="shared" si="2"/>
        <v>4640</v>
      </c>
      <c r="G59" s="4">
        <f t="shared" si="3"/>
        <v>5206</v>
      </c>
    </row>
    <row r="60" spans="2:7" x14ac:dyDescent="0.3">
      <c r="B60" s="2">
        <v>47</v>
      </c>
      <c r="C60" s="2">
        <f t="shared" si="4"/>
        <v>97000</v>
      </c>
      <c r="D60" s="4">
        <f t="shared" si="0"/>
        <v>953</v>
      </c>
      <c r="E60" s="4">
        <f t="shared" si="1"/>
        <v>9847</v>
      </c>
      <c r="F60" s="4">
        <f t="shared" si="2"/>
        <v>4680</v>
      </c>
      <c r="G60" s="4">
        <f t="shared" si="3"/>
        <v>5167</v>
      </c>
    </row>
    <row r="61" spans="2:7" x14ac:dyDescent="0.3">
      <c r="B61" s="2">
        <v>48</v>
      </c>
      <c r="C61" s="2">
        <f t="shared" si="4"/>
        <v>98000</v>
      </c>
      <c r="D61" s="4">
        <f t="shared" si="0"/>
        <v>952</v>
      </c>
      <c r="E61" s="4">
        <f t="shared" si="1"/>
        <v>9848</v>
      </c>
      <c r="F61" s="4">
        <f t="shared" si="2"/>
        <v>4720</v>
      </c>
      <c r="G61" s="4">
        <f t="shared" si="3"/>
        <v>5128</v>
      </c>
    </row>
    <row r="62" spans="2:7" x14ac:dyDescent="0.3">
      <c r="B62" s="2">
        <v>49</v>
      </c>
      <c r="C62" s="2">
        <f t="shared" si="4"/>
        <v>99000</v>
      </c>
      <c r="D62" s="4">
        <f t="shared" si="0"/>
        <v>951</v>
      </c>
      <c r="E62" s="4">
        <f t="shared" si="1"/>
        <v>9849</v>
      </c>
      <c r="F62" s="4">
        <f t="shared" si="2"/>
        <v>4760</v>
      </c>
      <c r="G62" s="4">
        <f t="shared" si="3"/>
        <v>5089</v>
      </c>
    </row>
    <row r="63" spans="2:7" x14ac:dyDescent="0.3">
      <c r="B63" s="2">
        <v>50</v>
      </c>
      <c r="C63" s="2">
        <f t="shared" si="4"/>
        <v>100000</v>
      </c>
      <c r="D63" s="4">
        <f t="shared" si="0"/>
        <v>950</v>
      </c>
      <c r="E63" s="4">
        <f t="shared" si="1"/>
        <v>9850</v>
      </c>
      <c r="F63" s="4">
        <f t="shared" si="2"/>
        <v>4800</v>
      </c>
      <c r="G63" s="4">
        <f t="shared" si="3"/>
        <v>5050</v>
      </c>
    </row>
    <row r="64" spans="2:7" x14ac:dyDescent="0.3">
      <c r="B64" s="2">
        <v>51</v>
      </c>
      <c r="C64" s="2">
        <f t="shared" si="4"/>
        <v>101000</v>
      </c>
      <c r="D64" s="4">
        <f t="shared" si="0"/>
        <v>949</v>
      </c>
      <c r="E64" s="4">
        <f t="shared" si="1"/>
        <v>9851</v>
      </c>
      <c r="F64" s="4">
        <f t="shared" si="2"/>
        <v>4840</v>
      </c>
      <c r="G64" s="4">
        <f t="shared" si="3"/>
        <v>5011</v>
      </c>
    </row>
    <row r="65" spans="2:7" x14ac:dyDescent="0.3">
      <c r="B65" s="2">
        <v>52</v>
      </c>
      <c r="C65" s="2">
        <f t="shared" si="4"/>
        <v>102000</v>
      </c>
      <c r="D65" s="4">
        <f t="shared" si="0"/>
        <v>948</v>
      </c>
      <c r="E65" s="4">
        <f t="shared" si="1"/>
        <v>9852</v>
      </c>
      <c r="F65" s="4">
        <f t="shared" si="2"/>
        <v>4880</v>
      </c>
      <c r="G65" s="4">
        <f t="shared" si="3"/>
        <v>4972</v>
      </c>
    </row>
    <row r="66" spans="2:7" x14ac:dyDescent="0.3">
      <c r="B66" s="2">
        <v>53</v>
      </c>
      <c r="C66" s="2">
        <f t="shared" si="4"/>
        <v>103000</v>
      </c>
      <c r="D66" s="4">
        <f t="shared" si="0"/>
        <v>947</v>
      </c>
      <c r="E66" s="4">
        <f t="shared" si="1"/>
        <v>9853</v>
      </c>
      <c r="F66" s="4">
        <f t="shared" si="2"/>
        <v>4920</v>
      </c>
      <c r="G66" s="4">
        <f t="shared" si="3"/>
        <v>4933</v>
      </c>
    </row>
    <row r="67" spans="2:7" x14ac:dyDescent="0.3">
      <c r="B67" s="2">
        <v>54</v>
      </c>
      <c r="C67" s="2">
        <f t="shared" si="4"/>
        <v>104000</v>
      </c>
      <c r="D67" s="4">
        <f t="shared" si="0"/>
        <v>946</v>
      </c>
      <c r="E67" s="4">
        <f t="shared" si="1"/>
        <v>9854</v>
      </c>
      <c r="F67" s="4">
        <f t="shared" si="2"/>
        <v>4960</v>
      </c>
      <c r="G67" s="4">
        <f t="shared" si="3"/>
        <v>4894</v>
      </c>
    </row>
    <row r="68" spans="2:7" x14ac:dyDescent="0.3">
      <c r="B68" s="2">
        <v>55</v>
      </c>
      <c r="C68" s="2">
        <f t="shared" si="4"/>
        <v>105000</v>
      </c>
      <c r="D68" s="4">
        <f t="shared" si="0"/>
        <v>945</v>
      </c>
      <c r="E68" s="4">
        <f t="shared" si="1"/>
        <v>9855</v>
      </c>
      <c r="F68" s="4">
        <f t="shared" si="2"/>
        <v>5000</v>
      </c>
      <c r="G68" s="4">
        <f t="shared" si="3"/>
        <v>4855</v>
      </c>
    </row>
    <row r="69" spans="2:7" x14ac:dyDescent="0.3">
      <c r="B69" s="2">
        <v>56</v>
      </c>
      <c r="C69" s="2">
        <f t="shared" si="4"/>
        <v>106000</v>
      </c>
      <c r="D69" s="4">
        <f t="shared" si="0"/>
        <v>944</v>
      </c>
      <c r="E69" s="4">
        <f t="shared" si="1"/>
        <v>9856</v>
      </c>
      <c r="F69" s="4">
        <f t="shared" si="2"/>
        <v>5040</v>
      </c>
      <c r="G69" s="4">
        <f t="shared" si="3"/>
        <v>4816</v>
      </c>
    </row>
    <row r="70" spans="2:7" x14ac:dyDescent="0.3">
      <c r="B70" s="2">
        <v>57</v>
      </c>
      <c r="C70" s="2">
        <f t="shared" si="4"/>
        <v>107000</v>
      </c>
      <c r="D70" s="4">
        <f t="shared" si="0"/>
        <v>943</v>
      </c>
      <c r="E70" s="4">
        <f t="shared" si="1"/>
        <v>9857</v>
      </c>
      <c r="F70" s="4">
        <f t="shared" si="2"/>
        <v>5080</v>
      </c>
      <c r="G70" s="4">
        <f t="shared" si="3"/>
        <v>4777</v>
      </c>
    </row>
    <row r="71" spans="2:7" x14ac:dyDescent="0.3">
      <c r="B71" s="2">
        <v>58</v>
      </c>
      <c r="C71" s="2">
        <f t="shared" si="4"/>
        <v>108000</v>
      </c>
      <c r="D71" s="4">
        <f t="shared" si="0"/>
        <v>942</v>
      </c>
      <c r="E71" s="4">
        <f t="shared" si="1"/>
        <v>9858</v>
      </c>
      <c r="F71" s="4">
        <f t="shared" si="2"/>
        <v>5120</v>
      </c>
      <c r="G71" s="4">
        <f t="shared" si="3"/>
        <v>4738</v>
      </c>
    </row>
    <row r="72" spans="2:7" x14ac:dyDescent="0.3">
      <c r="B72" s="2">
        <v>59</v>
      </c>
      <c r="C72" s="2">
        <f t="shared" si="4"/>
        <v>109000</v>
      </c>
      <c r="D72" s="4">
        <f t="shared" si="0"/>
        <v>941</v>
      </c>
      <c r="E72" s="4">
        <f t="shared" si="1"/>
        <v>9859</v>
      </c>
      <c r="F72" s="4">
        <f t="shared" si="2"/>
        <v>5160</v>
      </c>
      <c r="G72" s="4">
        <f t="shared" si="3"/>
        <v>4699</v>
      </c>
    </row>
    <row r="73" spans="2:7" x14ac:dyDescent="0.3">
      <c r="B73" s="2">
        <v>60</v>
      </c>
      <c r="C73" s="2">
        <f t="shared" si="4"/>
        <v>110000</v>
      </c>
      <c r="D73" s="4">
        <f t="shared" si="0"/>
        <v>940</v>
      </c>
      <c r="E73" s="4">
        <f t="shared" si="1"/>
        <v>9860</v>
      </c>
      <c r="F73" s="4">
        <f t="shared" si="2"/>
        <v>5200</v>
      </c>
      <c r="G73" s="4">
        <f t="shared" si="3"/>
        <v>4660</v>
      </c>
    </row>
    <row r="74" spans="2:7" x14ac:dyDescent="0.3">
      <c r="B74" s="2">
        <v>61</v>
      </c>
      <c r="C74" s="2">
        <f t="shared" si="4"/>
        <v>111000</v>
      </c>
      <c r="D74" s="4">
        <f t="shared" si="0"/>
        <v>939</v>
      </c>
      <c r="E74" s="4">
        <f t="shared" si="1"/>
        <v>9861</v>
      </c>
      <c r="F74" s="4">
        <f t="shared" si="2"/>
        <v>5240</v>
      </c>
      <c r="G74" s="4">
        <f t="shared" si="3"/>
        <v>4621</v>
      </c>
    </row>
    <row r="75" spans="2:7" x14ac:dyDescent="0.3">
      <c r="B75" s="2">
        <v>62</v>
      </c>
      <c r="C75" s="2">
        <f t="shared" si="4"/>
        <v>112000</v>
      </c>
      <c r="D75" s="4">
        <f t="shared" si="0"/>
        <v>938</v>
      </c>
      <c r="E75" s="4">
        <f t="shared" si="1"/>
        <v>9862</v>
      </c>
      <c r="F75" s="4">
        <f t="shared" si="2"/>
        <v>5280</v>
      </c>
      <c r="G75" s="4">
        <f t="shared" si="3"/>
        <v>4582</v>
      </c>
    </row>
    <row r="76" spans="2:7" x14ac:dyDescent="0.3">
      <c r="B76" s="2">
        <v>63</v>
      </c>
      <c r="C76" s="2">
        <f t="shared" si="4"/>
        <v>113000</v>
      </c>
      <c r="D76" s="4">
        <f t="shared" si="0"/>
        <v>937</v>
      </c>
      <c r="E76" s="4">
        <f t="shared" si="1"/>
        <v>9863</v>
      </c>
      <c r="F76" s="4">
        <f t="shared" si="2"/>
        <v>5320</v>
      </c>
      <c r="G76" s="4">
        <f t="shared" si="3"/>
        <v>4543</v>
      </c>
    </row>
    <row r="77" spans="2:7" x14ac:dyDescent="0.3">
      <c r="B77" s="2">
        <v>64</v>
      </c>
      <c r="C77" s="2">
        <f t="shared" si="4"/>
        <v>114000</v>
      </c>
      <c r="D77" s="4">
        <f t="shared" si="0"/>
        <v>936</v>
      </c>
      <c r="E77" s="4">
        <f t="shared" si="1"/>
        <v>9864</v>
      </c>
      <c r="F77" s="4">
        <f t="shared" si="2"/>
        <v>5360</v>
      </c>
      <c r="G77" s="4">
        <f t="shared" si="3"/>
        <v>4504</v>
      </c>
    </row>
    <row r="78" spans="2:7" x14ac:dyDescent="0.3">
      <c r="B78" s="2">
        <v>65</v>
      </c>
      <c r="C78" s="2">
        <f t="shared" si="4"/>
        <v>115000</v>
      </c>
      <c r="D78" s="4">
        <f t="shared" ref="D78:D141" si="5">IF(C78&lt;=50000,$C$5,$C$5-((C78-50000)/1000)*$C$7)</f>
        <v>935</v>
      </c>
      <c r="E78" s="4">
        <f t="shared" ref="E78:E141" si="6">$C$3+$C$4*$C$6-D78</f>
        <v>9865</v>
      </c>
      <c r="F78" s="4">
        <f t="shared" ref="F78:F141" si="7">$F$3*$C$7+$F$4*C78</f>
        <v>5400</v>
      </c>
      <c r="G78" s="4">
        <f t="shared" ref="G78:G141" si="8">E78-F78</f>
        <v>4465</v>
      </c>
    </row>
    <row r="79" spans="2:7" x14ac:dyDescent="0.3">
      <c r="B79" s="2">
        <v>66</v>
      </c>
      <c r="C79" s="2">
        <f t="shared" ref="C79:C142" si="9">$C$8+(B79*1000)</f>
        <v>116000</v>
      </c>
      <c r="D79" s="4">
        <f t="shared" si="5"/>
        <v>934</v>
      </c>
      <c r="E79" s="4">
        <f t="shared" si="6"/>
        <v>9866</v>
      </c>
      <c r="F79" s="4">
        <f t="shared" si="7"/>
        <v>5440</v>
      </c>
      <c r="G79" s="4">
        <f t="shared" si="8"/>
        <v>4426</v>
      </c>
    </row>
    <row r="80" spans="2:7" x14ac:dyDescent="0.3">
      <c r="B80" s="2">
        <v>67</v>
      </c>
      <c r="C80" s="2">
        <f t="shared" si="9"/>
        <v>117000</v>
      </c>
      <c r="D80" s="4">
        <f t="shared" si="5"/>
        <v>933</v>
      </c>
      <c r="E80" s="4">
        <f t="shared" si="6"/>
        <v>9867</v>
      </c>
      <c r="F80" s="4">
        <f t="shared" si="7"/>
        <v>5480</v>
      </c>
      <c r="G80" s="4">
        <f t="shared" si="8"/>
        <v>4387</v>
      </c>
    </row>
    <row r="81" spans="2:7" x14ac:dyDescent="0.3">
      <c r="B81" s="2">
        <v>68</v>
      </c>
      <c r="C81" s="2">
        <f t="shared" si="9"/>
        <v>118000</v>
      </c>
      <c r="D81" s="4">
        <f t="shared" si="5"/>
        <v>932</v>
      </c>
      <c r="E81" s="4">
        <f t="shared" si="6"/>
        <v>9868</v>
      </c>
      <c r="F81" s="4">
        <f t="shared" si="7"/>
        <v>5520</v>
      </c>
      <c r="G81" s="4">
        <f t="shared" si="8"/>
        <v>4348</v>
      </c>
    </row>
    <row r="82" spans="2:7" x14ac:dyDescent="0.3">
      <c r="B82" s="2">
        <v>69</v>
      </c>
      <c r="C82" s="2">
        <f t="shared" si="9"/>
        <v>119000</v>
      </c>
      <c r="D82" s="4">
        <f t="shared" si="5"/>
        <v>931</v>
      </c>
      <c r="E82" s="4">
        <f t="shared" si="6"/>
        <v>9869</v>
      </c>
      <c r="F82" s="4">
        <f t="shared" si="7"/>
        <v>5560</v>
      </c>
      <c r="G82" s="4">
        <f t="shared" si="8"/>
        <v>4309</v>
      </c>
    </row>
    <row r="83" spans="2:7" x14ac:dyDescent="0.3">
      <c r="B83" s="2">
        <v>70</v>
      </c>
      <c r="C83" s="2">
        <f t="shared" si="9"/>
        <v>120000</v>
      </c>
      <c r="D83" s="4">
        <f t="shared" si="5"/>
        <v>930</v>
      </c>
      <c r="E83" s="4">
        <f t="shared" si="6"/>
        <v>9870</v>
      </c>
      <c r="F83" s="4">
        <f t="shared" si="7"/>
        <v>5600</v>
      </c>
      <c r="G83" s="4">
        <f t="shared" si="8"/>
        <v>4270</v>
      </c>
    </row>
    <row r="84" spans="2:7" x14ac:dyDescent="0.3">
      <c r="B84" s="2">
        <v>71</v>
      </c>
      <c r="C84" s="2">
        <f t="shared" si="9"/>
        <v>121000</v>
      </c>
      <c r="D84" s="4">
        <f t="shared" si="5"/>
        <v>929</v>
      </c>
      <c r="E84" s="4">
        <f t="shared" si="6"/>
        <v>9871</v>
      </c>
      <c r="F84" s="4">
        <f t="shared" si="7"/>
        <v>5640</v>
      </c>
      <c r="G84" s="4">
        <f t="shared" si="8"/>
        <v>4231</v>
      </c>
    </row>
    <row r="85" spans="2:7" x14ac:dyDescent="0.3">
      <c r="B85" s="2">
        <v>72</v>
      </c>
      <c r="C85" s="2">
        <f t="shared" si="9"/>
        <v>122000</v>
      </c>
      <c r="D85" s="4">
        <f t="shared" si="5"/>
        <v>928</v>
      </c>
      <c r="E85" s="4">
        <f t="shared" si="6"/>
        <v>9872</v>
      </c>
      <c r="F85" s="4">
        <f t="shared" si="7"/>
        <v>5680</v>
      </c>
      <c r="G85" s="4">
        <f t="shared" si="8"/>
        <v>4192</v>
      </c>
    </row>
    <row r="86" spans="2:7" x14ac:dyDescent="0.3">
      <c r="B86" s="2">
        <v>73</v>
      </c>
      <c r="C86" s="2">
        <f t="shared" si="9"/>
        <v>123000</v>
      </c>
      <c r="D86" s="4">
        <f t="shared" si="5"/>
        <v>927</v>
      </c>
      <c r="E86" s="4">
        <f t="shared" si="6"/>
        <v>9873</v>
      </c>
      <c r="F86" s="4">
        <f t="shared" si="7"/>
        <v>5720</v>
      </c>
      <c r="G86" s="4">
        <f t="shared" si="8"/>
        <v>4153</v>
      </c>
    </row>
    <row r="87" spans="2:7" x14ac:dyDescent="0.3">
      <c r="B87" s="2">
        <v>74</v>
      </c>
      <c r="C87" s="2">
        <f t="shared" si="9"/>
        <v>124000</v>
      </c>
      <c r="D87" s="4">
        <f t="shared" si="5"/>
        <v>926</v>
      </c>
      <c r="E87" s="4">
        <f t="shared" si="6"/>
        <v>9874</v>
      </c>
      <c r="F87" s="4">
        <f t="shared" si="7"/>
        <v>5760</v>
      </c>
      <c r="G87" s="4">
        <f t="shared" si="8"/>
        <v>4114</v>
      </c>
    </row>
    <row r="88" spans="2:7" x14ac:dyDescent="0.3">
      <c r="B88" s="2">
        <v>75</v>
      </c>
      <c r="C88" s="2">
        <f t="shared" si="9"/>
        <v>125000</v>
      </c>
      <c r="D88" s="4">
        <f t="shared" si="5"/>
        <v>925</v>
      </c>
      <c r="E88" s="4">
        <f t="shared" si="6"/>
        <v>9875</v>
      </c>
      <c r="F88" s="4">
        <f t="shared" si="7"/>
        <v>5800</v>
      </c>
      <c r="G88" s="4">
        <f t="shared" si="8"/>
        <v>4075</v>
      </c>
    </row>
    <row r="89" spans="2:7" x14ac:dyDescent="0.3">
      <c r="B89" s="2">
        <v>76</v>
      </c>
      <c r="C89" s="2">
        <f t="shared" si="9"/>
        <v>126000</v>
      </c>
      <c r="D89" s="4">
        <f t="shared" si="5"/>
        <v>924</v>
      </c>
      <c r="E89" s="4">
        <f t="shared" si="6"/>
        <v>9876</v>
      </c>
      <c r="F89" s="4">
        <f t="shared" si="7"/>
        <v>5840</v>
      </c>
      <c r="G89" s="4">
        <f t="shared" si="8"/>
        <v>4036</v>
      </c>
    </row>
    <row r="90" spans="2:7" x14ac:dyDescent="0.3">
      <c r="B90" s="2">
        <v>77</v>
      </c>
      <c r="C90" s="2">
        <f t="shared" si="9"/>
        <v>127000</v>
      </c>
      <c r="D90" s="4">
        <f t="shared" si="5"/>
        <v>923</v>
      </c>
      <c r="E90" s="4">
        <f t="shared" si="6"/>
        <v>9877</v>
      </c>
      <c r="F90" s="4">
        <f t="shared" si="7"/>
        <v>5880</v>
      </c>
      <c r="G90" s="4">
        <f t="shared" si="8"/>
        <v>3997</v>
      </c>
    </row>
    <row r="91" spans="2:7" x14ac:dyDescent="0.3">
      <c r="B91" s="2">
        <v>78</v>
      </c>
      <c r="C91" s="2">
        <f t="shared" si="9"/>
        <v>128000</v>
      </c>
      <c r="D91" s="4">
        <f t="shared" si="5"/>
        <v>922</v>
      </c>
      <c r="E91" s="4">
        <f t="shared" si="6"/>
        <v>9878</v>
      </c>
      <c r="F91" s="4">
        <f t="shared" si="7"/>
        <v>5920</v>
      </c>
      <c r="G91" s="4">
        <f t="shared" si="8"/>
        <v>3958</v>
      </c>
    </row>
    <row r="92" spans="2:7" x14ac:dyDescent="0.3">
      <c r="B92" s="2">
        <v>79</v>
      </c>
      <c r="C92" s="2">
        <f t="shared" si="9"/>
        <v>129000</v>
      </c>
      <c r="D92" s="4">
        <f t="shared" si="5"/>
        <v>921</v>
      </c>
      <c r="E92" s="4">
        <f t="shared" si="6"/>
        <v>9879</v>
      </c>
      <c r="F92" s="4">
        <f t="shared" si="7"/>
        <v>5960</v>
      </c>
      <c r="G92" s="4">
        <f t="shared" si="8"/>
        <v>3919</v>
      </c>
    </row>
    <row r="93" spans="2:7" x14ac:dyDescent="0.3">
      <c r="B93" s="2">
        <v>80</v>
      </c>
      <c r="C93" s="2">
        <f t="shared" si="9"/>
        <v>130000</v>
      </c>
      <c r="D93" s="4">
        <f t="shared" si="5"/>
        <v>920</v>
      </c>
      <c r="E93" s="4">
        <f t="shared" si="6"/>
        <v>9880</v>
      </c>
      <c r="F93" s="4">
        <f t="shared" si="7"/>
        <v>6000</v>
      </c>
      <c r="G93" s="4">
        <f t="shared" si="8"/>
        <v>3880</v>
      </c>
    </row>
    <row r="94" spans="2:7" x14ac:dyDescent="0.3">
      <c r="B94" s="2">
        <v>81</v>
      </c>
      <c r="C94" s="2">
        <f t="shared" si="9"/>
        <v>131000</v>
      </c>
      <c r="D94" s="4">
        <f t="shared" si="5"/>
        <v>919</v>
      </c>
      <c r="E94" s="4">
        <f t="shared" si="6"/>
        <v>9881</v>
      </c>
      <c r="F94" s="4">
        <f t="shared" si="7"/>
        <v>6040</v>
      </c>
      <c r="G94" s="4">
        <f t="shared" si="8"/>
        <v>3841</v>
      </c>
    </row>
    <row r="95" spans="2:7" x14ac:dyDescent="0.3">
      <c r="B95" s="2">
        <v>82</v>
      </c>
      <c r="C95" s="2">
        <f t="shared" si="9"/>
        <v>132000</v>
      </c>
      <c r="D95" s="4">
        <f t="shared" si="5"/>
        <v>918</v>
      </c>
      <c r="E95" s="4">
        <f t="shared" si="6"/>
        <v>9882</v>
      </c>
      <c r="F95" s="4">
        <f t="shared" si="7"/>
        <v>6080</v>
      </c>
      <c r="G95" s="4">
        <f t="shared" si="8"/>
        <v>3802</v>
      </c>
    </row>
    <row r="96" spans="2:7" x14ac:dyDescent="0.3">
      <c r="B96" s="2">
        <v>83</v>
      </c>
      <c r="C96" s="2">
        <f t="shared" si="9"/>
        <v>133000</v>
      </c>
      <c r="D96" s="4">
        <f t="shared" si="5"/>
        <v>917</v>
      </c>
      <c r="E96" s="4">
        <f t="shared" si="6"/>
        <v>9883</v>
      </c>
      <c r="F96" s="4">
        <f t="shared" si="7"/>
        <v>6120</v>
      </c>
      <c r="G96" s="4">
        <f t="shared" si="8"/>
        <v>3763</v>
      </c>
    </row>
    <row r="97" spans="2:7" x14ac:dyDescent="0.3">
      <c r="B97" s="2">
        <v>84</v>
      </c>
      <c r="C97" s="2">
        <f t="shared" si="9"/>
        <v>134000</v>
      </c>
      <c r="D97" s="4">
        <f t="shared" si="5"/>
        <v>916</v>
      </c>
      <c r="E97" s="4">
        <f t="shared" si="6"/>
        <v>9884</v>
      </c>
      <c r="F97" s="4">
        <f t="shared" si="7"/>
        <v>6160</v>
      </c>
      <c r="G97" s="4">
        <f t="shared" si="8"/>
        <v>3724</v>
      </c>
    </row>
    <row r="98" spans="2:7" x14ac:dyDescent="0.3">
      <c r="B98" s="2">
        <v>85</v>
      </c>
      <c r="C98" s="2">
        <f t="shared" si="9"/>
        <v>135000</v>
      </c>
      <c r="D98" s="4">
        <f t="shared" si="5"/>
        <v>915</v>
      </c>
      <c r="E98" s="4">
        <f t="shared" si="6"/>
        <v>9885</v>
      </c>
      <c r="F98" s="4">
        <f t="shared" si="7"/>
        <v>6200</v>
      </c>
      <c r="G98" s="4">
        <f t="shared" si="8"/>
        <v>3685</v>
      </c>
    </row>
    <row r="99" spans="2:7" x14ac:dyDescent="0.3">
      <c r="B99" s="2">
        <v>86</v>
      </c>
      <c r="C99" s="2">
        <f t="shared" si="9"/>
        <v>136000</v>
      </c>
      <c r="D99" s="4">
        <f t="shared" si="5"/>
        <v>914</v>
      </c>
      <c r="E99" s="4">
        <f t="shared" si="6"/>
        <v>9886</v>
      </c>
      <c r="F99" s="4">
        <f t="shared" si="7"/>
        <v>6240</v>
      </c>
      <c r="G99" s="4">
        <f t="shared" si="8"/>
        <v>3646</v>
      </c>
    </row>
    <row r="100" spans="2:7" x14ac:dyDescent="0.3">
      <c r="B100" s="2">
        <v>87</v>
      </c>
      <c r="C100" s="2">
        <f t="shared" si="9"/>
        <v>137000</v>
      </c>
      <c r="D100" s="4">
        <f t="shared" si="5"/>
        <v>913</v>
      </c>
      <c r="E100" s="4">
        <f t="shared" si="6"/>
        <v>9887</v>
      </c>
      <c r="F100" s="4">
        <f t="shared" si="7"/>
        <v>6280</v>
      </c>
      <c r="G100" s="4">
        <f t="shared" si="8"/>
        <v>3607</v>
      </c>
    </row>
    <row r="101" spans="2:7" x14ac:dyDescent="0.3">
      <c r="B101" s="2">
        <v>88</v>
      </c>
      <c r="C101" s="2">
        <f t="shared" si="9"/>
        <v>138000</v>
      </c>
      <c r="D101" s="4">
        <f t="shared" si="5"/>
        <v>912</v>
      </c>
      <c r="E101" s="4">
        <f t="shared" si="6"/>
        <v>9888</v>
      </c>
      <c r="F101" s="4">
        <f t="shared" si="7"/>
        <v>6320</v>
      </c>
      <c r="G101" s="4">
        <f t="shared" si="8"/>
        <v>3568</v>
      </c>
    </row>
    <row r="102" spans="2:7" x14ac:dyDescent="0.3">
      <c r="B102" s="2">
        <v>89</v>
      </c>
      <c r="C102" s="2">
        <f t="shared" si="9"/>
        <v>139000</v>
      </c>
      <c r="D102" s="4">
        <f t="shared" si="5"/>
        <v>911</v>
      </c>
      <c r="E102" s="4">
        <f t="shared" si="6"/>
        <v>9889</v>
      </c>
      <c r="F102" s="4">
        <f t="shared" si="7"/>
        <v>6360</v>
      </c>
      <c r="G102" s="4">
        <f t="shared" si="8"/>
        <v>3529</v>
      </c>
    </row>
    <row r="103" spans="2:7" x14ac:dyDescent="0.3">
      <c r="B103" s="2">
        <v>90</v>
      </c>
      <c r="C103" s="2">
        <f t="shared" si="9"/>
        <v>140000</v>
      </c>
      <c r="D103" s="4">
        <f t="shared" si="5"/>
        <v>910</v>
      </c>
      <c r="E103" s="4">
        <f t="shared" si="6"/>
        <v>9890</v>
      </c>
      <c r="F103" s="4">
        <f t="shared" si="7"/>
        <v>6400</v>
      </c>
      <c r="G103" s="4">
        <f t="shared" si="8"/>
        <v>3490</v>
      </c>
    </row>
    <row r="104" spans="2:7" x14ac:dyDescent="0.3">
      <c r="B104" s="2">
        <v>91</v>
      </c>
      <c r="C104" s="2">
        <f t="shared" si="9"/>
        <v>141000</v>
      </c>
      <c r="D104" s="4">
        <f t="shared" si="5"/>
        <v>909</v>
      </c>
      <c r="E104" s="4">
        <f t="shared" si="6"/>
        <v>9891</v>
      </c>
      <c r="F104" s="4">
        <f t="shared" si="7"/>
        <v>6440</v>
      </c>
      <c r="G104" s="4">
        <f t="shared" si="8"/>
        <v>3451</v>
      </c>
    </row>
    <row r="105" spans="2:7" x14ac:dyDescent="0.3">
      <c r="B105" s="2">
        <v>92</v>
      </c>
      <c r="C105" s="2">
        <f t="shared" si="9"/>
        <v>142000</v>
      </c>
      <c r="D105" s="4">
        <f t="shared" si="5"/>
        <v>908</v>
      </c>
      <c r="E105" s="4">
        <f t="shared" si="6"/>
        <v>9892</v>
      </c>
      <c r="F105" s="4">
        <f t="shared" si="7"/>
        <v>6480</v>
      </c>
      <c r="G105" s="4">
        <f t="shared" si="8"/>
        <v>3412</v>
      </c>
    </row>
    <row r="106" spans="2:7" x14ac:dyDescent="0.3">
      <c r="B106" s="2">
        <v>93</v>
      </c>
      <c r="C106" s="2">
        <f t="shared" si="9"/>
        <v>143000</v>
      </c>
      <c r="D106" s="4">
        <f t="shared" si="5"/>
        <v>907</v>
      </c>
      <c r="E106" s="4">
        <f t="shared" si="6"/>
        <v>9893</v>
      </c>
      <c r="F106" s="4">
        <f t="shared" si="7"/>
        <v>6520</v>
      </c>
      <c r="G106" s="4">
        <f t="shared" si="8"/>
        <v>3373</v>
      </c>
    </row>
    <row r="107" spans="2:7" x14ac:dyDescent="0.3">
      <c r="B107" s="2">
        <v>94</v>
      </c>
      <c r="C107" s="2">
        <f t="shared" si="9"/>
        <v>144000</v>
      </c>
      <c r="D107" s="4">
        <f t="shared" si="5"/>
        <v>906</v>
      </c>
      <c r="E107" s="4">
        <f t="shared" si="6"/>
        <v>9894</v>
      </c>
      <c r="F107" s="4">
        <f t="shared" si="7"/>
        <v>6560</v>
      </c>
      <c r="G107" s="4">
        <f t="shared" si="8"/>
        <v>3334</v>
      </c>
    </row>
    <row r="108" spans="2:7" x14ac:dyDescent="0.3">
      <c r="B108" s="2">
        <v>95</v>
      </c>
      <c r="C108" s="2">
        <f t="shared" si="9"/>
        <v>145000</v>
      </c>
      <c r="D108" s="4">
        <f t="shared" si="5"/>
        <v>905</v>
      </c>
      <c r="E108" s="4">
        <f t="shared" si="6"/>
        <v>9895</v>
      </c>
      <c r="F108" s="4">
        <f t="shared" si="7"/>
        <v>6600</v>
      </c>
      <c r="G108" s="4">
        <f t="shared" si="8"/>
        <v>3295</v>
      </c>
    </row>
    <row r="109" spans="2:7" x14ac:dyDescent="0.3">
      <c r="B109" s="2">
        <v>96</v>
      </c>
      <c r="C109" s="2">
        <f t="shared" si="9"/>
        <v>146000</v>
      </c>
      <c r="D109" s="4">
        <f t="shared" si="5"/>
        <v>904</v>
      </c>
      <c r="E109" s="4">
        <f t="shared" si="6"/>
        <v>9896</v>
      </c>
      <c r="F109" s="4">
        <f t="shared" si="7"/>
        <v>6640</v>
      </c>
      <c r="G109" s="4">
        <f t="shared" si="8"/>
        <v>3256</v>
      </c>
    </row>
    <row r="110" spans="2:7" x14ac:dyDescent="0.3">
      <c r="B110" s="2">
        <v>97</v>
      </c>
      <c r="C110" s="2">
        <f t="shared" si="9"/>
        <v>147000</v>
      </c>
      <c r="D110" s="4">
        <f t="shared" si="5"/>
        <v>903</v>
      </c>
      <c r="E110" s="4">
        <f t="shared" si="6"/>
        <v>9897</v>
      </c>
      <c r="F110" s="4">
        <f t="shared" si="7"/>
        <v>6680</v>
      </c>
      <c r="G110" s="4">
        <f t="shared" si="8"/>
        <v>3217</v>
      </c>
    </row>
    <row r="111" spans="2:7" x14ac:dyDescent="0.3">
      <c r="B111" s="2">
        <v>98</v>
      </c>
      <c r="C111" s="2">
        <f t="shared" si="9"/>
        <v>148000</v>
      </c>
      <c r="D111" s="4">
        <f t="shared" si="5"/>
        <v>902</v>
      </c>
      <c r="E111" s="4">
        <f t="shared" si="6"/>
        <v>9898</v>
      </c>
      <c r="F111" s="4">
        <f t="shared" si="7"/>
        <v>6720</v>
      </c>
      <c r="G111" s="4">
        <f t="shared" si="8"/>
        <v>3178</v>
      </c>
    </row>
    <row r="112" spans="2:7" x14ac:dyDescent="0.3">
      <c r="B112" s="2">
        <v>99</v>
      </c>
      <c r="C112" s="2">
        <f t="shared" si="9"/>
        <v>149000</v>
      </c>
      <c r="D112" s="4">
        <f t="shared" si="5"/>
        <v>901</v>
      </c>
      <c r="E112" s="4">
        <f t="shared" si="6"/>
        <v>9899</v>
      </c>
      <c r="F112" s="4">
        <f t="shared" si="7"/>
        <v>6760</v>
      </c>
      <c r="G112" s="4">
        <f t="shared" si="8"/>
        <v>3139</v>
      </c>
    </row>
    <row r="113" spans="2:7" x14ac:dyDescent="0.3">
      <c r="B113" s="2">
        <v>100</v>
      </c>
      <c r="C113" s="2">
        <f t="shared" si="9"/>
        <v>150000</v>
      </c>
      <c r="D113" s="4">
        <f t="shared" si="5"/>
        <v>900</v>
      </c>
      <c r="E113" s="4">
        <f t="shared" si="6"/>
        <v>9900</v>
      </c>
      <c r="F113" s="4">
        <f t="shared" si="7"/>
        <v>6800</v>
      </c>
      <c r="G113" s="4">
        <f t="shared" si="8"/>
        <v>3100</v>
      </c>
    </row>
    <row r="114" spans="2:7" x14ac:dyDescent="0.3">
      <c r="B114" s="2">
        <v>101</v>
      </c>
      <c r="C114" s="2">
        <f t="shared" si="9"/>
        <v>151000</v>
      </c>
      <c r="D114" s="4">
        <f t="shared" si="5"/>
        <v>899</v>
      </c>
      <c r="E114" s="4">
        <f t="shared" si="6"/>
        <v>9901</v>
      </c>
      <c r="F114" s="4">
        <f t="shared" si="7"/>
        <v>6840</v>
      </c>
      <c r="G114" s="4">
        <f t="shared" si="8"/>
        <v>3061</v>
      </c>
    </row>
    <row r="115" spans="2:7" x14ac:dyDescent="0.3">
      <c r="B115" s="2">
        <v>102</v>
      </c>
      <c r="C115" s="2">
        <f t="shared" si="9"/>
        <v>152000</v>
      </c>
      <c r="D115" s="4">
        <f t="shared" si="5"/>
        <v>898</v>
      </c>
      <c r="E115" s="4">
        <f t="shared" si="6"/>
        <v>9902</v>
      </c>
      <c r="F115" s="4">
        <f t="shared" si="7"/>
        <v>6880</v>
      </c>
      <c r="G115" s="4">
        <f t="shared" si="8"/>
        <v>3022</v>
      </c>
    </row>
    <row r="116" spans="2:7" x14ac:dyDescent="0.3">
      <c r="B116" s="2">
        <v>103</v>
      </c>
      <c r="C116" s="2">
        <f t="shared" si="9"/>
        <v>153000</v>
      </c>
      <c r="D116" s="4">
        <f t="shared" si="5"/>
        <v>897</v>
      </c>
      <c r="E116" s="4">
        <f t="shared" si="6"/>
        <v>9903</v>
      </c>
      <c r="F116" s="4">
        <f t="shared" si="7"/>
        <v>6920</v>
      </c>
      <c r="G116" s="4">
        <f t="shared" si="8"/>
        <v>2983</v>
      </c>
    </row>
    <row r="117" spans="2:7" x14ac:dyDescent="0.3">
      <c r="B117" s="2">
        <v>104</v>
      </c>
      <c r="C117" s="2">
        <f t="shared" si="9"/>
        <v>154000</v>
      </c>
      <c r="D117" s="4">
        <f t="shared" si="5"/>
        <v>896</v>
      </c>
      <c r="E117" s="4">
        <f t="shared" si="6"/>
        <v>9904</v>
      </c>
      <c r="F117" s="4">
        <f t="shared" si="7"/>
        <v>6960</v>
      </c>
      <c r="G117" s="4">
        <f t="shared" si="8"/>
        <v>2944</v>
      </c>
    </row>
    <row r="118" spans="2:7" x14ac:dyDescent="0.3">
      <c r="B118" s="2">
        <v>105</v>
      </c>
      <c r="C118" s="2">
        <f t="shared" si="9"/>
        <v>155000</v>
      </c>
      <c r="D118" s="4">
        <f t="shared" si="5"/>
        <v>895</v>
      </c>
      <c r="E118" s="4">
        <f t="shared" si="6"/>
        <v>9905</v>
      </c>
      <c r="F118" s="4">
        <f t="shared" si="7"/>
        <v>7000</v>
      </c>
      <c r="G118" s="4">
        <f t="shared" si="8"/>
        <v>2905</v>
      </c>
    </row>
    <row r="119" spans="2:7" x14ac:dyDescent="0.3">
      <c r="B119" s="2">
        <v>106</v>
      </c>
      <c r="C119" s="2">
        <f t="shared" si="9"/>
        <v>156000</v>
      </c>
      <c r="D119" s="4">
        <f t="shared" si="5"/>
        <v>894</v>
      </c>
      <c r="E119" s="4">
        <f t="shared" si="6"/>
        <v>9906</v>
      </c>
      <c r="F119" s="4">
        <f t="shared" si="7"/>
        <v>7040</v>
      </c>
      <c r="G119" s="4">
        <f t="shared" si="8"/>
        <v>2866</v>
      </c>
    </row>
    <row r="120" spans="2:7" x14ac:dyDescent="0.3">
      <c r="B120" s="2">
        <v>107</v>
      </c>
      <c r="C120" s="2">
        <f t="shared" si="9"/>
        <v>157000</v>
      </c>
      <c r="D120" s="4">
        <f t="shared" si="5"/>
        <v>893</v>
      </c>
      <c r="E120" s="4">
        <f t="shared" si="6"/>
        <v>9907</v>
      </c>
      <c r="F120" s="4">
        <f t="shared" si="7"/>
        <v>7080</v>
      </c>
      <c r="G120" s="4">
        <f t="shared" si="8"/>
        <v>2827</v>
      </c>
    </row>
    <row r="121" spans="2:7" x14ac:dyDescent="0.3">
      <c r="B121" s="2">
        <v>108</v>
      </c>
      <c r="C121" s="2">
        <f t="shared" si="9"/>
        <v>158000</v>
      </c>
      <c r="D121" s="4">
        <f t="shared" si="5"/>
        <v>892</v>
      </c>
      <c r="E121" s="4">
        <f t="shared" si="6"/>
        <v>9908</v>
      </c>
      <c r="F121" s="4">
        <f t="shared" si="7"/>
        <v>7120</v>
      </c>
      <c r="G121" s="4">
        <f t="shared" si="8"/>
        <v>2788</v>
      </c>
    </row>
    <row r="122" spans="2:7" x14ac:dyDescent="0.3">
      <c r="B122" s="2">
        <v>109</v>
      </c>
      <c r="C122" s="2">
        <f t="shared" si="9"/>
        <v>159000</v>
      </c>
      <c r="D122" s="4">
        <f t="shared" si="5"/>
        <v>891</v>
      </c>
      <c r="E122" s="4">
        <f t="shared" si="6"/>
        <v>9909</v>
      </c>
      <c r="F122" s="4">
        <f t="shared" si="7"/>
        <v>7160</v>
      </c>
      <c r="G122" s="4">
        <f t="shared" si="8"/>
        <v>2749</v>
      </c>
    </row>
    <row r="123" spans="2:7" x14ac:dyDescent="0.3">
      <c r="B123" s="2">
        <v>110</v>
      </c>
      <c r="C123" s="2">
        <f t="shared" si="9"/>
        <v>160000</v>
      </c>
      <c r="D123" s="4">
        <f t="shared" si="5"/>
        <v>890</v>
      </c>
      <c r="E123" s="4">
        <f t="shared" si="6"/>
        <v>9910</v>
      </c>
      <c r="F123" s="4">
        <f t="shared" si="7"/>
        <v>7200</v>
      </c>
      <c r="G123" s="4">
        <f t="shared" si="8"/>
        <v>2710</v>
      </c>
    </row>
    <row r="124" spans="2:7" x14ac:dyDescent="0.3">
      <c r="B124" s="2">
        <v>111</v>
      </c>
      <c r="C124" s="2">
        <f t="shared" si="9"/>
        <v>161000</v>
      </c>
      <c r="D124" s="4">
        <f t="shared" si="5"/>
        <v>889</v>
      </c>
      <c r="E124" s="4">
        <f t="shared" si="6"/>
        <v>9911</v>
      </c>
      <c r="F124" s="4">
        <f t="shared" si="7"/>
        <v>7240</v>
      </c>
      <c r="G124" s="4">
        <f t="shared" si="8"/>
        <v>2671</v>
      </c>
    </row>
    <row r="125" spans="2:7" x14ac:dyDescent="0.3">
      <c r="B125" s="2">
        <v>112</v>
      </c>
      <c r="C125" s="2">
        <f t="shared" si="9"/>
        <v>162000</v>
      </c>
      <c r="D125" s="4">
        <f t="shared" si="5"/>
        <v>888</v>
      </c>
      <c r="E125" s="4">
        <f t="shared" si="6"/>
        <v>9912</v>
      </c>
      <c r="F125" s="4">
        <f t="shared" si="7"/>
        <v>7280</v>
      </c>
      <c r="G125" s="4">
        <f t="shared" si="8"/>
        <v>2632</v>
      </c>
    </row>
    <row r="126" spans="2:7" x14ac:dyDescent="0.3">
      <c r="B126" s="2">
        <v>113</v>
      </c>
      <c r="C126" s="2">
        <f t="shared" si="9"/>
        <v>163000</v>
      </c>
      <c r="D126" s="4">
        <f t="shared" si="5"/>
        <v>887</v>
      </c>
      <c r="E126" s="4">
        <f t="shared" si="6"/>
        <v>9913</v>
      </c>
      <c r="F126" s="4">
        <f t="shared" si="7"/>
        <v>7320</v>
      </c>
      <c r="G126" s="4">
        <f t="shared" si="8"/>
        <v>2593</v>
      </c>
    </row>
    <row r="127" spans="2:7" x14ac:dyDescent="0.3">
      <c r="B127" s="2">
        <v>114</v>
      </c>
      <c r="C127" s="2">
        <f t="shared" si="9"/>
        <v>164000</v>
      </c>
      <c r="D127" s="4">
        <f t="shared" si="5"/>
        <v>886</v>
      </c>
      <c r="E127" s="4">
        <f t="shared" si="6"/>
        <v>9914</v>
      </c>
      <c r="F127" s="4">
        <f t="shared" si="7"/>
        <v>7360</v>
      </c>
      <c r="G127" s="4">
        <f t="shared" si="8"/>
        <v>2554</v>
      </c>
    </row>
    <row r="128" spans="2:7" x14ac:dyDescent="0.3">
      <c r="B128" s="2">
        <v>115</v>
      </c>
      <c r="C128" s="2">
        <f t="shared" si="9"/>
        <v>165000</v>
      </c>
      <c r="D128" s="4">
        <f t="shared" si="5"/>
        <v>885</v>
      </c>
      <c r="E128" s="4">
        <f t="shared" si="6"/>
        <v>9915</v>
      </c>
      <c r="F128" s="4">
        <f t="shared" si="7"/>
        <v>7400</v>
      </c>
      <c r="G128" s="4">
        <f t="shared" si="8"/>
        <v>2515</v>
      </c>
    </row>
    <row r="129" spans="2:7" x14ac:dyDescent="0.3">
      <c r="B129" s="2">
        <v>116</v>
      </c>
      <c r="C129" s="2">
        <f t="shared" si="9"/>
        <v>166000</v>
      </c>
      <c r="D129" s="4">
        <f t="shared" si="5"/>
        <v>884</v>
      </c>
      <c r="E129" s="4">
        <f t="shared" si="6"/>
        <v>9916</v>
      </c>
      <c r="F129" s="4">
        <f t="shared" si="7"/>
        <v>7440</v>
      </c>
      <c r="G129" s="4">
        <f t="shared" si="8"/>
        <v>2476</v>
      </c>
    </row>
    <row r="130" spans="2:7" x14ac:dyDescent="0.3">
      <c r="B130" s="2">
        <v>117</v>
      </c>
      <c r="C130" s="2">
        <f t="shared" si="9"/>
        <v>167000</v>
      </c>
      <c r="D130" s="4">
        <f t="shared" si="5"/>
        <v>883</v>
      </c>
      <c r="E130" s="4">
        <f t="shared" si="6"/>
        <v>9917</v>
      </c>
      <c r="F130" s="4">
        <f t="shared" si="7"/>
        <v>7480</v>
      </c>
      <c r="G130" s="4">
        <f t="shared" si="8"/>
        <v>2437</v>
      </c>
    </row>
    <row r="131" spans="2:7" x14ac:dyDescent="0.3">
      <c r="B131" s="2">
        <v>118</v>
      </c>
      <c r="C131" s="2">
        <f t="shared" si="9"/>
        <v>168000</v>
      </c>
      <c r="D131" s="4">
        <f t="shared" si="5"/>
        <v>882</v>
      </c>
      <c r="E131" s="4">
        <f t="shared" si="6"/>
        <v>9918</v>
      </c>
      <c r="F131" s="4">
        <f t="shared" si="7"/>
        <v>7520</v>
      </c>
      <c r="G131" s="4">
        <f t="shared" si="8"/>
        <v>2398</v>
      </c>
    </row>
    <row r="132" spans="2:7" x14ac:dyDescent="0.3">
      <c r="B132" s="2">
        <v>119</v>
      </c>
      <c r="C132" s="2">
        <f t="shared" si="9"/>
        <v>169000</v>
      </c>
      <c r="D132" s="4">
        <f t="shared" si="5"/>
        <v>881</v>
      </c>
      <c r="E132" s="4">
        <f t="shared" si="6"/>
        <v>9919</v>
      </c>
      <c r="F132" s="4">
        <f t="shared" si="7"/>
        <v>7560</v>
      </c>
      <c r="G132" s="4">
        <f t="shared" si="8"/>
        <v>2359</v>
      </c>
    </row>
    <row r="133" spans="2:7" x14ac:dyDescent="0.3">
      <c r="B133" s="2">
        <v>120</v>
      </c>
      <c r="C133" s="2">
        <f t="shared" si="9"/>
        <v>170000</v>
      </c>
      <c r="D133" s="4">
        <f t="shared" si="5"/>
        <v>880</v>
      </c>
      <c r="E133" s="4">
        <f t="shared" si="6"/>
        <v>9920</v>
      </c>
      <c r="F133" s="4">
        <f t="shared" si="7"/>
        <v>7600</v>
      </c>
      <c r="G133" s="4">
        <f t="shared" si="8"/>
        <v>2320</v>
      </c>
    </row>
    <row r="134" spans="2:7" x14ac:dyDescent="0.3">
      <c r="B134" s="2">
        <v>121</v>
      </c>
      <c r="C134" s="2">
        <f t="shared" si="9"/>
        <v>171000</v>
      </c>
      <c r="D134" s="4">
        <f t="shared" si="5"/>
        <v>879</v>
      </c>
      <c r="E134" s="4">
        <f t="shared" si="6"/>
        <v>9921</v>
      </c>
      <c r="F134" s="4">
        <f t="shared" si="7"/>
        <v>7640</v>
      </c>
      <c r="G134" s="4">
        <f t="shared" si="8"/>
        <v>2281</v>
      </c>
    </row>
    <row r="135" spans="2:7" x14ac:dyDescent="0.3">
      <c r="B135" s="2">
        <v>122</v>
      </c>
      <c r="C135" s="2">
        <f t="shared" si="9"/>
        <v>172000</v>
      </c>
      <c r="D135" s="4">
        <f t="shared" si="5"/>
        <v>878</v>
      </c>
      <c r="E135" s="4">
        <f t="shared" si="6"/>
        <v>9922</v>
      </c>
      <c r="F135" s="4">
        <f t="shared" si="7"/>
        <v>7680</v>
      </c>
      <c r="G135" s="4">
        <f t="shared" si="8"/>
        <v>2242</v>
      </c>
    </row>
    <row r="136" spans="2:7" x14ac:dyDescent="0.3">
      <c r="B136" s="2">
        <v>123</v>
      </c>
      <c r="C136" s="2">
        <f t="shared" si="9"/>
        <v>173000</v>
      </c>
      <c r="D136" s="4">
        <f t="shared" si="5"/>
        <v>877</v>
      </c>
      <c r="E136" s="4">
        <f t="shared" si="6"/>
        <v>9923</v>
      </c>
      <c r="F136" s="4">
        <f t="shared" si="7"/>
        <v>7720</v>
      </c>
      <c r="G136" s="4">
        <f t="shared" si="8"/>
        <v>2203</v>
      </c>
    </row>
    <row r="137" spans="2:7" x14ac:dyDescent="0.3">
      <c r="B137" s="2">
        <v>124</v>
      </c>
      <c r="C137" s="2">
        <f t="shared" si="9"/>
        <v>174000</v>
      </c>
      <c r="D137" s="4">
        <f t="shared" si="5"/>
        <v>876</v>
      </c>
      <c r="E137" s="4">
        <f t="shared" si="6"/>
        <v>9924</v>
      </c>
      <c r="F137" s="4">
        <f t="shared" si="7"/>
        <v>7760</v>
      </c>
      <c r="G137" s="4">
        <f t="shared" si="8"/>
        <v>2164</v>
      </c>
    </row>
    <row r="138" spans="2:7" x14ac:dyDescent="0.3">
      <c r="B138" s="2">
        <v>125</v>
      </c>
      <c r="C138" s="2">
        <f t="shared" si="9"/>
        <v>175000</v>
      </c>
      <c r="D138" s="4">
        <f t="shared" si="5"/>
        <v>875</v>
      </c>
      <c r="E138" s="4">
        <f t="shared" si="6"/>
        <v>9925</v>
      </c>
      <c r="F138" s="4">
        <f t="shared" si="7"/>
        <v>7800</v>
      </c>
      <c r="G138" s="4">
        <f t="shared" si="8"/>
        <v>2125</v>
      </c>
    </row>
    <row r="139" spans="2:7" x14ac:dyDescent="0.3">
      <c r="B139" s="2">
        <v>126</v>
      </c>
      <c r="C139" s="2">
        <f t="shared" si="9"/>
        <v>176000</v>
      </c>
      <c r="D139" s="4">
        <f t="shared" si="5"/>
        <v>874</v>
      </c>
      <c r="E139" s="4">
        <f t="shared" si="6"/>
        <v>9926</v>
      </c>
      <c r="F139" s="4">
        <f t="shared" si="7"/>
        <v>7840</v>
      </c>
      <c r="G139" s="4">
        <f t="shared" si="8"/>
        <v>2086</v>
      </c>
    </row>
    <row r="140" spans="2:7" x14ac:dyDescent="0.3">
      <c r="B140" s="2">
        <v>127</v>
      </c>
      <c r="C140" s="2">
        <f t="shared" si="9"/>
        <v>177000</v>
      </c>
      <c r="D140" s="4">
        <f t="shared" si="5"/>
        <v>873</v>
      </c>
      <c r="E140" s="4">
        <f t="shared" si="6"/>
        <v>9927</v>
      </c>
      <c r="F140" s="4">
        <f t="shared" si="7"/>
        <v>7880</v>
      </c>
      <c r="G140" s="4">
        <f t="shared" si="8"/>
        <v>2047</v>
      </c>
    </row>
    <row r="141" spans="2:7" x14ac:dyDescent="0.3">
      <c r="B141" s="2">
        <v>128</v>
      </c>
      <c r="C141" s="2">
        <f t="shared" si="9"/>
        <v>178000</v>
      </c>
      <c r="D141" s="4">
        <f t="shared" si="5"/>
        <v>872</v>
      </c>
      <c r="E141" s="4">
        <f t="shared" si="6"/>
        <v>9928</v>
      </c>
      <c r="F141" s="4">
        <f t="shared" si="7"/>
        <v>7920</v>
      </c>
      <c r="G141" s="4">
        <f t="shared" si="8"/>
        <v>2008</v>
      </c>
    </row>
    <row r="142" spans="2:7" x14ac:dyDescent="0.3">
      <c r="B142" s="2">
        <v>129</v>
      </c>
      <c r="C142" s="2">
        <f t="shared" si="9"/>
        <v>179000</v>
      </c>
      <c r="D142" s="4">
        <f t="shared" ref="D142:D205" si="10">IF(C142&lt;=50000,$C$5,$C$5-((C142-50000)/1000)*$C$7)</f>
        <v>871</v>
      </c>
      <c r="E142" s="4">
        <f t="shared" ref="E142:E205" si="11">$C$3+$C$4*$C$6-D142</f>
        <v>9929</v>
      </c>
      <c r="F142" s="4">
        <f t="shared" ref="F142:F205" si="12">$F$3*$C$7+$F$4*C142</f>
        <v>7960</v>
      </c>
      <c r="G142" s="4">
        <f t="shared" ref="G142:G205" si="13">E142-F142</f>
        <v>1969</v>
      </c>
    </row>
    <row r="143" spans="2:7" x14ac:dyDescent="0.3">
      <c r="B143" s="2">
        <v>130</v>
      </c>
      <c r="C143" s="2">
        <f t="shared" ref="C143:C206" si="14">$C$8+(B143*1000)</f>
        <v>180000</v>
      </c>
      <c r="D143" s="4">
        <f t="shared" si="10"/>
        <v>870</v>
      </c>
      <c r="E143" s="4">
        <f t="shared" si="11"/>
        <v>9930</v>
      </c>
      <c r="F143" s="4">
        <f t="shared" si="12"/>
        <v>8000</v>
      </c>
      <c r="G143" s="4">
        <f t="shared" si="13"/>
        <v>1930</v>
      </c>
    </row>
    <row r="144" spans="2:7" x14ac:dyDescent="0.3">
      <c r="B144" s="2">
        <v>131</v>
      </c>
      <c r="C144" s="2">
        <f t="shared" si="14"/>
        <v>181000</v>
      </c>
      <c r="D144" s="4">
        <f t="shared" si="10"/>
        <v>869</v>
      </c>
      <c r="E144" s="4">
        <f t="shared" si="11"/>
        <v>9931</v>
      </c>
      <c r="F144" s="4">
        <f t="shared" si="12"/>
        <v>8040</v>
      </c>
      <c r="G144" s="4">
        <f t="shared" si="13"/>
        <v>1891</v>
      </c>
    </row>
    <row r="145" spans="2:7" x14ac:dyDescent="0.3">
      <c r="B145" s="2">
        <v>132</v>
      </c>
      <c r="C145" s="2">
        <f t="shared" si="14"/>
        <v>182000</v>
      </c>
      <c r="D145" s="4">
        <f t="shared" si="10"/>
        <v>868</v>
      </c>
      <c r="E145" s="4">
        <f t="shared" si="11"/>
        <v>9932</v>
      </c>
      <c r="F145" s="4">
        <f t="shared" si="12"/>
        <v>8080</v>
      </c>
      <c r="G145" s="4">
        <f t="shared" si="13"/>
        <v>1852</v>
      </c>
    </row>
    <row r="146" spans="2:7" x14ac:dyDescent="0.3">
      <c r="B146" s="2">
        <v>133</v>
      </c>
      <c r="C146" s="2">
        <f t="shared" si="14"/>
        <v>183000</v>
      </c>
      <c r="D146" s="4">
        <f t="shared" si="10"/>
        <v>867</v>
      </c>
      <c r="E146" s="4">
        <f t="shared" si="11"/>
        <v>9933</v>
      </c>
      <c r="F146" s="4">
        <f t="shared" si="12"/>
        <v>8120</v>
      </c>
      <c r="G146" s="4">
        <f t="shared" si="13"/>
        <v>1813</v>
      </c>
    </row>
    <row r="147" spans="2:7" x14ac:dyDescent="0.3">
      <c r="B147" s="2">
        <v>134</v>
      </c>
      <c r="C147" s="2">
        <f t="shared" si="14"/>
        <v>184000</v>
      </c>
      <c r="D147" s="4">
        <f t="shared" si="10"/>
        <v>866</v>
      </c>
      <c r="E147" s="4">
        <f t="shared" si="11"/>
        <v>9934</v>
      </c>
      <c r="F147" s="4">
        <f t="shared" si="12"/>
        <v>8160</v>
      </c>
      <c r="G147" s="4">
        <f t="shared" si="13"/>
        <v>1774</v>
      </c>
    </row>
    <row r="148" spans="2:7" x14ac:dyDescent="0.3">
      <c r="B148" s="2">
        <v>135</v>
      </c>
      <c r="C148" s="2">
        <f t="shared" si="14"/>
        <v>185000</v>
      </c>
      <c r="D148" s="4">
        <f t="shared" si="10"/>
        <v>865</v>
      </c>
      <c r="E148" s="4">
        <f t="shared" si="11"/>
        <v>9935</v>
      </c>
      <c r="F148" s="4">
        <f t="shared" si="12"/>
        <v>8200</v>
      </c>
      <c r="G148" s="4">
        <f t="shared" si="13"/>
        <v>1735</v>
      </c>
    </row>
    <row r="149" spans="2:7" x14ac:dyDescent="0.3">
      <c r="B149" s="2">
        <v>136</v>
      </c>
      <c r="C149" s="2">
        <f t="shared" si="14"/>
        <v>186000</v>
      </c>
      <c r="D149" s="4">
        <f t="shared" si="10"/>
        <v>864</v>
      </c>
      <c r="E149" s="4">
        <f t="shared" si="11"/>
        <v>9936</v>
      </c>
      <c r="F149" s="4">
        <f t="shared" si="12"/>
        <v>8240</v>
      </c>
      <c r="G149" s="4">
        <f t="shared" si="13"/>
        <v>1696</v>
      </c>
    </row>
    <row r="150" spans="2:7" x14ac:dyDescent="0.3">
      <c r="B150" s="2">
        <v>137</v>
      </c>
      <c r="C150" s="2">
        <f t="shared" si="14"/>
        <v>187000</v>
      </c>
      <c r="D150" s="4">
        <f t="shared" si="10"/>
        <v>863</v>
      </c>
      <c r="E150" s="4">
        <f t="shared" si="11"/>
        <v>9937</v>
      </c>
      <c r="F150" s="4">
        <f t="shared" si="12"/>
        <v>8280</v>
      </c>
      <c r="G150" s="4">
        <f t="shared" si="13"/>
        <v>1657</v>
      </c>
    </row>
    <row r="151" spans="2:7" x14ac:dyDescent="0.3">
      <c r="B151" s="2">
        <v>138</v>
      </c>
      <c r="C151" s="2">
        <f t="shared" si="14"/>
        <v>188000</v>
      </c>
      <c r="D151" s="4">
        <f t="shared" si="10"/>
        <v>862</v>
      </c>
      <c r="E151" s="4">
        <f t="shared" si="11"/>
        <v>9938</v>
      </c>
      <c r="F151" s="4">
        <f t="shared" si="12"/>
        <v>8320</v>
      </c>
      <c r="G151" s="4">
        <f t="shared" si="13"/>
        <v>1618</v>
      </c>
    </row>
    <row r="152" spans="2:7" x14ac:dyDescent="0.3">
      <c r="B152" s="2">
        <v>139</v>
      </c>
      <c r="C152" s="2">
        <f t="shared" si="14"/>
        <v>189000</v>
      </c>
      <c r="D152" s="4">
        <f t="shared" si="10"/>
        <v>861</v>
      </c>
      <c r="E152" s="4">
        <f t="shared" si="11"/>
        <v>9939</v>
      </c>
      <c r="F152" s="4">
        <f t="shared" si="12"/>
        <v>8360</v>
      </c>
      <c r="G152" s="4">
        <f t="shared" si="13"/>
        <v>1579</v>
      </c>
    </row>
    <row r="153" spans="2:7" x14ac:dyDescent="0.3">
      <c r="B153" s="2">
        <v>140</v>
      </c>
      <c r="C153" s="2">
        <f t="shared" si="14"/>
        <v>190000</v>
      </c>
      <c r="D153" s="4">
        <f t="shared" si="10"/>
        <v>860</v>
      </c>
      <c r="E153" s="4">
        <f t="shared" si="11"/>
        <v>9940</v>
      </c>
      <c r="F153" s="4">
        <f t="shared" si="12"/>
        <v>8400</v>
      </c>
      <c r="G153" s="4">
        <f t="shared" si="13"/>
        <v>1540</v>
      </c>
    </row>
    <row r="154" spans="2:7" x14ac:dyDescent="0.3">
      <c r="B154" s="2">
        <v>141</v>
      </c>
      <c r="C154" s="2">
        <f t="shared" si="14"/>
        <v>191000</v>
      </c>
      <c r="D154" s="4">
        <f t="shared" si="10"/>
        <v>859</v>
      </c>
      <c r="E154" s="4">
        <f t="shared" si="11"/>
        <v>9941</v>
      </c>
      <c r="F154" s="4">
        <f t="shared" si="12"/>
        <v>8440</v>
      </c>
      <c r="G154" s="4">
        <f t="shared" si="13"/>
        <v>1501</v>
      </c>
    </row>
    <row r="155" spans="2:7" x14ac:dyDescent="0.3">
      <c r="B155" s="2">
        <v>142</v>
      </c>
      <c r="C155" s="2">
        <f t="shared" si="14"/>
        <v>192000</v>
      </c>
      <c r="D155" s="4">
        <f t="shared" si="10"/>
        <v>858</v>
      </c>
      <c r="E155" s="4">
        <f t="shared" si="11"/>
        <v>9942</v>
      </c>
      <c r="F155" s="4">
        <f t="shared" si="12"/>
        <v>8480</v>
      </c>
      <c r="G155" s="4">
        <f t="shared" si="13"/>
        <v>1462</v>
      </c>
    </row>
    <row r="156" spans="2:7" x14ac:dyDescent="0.3">
      <c r="B156" s="2">
        <v>143</v>
      </c>
      <c r="C156" s="2">
        <f t="shared" si="14"/>
        <v>193000</v>
      </c>
      <c r="D156" s="4">
        <f t="shared" si="10"/>
        <v>857</v>
      </c>
      <c r="E156" s="4">
        <f t="shared" si="11"/>
        <v>9943</v>
      </c>
      <c r="F156" s="4">
        <f t="shared" si="12"/>
        <v>8520</v>
      </c>
      <c r="G156" s="4">
        <f t="shared" si="13"/>
        <v>1423</v>
      </c>
    </row>
    <row r="157" spans="2:7" x14ac:dyDescent="0.3">
      <c r="B157" s="2">
        <v>144</v>
      </c>
      <c r="C157" s="2">
        <f t="shared" si="14"/>
        <v>194000</v>
      </c>
      <c r="D157" s="4">
        <f t="shared" si="10"/>
        <v>856</v>
      </c>
      <c r="E157" s="4">
        <f t="shared" si="11"/>
        <v>9944</v>
      </c>
      <c r="F157" s="4">
        <f t="shared" si="12"/>
        <v>8560</v>
      </c>
      <c r="G157" s="4">
        <f t="shared" si="13"/>
        <v>1384</v>
      </c>
    </row>
    <row r="158" spans="2:7" x14ac:dyDescent="0.3">
      <c r="B158" s="2">
        <v>145</v>
      </c>
      <c r="C158" s="2">
        <f t="shared" si="14"/>
        <v>195000</v>
      </c>
      <c r="D158" s="4">
        <f t="shared" si="10"/>
        <v>855</v>
      </c>
      <c r="E158" s="4">
        <f t="shared" si="11"/>
        <v>9945</v>
      </c>
      <c r="F158" s="4">
        <f t="shared" si="12"/>
        <v>8600</v>
      </c>
      <c r="G158" s="4">
        <f t="shared" si="13"/>
        <v>1345</v>
      </c>
    </row>
    <row r="159" spans="2:7" x14ac:dyDescent="0.3">
      <c r="B159" s="2">
        <v>146</v>
      </c>
      <c r="C159" s="2">
        <f t="shared" si="14"/>
        <v>196000</v>
      </c>
      <c r="D159" s="4">
        <f t="shared" si="10"/>
        <v>854</v>
      </c>
      <c r="E159" s="4">
        <f t="shared" si="11"/>
        <v>9946</v>
      </c>
      <c r="F159" s="4">
        <f t="shared" si="12"/>
        <v>8640</v>
      </c>
      <c r="G159" s="4">
        <f t="shared" si="13"/>
        <v>1306</v>
      </c>
    </row>
    <row r="160" spans="2:7" x14ac:dyDescent="0.3">
      <c r="B160" s="2">
        <v>147</v>
      </c>
      <c r="C160" s="2">
        <f t="shared" si="14"/>
        <v>197000</v>
      </c>
      <c r="D160" s="4">
        <f t="shared" si="10"/>
        <v>853</v>
      </c>
      <c r="E160" s="4">
        <f t="shared" si="11"/>
        <v>9947</v>
      </c>
      <c r="F160" s="4">
        <f t="shared" si="12"/>
        <v>8680</v>
      </c>
      <c r="G160" s="4">
        <f t="shared" si="13"/>
        <v>1267</v>
      </c>
    </row>
    <row r="161" spans="2:7" x14ac:dyDescent="0.3">
      <c r="B161" s="2">
        <v>148</v>
      </c>
      <c r="C161" s="2">
        <f t="shared" si="14"/>
        <v>198000</v>
      </c>
      <c r="D161" s="4">
        <f t="shared" si="10"/>
        <v>852</v>
      </c>
      <c r="E161" s="4">
        <f t="shared" si="11"/>
        <v>9948</v>
      </c>
      <c r="F161" s="4">
        <f t="shared" si="12"/>
        <v>8720</v>
      </c>
      <c r="G161" s="4">
        <f t="shared" si="13"/>
        <v>1228</v>
      </c>
    </row>
    <row r="162" spans="2:7" x14ac:dyDescent="0.3">
      <c r="B162" s="2">
        <v>149</v>
      </c>
      <c r="C162" s="2">
        <f t="shared" si="14"/>
        <v>199000</v>
      </c>
      <c r="D162" s="4">
        <f t="shared" si="10"/>
        <v>851</v>
      </c>
      <c r="E162" s="4">
        <f t="shared" si="11"/>
        <v>9949</v>
      </c>
      <c r="F162" s="4">
        <f t="shared" si="12"/>
        <v>8760</v>
      </c>
      <c r="G162" s="4">
        <f t="shared" si="13"/>
        <v>1189</v>
      </c>
    </row>
    <row r="163" spans="2:7" x14ac:dyDescent="0.3">
      <c r="B163" s="2">
        <v>150</v>
      </c>
      <c r="C163" s="2">
        <f t="shared" si="14"/>
        <v>200000</v>
      </c>
      <c r="D163" s="4">
        <f t="shared" si="10"/>
        <v>850</v>
      </c>
      <c r="E163" s="4">
        <f t="shared" si="11"/>
        <v>9950</v>
      </c>
      <c r="F163" s="4">
        <f t="shared" si="12"/>
        <v>8800</v>
      </c>
      <c r="G163" s="4">
        <f t="shared" si="13"/>
        <v>1150</v>
      </c>
    </row>
    <row r="164" spans="2:7" x14ac:dyDescent="0.3">
      <c r="B164" s="2">
        <v>151</v>
      </c>
      <c r="C164" s="2">
        <f t="shared" si="14"/>
        <v>201000</v>
      </c>
      <c r="D164" s="4">
        <f t="shared" si="10"/>
        <v>849</v>
      </c>
      <c r="E164" s="4">
        <f t="shared" si="11"/>
        <v>9951</v>
      </c>
      <c r="F164" s="4">
        <f t="shared" si="12"/>
        <v>8840</v>
      </c>
      <c r="G164" s="4">
        <f t="shared" si="13"/>
        <v>1111</v>
      </c>
    </row>
    <row r="165" spans="2:7" x14ac:dyDescent="0.3">
      <c r="B165" s="2">
        <v>152</v>
      </c>
      <c r="C165" s="2">
        <f t="shared" si="14"/>
        <v>202000</v>
      </c>
      <c r="D165" s="4">
        <f t="shared" si="10"/>
        <v>848</v>
      </c>
      <c r="E165" s="4">
        <f t="shared" si="11"/>
        <v>9952</v>
      </c>
      <c r="F165" s="4">
        <f t="shared" si="12"/>
        <v>8880</v>
      </c>
      <c r="G165" s="4">
        <f t="shared" si="13"/>
        <v>1072</v>
      </c>
    </row>
    <row r="166" spans="2:7" x14ac:dyDescent="0.3">
      <c r="B166" s="2">
        <v>153</v>
      </c>
      <c r="C166" s="2">
        <f t="shared" si="14"/>
        <v>203000</v>
      </c>
      <c r="D166" s="4">
        <f t="shared" si="10"/>
        <v>847</v>
      </c>
      <c r="E166" s="4">
        <f t="shared" si="11"/>
        <v>9953</v>
      </c>
      <c r="F166" s="4">
        <f t="shared" si="12"/>
        <v>8920</v>
      </c>
      <c r="G166" s="4">
        <f t="shared" si="13"/>
        <v>1033</v>
      </c>
    </row>
    <row r="167" spans="2:7" x14ac:dyDescent="0.3">
      <c r="B167" s="2">
        <v>154</v>
      </c>
      <c r="C167" s="2">
        <f t="shared" si="14"/>
        <v>204000</v>
      </c>
      <c r="D167" s="4">
        <f t="shared" si="10"/>
        <v>846</v>
      </c>
      <c r="E167" s="4">
        <f t="shared" si="11"/>
        <v>9954</v>
      </c>
      <c r="F167" s="4">
        <f t="shared" si="12"/>
        <v>8960</v>
      </c>
      <c r="G167" s="4">
        <f t="shared" si="13"/>
        <v>994</v>
      </c>
    </row>
    <row r="168" spans="2:7" x14ac:dyDescent="0.3">
      <c r="B168" s="2">
        <v>155</v>
      </c>
      <c r="C168" s="2">
        <f t="shared" si="14"/>
        <v>205000</v>
      </c>
      <c r="D168" s="4">
        <f t="shared" si="10"/>
        <v>845</v>
      </c>
      <c r="E168" s="4">
        <f t="shared" si="11"/>
        <v>9955</v>
      </c>
      <c r="F168" s="4">
        <f t="shared" si="12"/>
        <v>9000</v>
      </c>
      <c r="G168" s="4">
        <f t="shared" si="13"/>
        <v>955</v>
      </c>
    </row>
    <row r="169" spans="2:7" x14ac:dyDescent="0.3">
      <c r="B169" s="2">
        <v>156</v>
      </c>
      <c r="C169" s="2">
        <f t="shared" si="14"/>
        <v>206000</v>
      </c>
      <c r="D169" s="4">
        <f t="shared" si="10"/>
        <v>844</v>
      </c>
      <c r="E169" s="4">
        <f t="shared" si="11"/>
        <v>9956</v>
      </c>
      <c r="F169" s="4">
        <f t="shared" si="12"/>
        <v>9040</v>
      </c>
      <c r="G169" s="4">
        <f t="shared" si="13"/>
        <v>916</v>
      </c>
    </row>
    <row r="170" spans="2:7" x14ac:dyDescent="0.3">
      <c r="B170" s="2">
        <v>157</v>
      </c>
      <c r="C170" s="2">
        <f t="shared" si="14"/>
        <v>207000</v>
      </c>
      <c r="D170" s="4">
        <f t="shared" si="10"/>
        <v>843</v>
      </c>
      <c r="E170" s="4">
        <f t="shared" si="11"/>
        <v>9957</v>
      </c>
      <c r="F170" s="4">
        <f t="shared" si="12"/>
        <v>9080</v>
      </c>
      <c r="G170" s="4">
        <f t="shared" si="13"/>
        <v>877</v>
      </c>
    </row>
    <row r="171" spans="2:7" x14ac:dyDescent="0.3">
      <c r="B171" s="2">
        <v>158</v>
      </c>
      <c r="C171" s="2">
        <f t="shared" si="14"/>
        <v>208000</v>
      </c>
      <c r="D171" s="4">
        <f t="shared" si="10"/>
        <v>842</v>
      </c>
      <c r="E171" s="4">
        <f t="shared" si="11"/>
        <v>9958</v>
      </c>
      <c r="F171" s="4">
        <f t="shared" si="12"/>
        <v>9120</v>
      </c>
      <c r="G171" s="4">
        <f t="shared" si="13"/>
        <v>838</v>
      </c>
    </row>
    <row r="172" spans="2:7" x14ac:dyDescent="0.3">
      <c r="B172" s="2">
        <v>159</v>
      </c>
      <c r="C172" s="2">
        <f t="shared" si="14"/>
        <v>209000</v>
      </c>
      <c r="D172" s="4">
        <f t="shared" si="10"/>
        <v>841</v>
      </c>
      <c r="E172" s="4">
        <f t="shared" si="11"/>
        <v>9959</v>
      </c>
      <c r="F172" s="4">
        <f t="shared" si="12"/>
        <v>9160</v>
      </c>
      <c r="G172" s="4">
        <f t="shared" si="13"/>
        <v>799</v>
      </c>
    </row>
    <row r="173" spans="2:7" x14ac:dyDescent="0.3">
      <c r="B173" s="2">
        <v>160</v>
      </c>
      <c r="C173" s="2">
        <f t="shared" si="14"/>
        <v>210000</v>
      </c>
      <c r="D173" s="4">
        <f t="shared" si="10"/>
        <v>840</v>
      </c>
      <c r="E173" s="4">
        <f t="shared" si="11"/>
        <v>9960</v>
      </c>
      <c r="F173" s="4">
        <f t="shared" si="12"/>
        <v>9200</v>
      </c>
      <c r="G173" s="4">
        <f t="shared" si="13"/>
        <v>760</v>
      </c>
    </row>
    <row r="174" spans="2:7" x14ac:dyDescent="0.3">
      <c r="B174" s="2">
        <v>161</v>
      </c>
      <c r="C174" s="2">
        <f t="shared" si="14"/>
        <v>211000</v>
      </c>
      <c r="D174" s="4">
        <f t="shared" si="10"/>
        <v>839</v>
      </c>
      <c r="E174" s="4">
        <f t="shared" si="11"/>
        <v>9961</v>
      </c>
      <c r="F174" s="4">
        <f t="shared" si="12"/>
        <v>9240</v>
      </c>
      <c r="G174" s="4">
        <f t="shared" si="13"/>
        <v>721</v>
      </c>
    </row>
    <row r="175" spans="2:7" x14ac:dyDescent="0.3">
      <c r="B175" s="2">
        <v>162</v>
      </c>
      <c r="C175" s="2">
        <f t="shared" si="14"/>
        <v>212000</v>
      </c>
      <c r="D175" s="4">
        <f t="shared" si="10"/>
        <v>838</v>
      </c>
      <c r="E175" s="4">
        <f t="shared" si="11"/>
        <v>9962</v>
      </c>
      <c r="F175" s="4">
        <f t="shared" si="12"/>
        <v>9280</v>
      </c>
      <c r="G175" s="4">
        <f t="shared" si="13"/>
        <v>682</v>
      </c>
    </row>
    <row r="176" spans="2:7" x14ac:dyDescent="0.3">
      <c r="B176" s="2">
        <v>163</v>
      </c>
      <c r="C176" s="2">
        <f t="shared" si="14"/>
        <v>213000</v>
      </c>
      <c r="D176" s="4">
        <f t="shared" si="10"/>
        <v>837</v>
      </c>
      <c r="E176" s="4">
        <f t="shared" si="11"/>
        <v>9963</v>
      </c>
      <c r="F176" s="4">
        <f t="shared" si="12"/>
        <v>9320</v>
      </c>
      <c r="G176" s="4">
        <f t="shared" si="13"/>
        <v>643</v>
      </c>
    </row>
    <row r="177" spans="2:7" x14ac:dyDescent="0.3">
      <c r="B177" s="2">
        <v>164</v>
      </c>
      <c r="C177" s="2">
        <f t="shared" si="14"/>
        <v>214000</v>
      </c>
      <c r="D177" s="4">
        <f t="shared" si="10"/>
        <v>836</v>
      </c>
      <c r="E177" s="4">
        <f t="shared" si="11"/>
        <v>9964</v>
      </c>
      <c r="F177" s="4">
        <f t="shared" si="12"/>
        <v>9360</v>
      </c>
      <c r="G177" s="4">
        <f t="shared" si="13"/>
        <v>604</v>
      </c>
    </row>
    <row r="178" spans="2:7" x14ac:dyDescent="0.3">
      <c r="B178" s="2">
        <v>165</v>
      </c>
      <c r="C178" s="2">
        <f t="shared" si="14"/>
        <v>215000</v>
      </c>
      <c r="D178" s="4">
        <f t="shared" si="10"/>
        <v>835</v>
      </c>
      <c r="E178" s="4">
        <f t="shared" si="11"/>
        <v>9965</v>
      </c>
      <c r="F178" s="4">
        <f t="shared" si="12"/>
        <v>9400</v>
      </c>
      <c r="G178" s="4">
        <f t="shared" si="13"/>
        <v>565</v>
      </c>
    </row>
    <row r="179" spans="2:7" x14ac:dyDescent="0.3">
      <c r="B179" s="2">
        <v>166</v>
      </c>
      <c r="C179" s="2">
        <f t="shared" si="14"/>
        <v>216000</v>
      </c>
      <c r="D179" s="4">
        <f t="shared" si="10"/>
        <v>834</v>
      </c>
      <c r="E179" s="4">
        <f t="shared" si="11"/>
        <v>9966</v>
      </c>
      <c r="F179" s="4">
        <f t="shared" si="12"/>
        <v>9440</v>
      </c>
      <c r="G179" s="4">
        <f t="shared" si="13"/>
        <v>526</v>
      </c>
    </row>
    <row r="180" spans="2:7" x14ac:dyDescent="0.3">
      <c r="B180" s="2">
        <v>167</v>
      </c>
      <c r="C180" s="2">
        <f t="shared" si="14"/>
        <v>217000</v>
      </c>
      <c r="D180" s="4">
        <f t="shared" si="10"/>
        <v>833</v>
      </c>
      <c r="E180" s="4">
        <f t="shared" si="11"/>
        <v>9967</v>
      </c>
      <c r="F180" s="4">
        <f t="shared" si="12"/>
        <v>9480</v>
      </c>
      <c r="G180" s="4">
        <f t="shared" si="13"/>
        <v>487</v>
      </c>
    </row>
    <row r="181" spans="2:7" x14ac:dyDescent="0.3">
      <c r="B181" s="2">
        <v>168</v>
      </c>
      <c r="C181" s="2">
        <f t="shared" si="14"/>
        <v>218000</v>
      </c>
      <c r="D181" s="4">
        <f t="shared" si="10"/>
        <v>832</v>
      </c>
      <c r="E181" s="4">
        <f t="shared" si="11"/>
        <v>9968</v>
      </c>
      <c r="F181" s="4">
        <f t="shared" si="12"/>
        <v>9520</v>
      </c>
      <c r="G181" s="4">
        <f t="shared" si="13"/>
        <v>448</v>
      </c>
    </row>
    <row r="182" spans="2:7" x14ac:dyDescent="0.3">
      <c r="B182" s="2">
        <v>169</v>
      </c>
      <c r="C182" s="2">
        <f t="shared" si="14"/>
        <v>219000</v>
      </c>
      <c r="D182" s="4">
        <f t="shared" si="10"/>
        <v>831</v>
      </c>
      <c r="E182" s="4">
        <f t="shared" si="11"/>
        <v>9969</v>
      </c>
      <c r="F182" s="4">
        <f t="shared" si="12"/>
        <v>9560</v>
      </c>
      <c r="G182" s="4">
        <f t="shared" si="13"/>
        <v>409</v>
      </c>
    </row>
    <row r="183" spans="2:7" x14ac:dyDescent="0.3">
      <c r="B183" s="2">
        <v>170</v>
      </c>
      <c r="C183" s="2">
        <f t="shared" si="14"/>
        <v>220000</v>
      </c>
      <c r="D183" s="4">
        <f t="shared" si="10"/>
        <v>830</v>
      </c>
      <c r="E183" s="4">
        <f t="shared" si="11"/>
        <v>9970</v>
      </c>
      <c r="F183" s="4">
        <f t="shared" si="12"/>
        <v>9600</v>
      </c>
      <c r="G183" s="4">
        <f t="shared" si="13"/>
        <v>370</v>
      </c>
    </row>
    <row r="184" spans="2:7" x14ac:dyDescent="0.3">
      <c r="B184" s="2">
        <v>171</v>
      </c>
      <c r="C184" s="2">
        <f t="shared" si="14"/>
        <v>221000</v>
      </c>
      <c r="D184" s="4">
        <f t="shared" si="10"/>
        <v>829</v>
      </c>
      <c r="E184" s="4">
        <f t="shared" si="11"/>
        <v>9971</v>
      </c>
      <c r="F184" s="4">
        <f t="shared" si="12"/>
        <v>9640</v>
      </c>
      <c r="G184" s="4">
        <f t="shared" si="13"/>
        <v>331</v>
      </c>
    </row>
    <row r="185" spans="2:7" x14ac:dyDescent="0.3">
      <c r="B185" s="2">
        <v>172</v>
      </c>
      <c r="C185" s="2">
        <f t="shared" si="14"/>
        <v>222000</v>
      </c>
      <c r="D185" s="4">
        <f t="shared" si="10"/>
        <v>828</v>
      </c>
      <c r="E185" s="4">
        <f t="shared" si="11"/>
        <v>9972</v>
      </c>
      <c r="F185" s="4">
        <f t="shared" si="12"/>
        <v>9680</v>
      </c>
      <c r="G185" s="4">
        <f t="shared" si="13"/>
        <v>292</v>
      </c>
    </row>
    <row r="186" spans="2:7" x14ac:dyDescent="0.3">
      <c r="B186" s="2">
        <v>173</v>
      </c>
      <c r="C186" s="2">
        <f t="shared" si="14"/>
        <v>223000</v>
      </c>
      <c r="D186" s="4">
        <f t="shared" si="10"/>
        <v>827</v>
      </c>
      <c r="E186" s="4">
        <f t="shared" si="11"/>
        <v>9973</v>
      </c>
      <c r="F186" s="4">
        <f t="shared" si="12"/>
        <v>9720</v>
      </c>
      <c r="G186" s="4">
        <f t="shared" si="13"/>
        <v>253</v>
      </c>
    </row>
    <row r="187" spans="2:7" x14ac:dyDescent="0.3">
      <c r="B187" s="2">
        <v>174</v>
      </c>
      <c r="C187" s="2">
        <f t="shared" si="14"/>
        <v>224000</v>
      </c>
      <c r="D187" s="4">
        <f t="shared" si="10"/>
        <v>826</v>
      </c>
      <c r="E187" s="4">
        <f t="shared" si="11"/>
        <v>9974</v>
      </c>
      <c r="F187" s="4">
        <f t="shared" si="12"/>
        <v>9760</v>
      </c>
      <c r="G187" s="4">
        <f t="shared" si="13"/>
        <v>214</v>
      </c>
    </row>
    <row r="188" spans="2:7" x14ac:dyDescent="0.3">
      <c r="B188" s="2">
        <v>175</v>
      </c>
      <c r="C188" s="2">
        <f t="shared" si="14"/>
        <v>225000</v>
      </c>
      <c r="D188" s="4">
        <f t="shared" si="10"/>
        <v>825</v>
      </c>
      <c r="E188" s="4">
        <f t="shared" si="11"/>
        <v>9975</v>
      </c>
      <c r="F188" s="4">
        <f t="shared" si="12"/>
        <v>9800</v>
      </c>
      <c r="G188" s="4">
        <f t="shared" si="13"/>
        <v>175</v>
      </c>
    </row>
    <row r="189" spans="2:7" x14ac:dyDescent="0.3">
      <c r="B189" s="2">
        <v>176</v>
      </c>
      <c r="C189" s="2">
        <f t="shared" si="14"/>
        <v>226000</v>
      </c>
      <c r="D189" s="4">
        <f t="shared" si="10"/>
        <v>824</v>
      </c>
      <c r="E189" s="4">
        <f t="shared" si="11"/>
        <v>9976</v>
      </c>
      <c r="F189" s="4">
        <f t="shared" si="12"/>
        <v>9840</v>
      </c>
      <c r="G189" s="4">
        <f t="shared" si="13"/>
        <v>136</v>
      </c>
    </row>
    <row r="190" spans="2:7" x14ac:dyDescent="0.3">
      <c r="B190" s="2">
        <v>177</v>
      </c>
      <c r="C190" s="2">
        <f t="shared" si="14"/>
        <v>227000</v>
      </c>
      <c r="D190" s="4">
        <f t="shared" si="10"/>
        <v>823</v>
      </c>
      <c r="E190" s="4">
        <f t="shared" si="11"/>
        <v>9977</v>
      </c>
      <c r="F190" s="4">
        <f t="shared" si="12"/>
        <v>9880</v>
      </c>
      <c r="G190" s="4">
        <f t="shared" si="13"/>
        <v>97</v>
      </c>
    </row>
    <row r="191" spans="2:7" x14ac:dyDescent="0.3">
      <c r="B191" s="2">
        <v>178</v>
      </c>
      <c r="C191" s="2">
        <f t="shared" si="14"/>
        <v>228000</v>
      </c>
      <c r="D191" s="4">
        <f t="shared" si="10"/>
        <v>822</v>
      </c>
      <c r="E191" s="4">
        <f t="shared" si="11"/>
        <v>9978</v>
      </c>
      <c r="F191" s="4">
        <f t="shared" si="12"/>
        <v>9920</v>
      </c>
      <c r="G191" s="4">
        <f t="shared" si="13"/>
        <v>58</v>
      </c>
    </row>
    <row r="192" spans="2:7" x14ac:dyDescent="0.3">
      <c r="B192" s="2">
        <v>179</v>
      </c>
      <c r="C192" s="2">
        <f t="shared" si="14"/>
        <v>229000</v>
      </c>
      <c r="D192" s="4">
        <f t="shared" si="10"/>
        <v>821</v>
      </c>
      <c r="E192" s="4">
        <f t="shared" si="11"/>
        <v>9979</v>
      </c>
      <c r="F192" s="4">
        <f t="shared" si="12"/>
        <v>9960</v>
      </c>
      <c r="G192" s="4">
        <f t="shared" si="13"/>
        <v>19</v>
      </c>
    </row>
    <row r="193" spans="2:7" x14ac:dyDescent="0.3">
      <c r="B193" s="2">
        <v>180</v>
      </c>
      <c r="C193" s="2">
        <f t="shared" si="14"/>
        <v>230000</v>
      </c>
      <c r="D193" s="4">
        <f t="shared" si="10"/>
        <v>820</v>
      </c>
      <c r="E193" s="4">
        <f t="shared" si="11"/>
        <v>9980</v>
      </c>
      <c r="F193" s="4">
        <f t="shared" si="12"/>
        <v>10000</v>
      </c>
      <c r="G193" s="4">
        <f t="shared" si="13"/>
        <v>-20</v>
      </c>
    </row>
    <row r="194" spans="2:7" x14ac:dyDescent="0.3">
      <c r="B194" s="2">
        <v>181</v>
      </c>
      <c r="C194" s="2">
        <f t="shared" si="14"/>
        <v>231000</v>
      </c>
      <c r="D194" s="4">
        <f t="shared" si="10"/>
        <v>819</v>
      </c>
      <c r="E194" s="4">
        <f t="shared" si="11"/>
        <v>9981</v>
      </c>
      <c r="F194" s="4">
        <f t="shared" si="12"/>
        <v>10040</v>
      </c>
      <c r="G194" s="4">
        <f t="shared" si="13"/>
        <v>-59</v>
      </c>
    </row>
    <row r="195" spans="2:7" x14ac:dyDescent="0.3">
      <c r="B195" s="2">
        <v>182</v>
      </c>
      <c r="C195" s="2">
        <f t="shared" si="14"/>
        <v>232000</v>
      </c>
      <c r="D195" s="4">
        <f t="shared" si="10"/>
        <v>818</v>
      </c>
      <c r="E195" s="4">
        <f t="shared" si="11"/>
        <v>9982</v>
      </c>
      <c r="F195" s="4">
        <f t="shared" si="12"/>
        <v>10080</v>
      </c>
      <c r="G195" s="4">
        <f t="shared" si="13"/>
        <v>-98</v>
      </c>
    </row>
    <row r="196" spans="2:7" x14ac:dyDescent="0.3">
      <c r="B196" s="2">
        <v>183</v>
      </c>
      <c r="C196" s="2">
        <f t="shared" si="14"/>
        <v>233000</v>
      </c>
      <c r="D196" s="4">
        <f t="shared" si="10"/>
        <v>817</v>
      </c>
      <c r="E196" s="4">
        <f t="shared" si="11"/>
        <v>9983</v>
      </c>
      <c r="F196" s="4">
        <f t="shared" si="12"/>
        <v>10120</v>
      </c>
      <c r="G196" s="4">
        <f t="shared" si="13"/>
        <v>-137</v>
      </c>
    </row>
    <row r="197" spans="2:7" x14ac:dyDescent="0.3">
      <c r="B197" s="2">
        <v>184</v>
      </c>
      <c r="C197" s="2">
        <f t="shared" si="14"/>
        <v>234000</v>
      </c>
      <c r="D197" s="4">
        <f t="shared" si="10"/>
        <v>816</v>
      </c>
      <c r="E197" s="4">
        <f t="shared" si="11"/>
        <v>9984</v>
      </c>
      <c r="F197" s="4">
        <f t="shared" si="12"/>
        <v>10160</v>
      </c>
      <c r="G197" s="4">
        <f t="shared" si="13"/>
        <v>-176</v>
      </c>
    </row>
    <row r="198" spans="2:7" x14ac:dyDescent="0.3">
      <c r="B198" s="2">
        <v>185</v>
      </c>
      <c r="C198" s="2">
        <f t="shared" si="14"/>
        <v>235000</v>
      </c>
      <c r="D198" s="4">
        <f t="shared" si="10"/>
        <v>815</v>
      </c>
      <c r="E198" s="4">
        <f t="shared" si="11"/>
        <v>9985</v>
      </c>
      <c r="F198" s="4">
        <f t="shared" si="12"/>
        <v>10200</v>
      </c>
      <c r="G198" s="4">
        <f t="shared" si="13"/>
        <v>-215</v>
      </c>
    </row>
    <row r="199" spans="2:7" x14ac:dyDescent="0.3">
      <c r="B199" s="2">
        <v>186</v>
      </c>
      <c r="C199" s="2">
        <f t="shared" si="14"/>
        <v>236000</v>
      </c>
      <c r="D199" s="4">
        <f t="shared" si="10"/>
        <v>814</v>
      </c>
      <c r="E199" s="4">
        <f t="shared" si="11"/>
        <v>9986</v>
      </c>
      <c r="F199" s="4">
        <f t="shared" si="12"/>
        <v>10240</v>
      </c>
      <c r="G199" s="4">
        <f t="shared" si="13"/>
        <v>-254</v>
      </c>
    </row>
    <row r="200" spans="2:7" x14ac:dyDescent="0.3">
      <c r="B200" s="2">
        <v>187</v>
      </c>
      <c r="C200" s="2">
        <f t="shared" si="14"/>
        <v>237000</v>
      </c>
      <c r="D200" s="4">
        <f t="shared" si="10"/>
        <v>813</v>
      </c>
      <c r="E200" s="4">
        <f t="shared" si="11"/>
        <v>9987</v>
      </c>
      <c r="F200" s="4">
        <f t="shared" si="12"/>
        <v>10280</v>
      </c>
      <c r="G200" s="4">
        <f t="shared" si="13"/>
        <v>-293</v>
      </c>
    </row>
    <row r="201" spans="2:7" x14ac:dyDescent="0.3">
      <c r="B201" s="2">
        <v>188</v>
      </c>
      <c r="C201" s="2">
        <f t="shared" si="14"/>
        <v>238000</v>
      </c>
      <c r="D201" s="4">
        <f t="shared" si="10"/>
        <v>812</v>
      </c>
      <c r="E201" s="4">
        <f t="shared" si="11"/>
        <v>9988</v>
      </c>
      <c r="F201" s="4">
        <f t="shared" si="12"/>
        <v>10320</v>
      </c>
      <c r="G201" s="4">
        <f t="shared" si="13"/>
        <v>-332</v>
      </c>
    </row>
    <row r="202" spans="2:7" x14ac:dyDescent="0.3">
      <c r="B202" s="2">
        <v>189</v>
      </c>
      <c r="C202" s="2">
        <f t="shared" si="14"/>
        <v>239000</v>
      </c>
      <c r="D202" s="4">
        <f t="shared" si="10"/>
        <v>811</v>
      </c>
      <c r="E202" s="4">
        <f t="shared" si="11"/>
        <v>9989</v>
      </c>
      <c r="F202" s="4">
        <f t="shared" si="12"/>
        <v>10360</v>
      </c>
      <c r="G202" s="4">
        <f t="shared" si="13"/>
        <v>-371</v>
      </c>
    </row>
    <row r="203" spans="2:7" x14ac:dyDescent="0.3">
      <c r="B203" s="2">
        <v>190</v>
      </c>
      <c r="C203" s="2">
        <f t="shared" si="14"/>
        <v>240000</v>
      </c>
      <c r="D203" s="4">
        <f t="shared" si="10"/>
        <v>810</v>
      </c>
      <c r="E203" s="4">
        <f t="shared" si="11"/>
        <v>9990</v>
      </c>
      <c r="F203" s="4">
        <f t="shared" si="12"/>
        <v>10400</v>
      </c>
      <c r="G203" s="4">
        <f t="shared" si="13"/>
        <v>-410</v>
      </c>
    </row>
    <row r="204" spans="2:7" x14ac:dyDescent="0.3">
      <c r="B204" s="2">
        <v>191</v>
      </c>
      <c r="C204" s="2">
        <f t="shared" si="14"/>
        <v>241000</v>
      </c>
      <c r="D204" s="4">
        <f t="shared" si="10"/>
        <v>809</v>
      </c>
      <c r="E204" s="4">
        <f t="shared" si="11"/>
        <v>9991</v>
      </c>
      <c r="F204" s="4">
        <f t="shared" si="12"/>
        <v>10440</v>
      </c>
      <c r="G204" s="4">
        <f t="shared" si="13"/>
        <v>-449</v>
      </c>
    </row>
    <row r="205" spans="2:7" x14ac:dyDescent="0.3">
      <c r="B205" s="2">
        <v>192</v>
      </c>
      <c r="C205" s="2">
        <f t="shared" si="14"/>
        <v>242000</v>
      </c>
      <c r="D205" s="4">
        <f t="shared" si="10"/>
        <v>808</v>
      </c>
      <c r="E205" s="4">
        <f t="shared" si="11"/>
        <v>9992</v>
      </c>
      <c r="F205" s="4">
        <f t="shared" si="12"/>
        <v>10480</v>
      </c>
      <c r="G205" s="4">
        <f t="shared" si="13"/>
        <v>-488</v>
      </c>
    </row>
    <row r="206" spans="2:7" x14ac:dyDescent="0.3">
      <c r="B206" s="2">
        <v>193</v>
      </c>
      <c r="C206" s="2">
        <f t="shared" si="14"/>
        <v>243000</v>
      </c>
      <c r="D206" s="4">
        <f t="shared" ref="D206:D269" si="15">IF(C206&lt;=50000,$C$5,$C$5-((C206-50000)/1000)*$C$7)</f>
        <v>807</v>
      </c>
      <c r="E206" s="4">
        <f t="shared" ref="E206:E269" si="16">$C$3+$C$4*$C$6-D206</f>
        <v>9993</v>
      </c>
      <c r="F206" s="4">
        <f t="shared" ref="F206:F269" si="17">$F$3*$C$7+$F$4*C206</f>
        <v>10520</v>
      </c>
      <c r="G206" s="4">
        <f t="shared" ref="G206:G269" si="18">E206-F206</f>
        <v>-527</v>
      </c>
    </row>
    <row r="207" spans="2:7" x14ac:dyDescent="0.3">
      <c r="B207" s="2">
        <v>194</v>
      </c>
      <c r="C207" s="2">
        <f t="shared" ref="C207:C270" si="19">$C$8+(B207*1000)</f>
        <v>244000</v>
      </c>
      <c r="D207" s="4">
        <f t="shared" si="15"/>
        <v>806</v>
      </c>
      <c r="E207" s="4">
        <f t="shared" si="16"/>
        <v>9994</v>
      </c>
      <c r="F207" s="4">
        <f t="shared" si="17"/>
        <v>10560</v>
      </c>
      <c r="G207" s="4">
        <f t="shared" si="18"/>
        <v>-566</v>
      </c>
    </row>
    <row r="208" spans="2:7" x14ac:dyDescent="0.3">
      <c r="B208" s="2">
        <v>195</v>
      </c>
      <c r="C208" s="2">
        <f t="shared" si="19"/>
        <v>245000</v>
      </c>
      <c r="D208" s="4">
        <f t="shared" si="15"/>
        <v>805</v>
      </c>
      <c r="E208" s="4">
        <f t="shared" si="16"/>
        <v>9995</v>
      </c>
      <c r="F208" s="4">
        <f t="shared" si="17"/>
        <v>10600</v>
      </c>
      <c r="G208" s="4">
        <f t="shared" si="18"/>
        <v>-605</v>
      </c>
    </row>
    <row r="209" spans="2:7" x14ac:dyDescent="0.3">
      <c r="B209" s="2">
        <v>196</v>
      </c>
      <c r="C209" s="2">
        <f t="shared" si="19"/>
        <v>246000</v>
      </c>
      <c r="D209" s="4">
        <f t="shared" si="15"/>
        <v>804</v>
      </c>
      <c r="E209" s="4">
        <f t="shared" si="16"/>
        <v>9996</v>
      </c>
      <c r="F209" s="4">
        <f t="shared" si="17"/>
        <v>10640</v>
      </c>
      <c r="G209" s="4">
        <f t="shared" si="18"/>
        <v>-644</v>
      </c>
    </row>
    <row r="210" spans="2:7" x14ac:dyDescent="0.3">
      <c r="B210" s="2">
        <v>197</v>
      </c>
      <c r="C210" s="2">
        <f t="shared" si="19"/>
        <v>247000</v>
      </c>
      <c r="D210" s="4">
        <f t="shared" si="15"/>
        <v>803</v>
      </c>
      <c r="E210" s="4">
        <f t="shared" si="16"/>
        <v>9997</v>
      </c>
      <c r="F210" s="4">
        <f t="shared" si="17"/>
        <v>10680</v>
      </c>
      <c r="G210" s="4">
        <f t="shared" si="18"/>
        <v>-683</v>
      </c>
    </row>
    <row r="211" spans="2:7" x14ac:dyDescent="0.3">
      <c r="B211" s="2">
        <v>198</v>
      </c>
      <c r="C211" s="2">
        <f t="shared" si="19"/>
        <v>248000</v>
      </c>
      <c r="D211" s="4">
        <f t="shared" si="15"/>
        <v>802</v>
      </c>
      <c r="E211" s="4">
        <f t="shared" si="16"/>
        <v>9998</v>
      </c>
      <c r="F211" s="4">
        <f t="shared" si="17"/>
        <v>10720</v>
      </c>
      <c r="G211" s="4">
        <f t="shared" si="18"/>
        <v>-722</v>
      </c>
    </row>
    <row r="212" spans="2:7" x14ac:dyDescent="0.3">
      <c r="B212" s="2">
        <v>199</v>
      </c>
      <c r="C212" s="2">
        <f t="shared" si="19"/>
        <v>249000</v>
      </c>
      <c r="D212" s="4">
        <f t="shared" si="15"/>
        <v>801</v>
      </c>
      <c r="E212" s="4">
        <f t="shared" si="16"/>
        <v>9999</v>
      </c>
      <c r="F212" s="4">
        <f t="shared" si="17"/>
        <v>10760</v>
      </c>
      <c r="G212" s="4">
        <f t="shared" si="18"/>
        <v>-761</v>
      </c>
    </row>
    <row r="213" spans="2:7" x14ac:dyDescent="0.3">
      <c r="B213" s="2">
        <v>200</v>
      </c>
      <c r="C213" s="2">
        <f t="shared" si="19"/>
        <v>250000</v>
      </c>
      <c r="D213" s="4">
        <f t="shared" si="15"/>
        <v>800</v>
      </c>
      <c r="E213" s="4">
        <f t="shared" si="16"/>
        <v>10000</v>
      </c>
      <c r="F213" s="4">
        <f t="shared" si="17"/>
        <v>10800</v>
      </c>
      <c r="G213" s="4">
        <f t="shared" si="18"/>
        <v>-800</v>
      </c>
    </row>
    <row r="214" spans="2:7" x14ac:dyDescent="0.3">
      <c r="B214" s="2">
        <v>201</v>
      </c>
      <c r="C214" s="2">
        <f t="shared" si="19"/>
        <v>251000</v>
      </c>
      <c r="D214" s="4">
        <f t="shared" si="15"/>
        <v>799</v>
      </c>
      <c r="E214" s="4">
        <f t="shared" si="16"/>
        <v>10001</v>
      </c>
      <c r="F214" s="4">
        <f t="shared" si="17"/>
        <v>10840</v>
      </c>
      <c r="G214" s="4">
        <f t="shared" si="18"/>
        <v>-839</v>
      </c>
    </row>
    <row r="215" spans="2:7" x14ac:dyDescent="0.3">
      <c r="B215" s="2">
        <v>202</v>
      </c>
      <c r="C215" s="2">
        <f t="shared" si="19"/>
        <v>252000</v>
      </c>
      <c r="D215" s="4">
        <f t="shared" si="15"/>
        <v>798</v>
      </c>
      <c r="E215" s="4">
        <f t="shared" si="16"/>
        <v>10002</v>
      </c>
      <c r="F215" s="4">
        <f t="shared" si="17"/>
        <v>10880</v>
      </c>
      <c r="G215" s="4">
        <f t="shared" si="18"/>
        <v>-878</v>
      </c>
    </row>
    <row r="216" spans="2:7" x14ac:dyDescent="0.3">
      <c r="B216" s="2">
        <v>203</v>
      </c>
      <c r="C216" s="2">
        <f t="shared" si="19"/>
        <v>253000</v>
      </c>
      <c r="D216" s="4">
        <f t="shared" si="15"/>
        <v>797</v>
      </c>
      <c r="E216" s="4">
        <f t="shared" si="16"/>
        <v>10003</v>
      </c>
      <c r="F216" s="4">
        <f t="shared" si="17"/>
        <v>10920</v>
      </c>
      <c r="G216" s="4">
        <f t="shared" si="18"/>
        <v>-917</v>
      </c>
    </row>
    <row r="217" spans="2:7" x14ac:dyDescent="0.3">
      <c r="B217" s="2">
        <v>204</v>
      </c>
      <c r="C217" s="2">
        <f t="shared" si="19"/>
        <v>254000</v>
      </c>
      <c r="D217" s="4">
        <f t="shared" si="15"/>
        <v>796</v>
      </c>
      <c r="E217" s="4">
        <f t="shared" si="16"/>
        <v>10004</v>
      </c>
      <c r="F217" s="4">
        <f t="shared" si="17"/>
        <v>10960</v>
      </c>
      <c r="G217" s="4">
        <f t="shared" si="18"/>
        <v>-956</v>
      </c>
    </row>
    <row r="218" spans="2:7" x14ac:dyDescent="0.3">
      <c r="B218" s="2">
        <v>205</v>
      </c>
      <c r="C218" s="2">
        <f t="shared" si="19"/>
        <v>255000</v>
      </c>
      <c r="D218" s="4">
        <f t="shared" si="15"/>
        <v>795</v>
      </c>
      <c r="E218" s="4">
        <f t="shared" si="16"/>
        <v>10005</v>
      </c>
      <c r="F218" s="4">
        <f t="shared" si="17"/>
        <v>11000</v>
      </c>
      <c r="G218" s="4">
        <f t="shared" si="18"/>
        <v>-995</v>
      </c>
    </row>
    <row r="219" spans="2:7" x14ac:dyDescent="0.3">
      <c r="B219" s="2">
        <v>206</v>
      </c>
      <c r="C219" s="2">
        <f t="shared" si="19"/>
        <v>256000</v>
      </c>
      <c r="D219" s="4">
        <f t="shared" si="15"/>
        <v>794</v>
      </c>
      <c r="E219" s="4">
        <f t="shared" si="16"/>
        <v>10006</v>
      </c>
      <c r="F219" s="4">
        <f t="shared" si="17"/>
        <v>11040</v>
      </c>
      <c r="G219" s="4">
        <f t="shared" si="18"/>
        <v>-1034</v>
      </c>
    </row>
    <row r="220" spans="2:7" x14ac:dyDescent="0.3">
      <c r="B220" s="2">
        <v>207</v>
      </c>
      <c r="C220" s="2">
        <f t="shared" si="19"/>
        <v>257000</v>
      </c>
      <c r="D220" s="4">
        <f t="shared" si="15"/>
        <v>793</v>
      </c>
      <c r="E220" s="4">
        <f t="shared" si="16"/>
        <v>10007</v>
      </c>
      <c r="F220" s="4">
        <f t="shared" si="17"/>
        <v>11080</v>
      </c>
      <c r="G220" s="4">
        <f t="shared" si="18"/>
        <v>-1073</v>
      </c>
    </row>
    <row r="221" spans="2:7" x14ac:dyDescent="0.3">
      <c r="B221" s="2">
        <v>208</v>
      </c>
      <c r="C221" s="2">
        <f t="shared" si="19"/>
        <v>258000</v>
      </c>
      <c r="D221" s="4">
        <f t="shared" si="15"/>
        <v>792</v>
      </c>
      <c r="E221" s="4">
        <f t="shared" si="16"/>
        <v>10008</v>
      </c>
      <c r="F221" s="4">
        <f t="shared" si="17"/>
        <v>11120</v>
      </c>
      <c r="G221" s="4">
        <f t="shared" si="18"/>
        <v>-1112</v>
      </c>
    </row>
    <row r="222" spans="2:7" x14ac:dyDescent="0.3">
      <c r="B222" s="2">
        <v>209</v>
      </c>
      <c r="C222" s="2">
        <f t="shared" si="19"/>
        <v>259000</v>
      </c>
      <c r="D222" s="4">
        <f t="shared" si="15"/>
        <v>791</v>
      </c>
      <c r="E222" s="4">
        <f t="shared" si="16"/>
        <v>10009</v>
      </c>
      <c r="F222" s="4">
        <f t="shared" si="17"/>
        <v>11160</v>
      </c>
      <c r="G222" s="4">
        <f t="shared" si="18"/>
        <v>-1151</v>
      </c>
    </row>
    <row r="223" spans="2:7" x14ac:dyDescent="0.3">
      <c r="B223" s="2">
        <v>210</v>
      </c>
      <c r="C223" s="2">
        <f t="shared" si="19"/>
        <v>260000</v>
      </c>
      <c r="D223" s="4">
        <f t="shared" si="15"/>
        <v>790</v>
      </c>
      <c r="E223" s="4">
        <f t="shared" si="16"/>
        <v>10010</v>
      </c>
      <c r="F223" s="4">
        <f t="shared" si="17"/>
        <v>11200</v>
      </c>
      <c r="G223" s="4">
        <f t="shared" si="18"/>
        <v>-1190</v>
      </c>
    </row>
    <row r="224" spans="2:7" x14ac:dyDescent="0.3">
      <c r="B224" s="2">
        <v>211</v>
      </c>
      <c r="C224" s="2">
        <f t="shared" si="19"/>
        <v>261000</v>
      </c>
      <c r="D224" s="4">
        <f t="shared" si="15"/>
        <v>789</v>
      </c>
      <c r="E224" s="4">
        <f t="shared" si="16"/>
        <v>10011</v>
      </c>
      <c r="F224" s="4">
        <f t="shared" si="17"/>
        <v>11240</v>
      </c>
      <c r="G224" s="4">
        <f t="shared" si="18"/>
        <v>-1229</v>
      </c>
    </row>
    <row r="225" spans="2:7" x14ac:dyDescent="0.3">
      <c r="B225" s="2">
        <v>212</v>
      </c>
      <c r="C225" s="2">
        <f t="shared" si="19"/>
        <v>262000</v>
      </c>
      <c r="D225" s="4">
        <f t="shared" si="15"/>
        <v>788</v>
      </c>
      <c r="E225" s="4">
        <f t="shared" si="16"/>
        <v>10012</v>
      </c>
      <c r="F225" s="4">
        <f t="shared" si="17"/>
        <v>11280</v>
      </c>
      <c r="G225" s="4">
        <f t="shared" si="18"/>
        <v>-1268</v>
      </c>
    </row>
    <row r="226" spans="2:7" x14ac:dyDescent="0.3">
      <c r="B226" s="2">
        <v>213</v>
      </c>
      <c r="C226" s="2">
        <f t="shared" si="19"/>
        <v>263000</v>
      </c>
      <c r="D226" s="4">
        <f t="shared" si="15"/>
        <v>787</v>
      </c>
      <c r="E226" s="4">
        <f t="shared" si="16"/>
        <v>10013</v>
      </c>
      <c r="F226" s="4">
        <f t="shared" si="17"/>
        <v>11320</v>
      </c>
      <c r="G226" s="4">
        <f t="shared" si="18"/>
        <v>-1307</v>
      </c>
    </row>
    <row r="227" spans="2:7" x14ac:dyDescent="0.3">
      <c r="B227" s="2">
        <v>214</v>
      </c>
      <c r="C227" s="2">
        <f t="shared" si="19"/>
        <v>264000</v>
      </c>
      <c r="D227" s="4">
        <f t="shared" si="15"/>
        <v>786</v>
      </c>
      <c r="E227" s="4">
        <f t="shared" si="16"/>
        <v>10014</v>
      </c>
      <c r="F227" s="4">
        <f t="shared" si="17"/>
        <v>11360</v>
      </c>
      <c r="G227" s="4">
        <f t="shared" si="18"/>
        <v>-1346</v>
      </c>
    </row>
    <row r="228" spans="2:7" x14ac:dyDescent="0.3">
      <c r="B228" s="2">
        <v>215</v>
      </c>
      <c r="C228" s="2">
        <f t="shared" si="19"/>
        <v>265000</v>
      </c>
      <c r="D228" s="4">
        <f t="shared" si="15"/>
        <v>785</v>
      </c>
      <c r="E228" s="4">
        <f t="shared" si="16"/>
        <v>10015</v>
      </c>
      <c r="F228" s="4">
        <f t="shared" si="17"/>
        <v>11400</v>
      </c>
      <c r="G228" s="4">
        <f t="shared" si="18"/>
        <v>-1385</v>
      </c>
    </row>
    <row r="229" spans="2:7" x14ac:dyDescent="0.3">
      <c r="B229" s="2">
        <v>216</v>
      </c>
      <c r="C229" s="2">
        <f t="shared" si="19"/>
        <v>266000</v>
      </c>
      <c r="D229" s="4">
        <f t="shared" si="15"/>
        <v>784</v>
      </c>
      <c r="E229" s="4">
        <f t="shared" si="16"/>
        <v>10016</v>
      </c>
      <c r="F229" s="4">
        <f t="shared" si="17"/>
        <v>11440</v>
      </c>
      <c r="G229" s="4">
        <f t="shared" si="18"/>
        <v>-1424</v>
      </c>
    </row>
    <row r="230" spans="2:7" x14ac:dyDescent="0.3">
      <c r="B230" s="2">
        <v>217</v>
      </c>
      <c r="C230" s="2">
        <f t="shared" si="19"/>
        <v>267000</v>
      </c>
      <c r="D230" s="4">
        <f t="shared" si="15"/>
        <v>783</v>
      </c>
      <c r="E230" s="4">
        <f t="shared" si="16"/>
        <v>10017</v>
      </c>
      <c r="F230" s="4">
        <f t="shared" si="17"/>
        <v>11480</v>
      </c>
      <c r="G230" s="4">
        <f t="shared" si="18"/>
        <v>-1463</v>
      </c>
    </row>
    <row r="231" spans="2:7" x14ac:dyDescent="0.3">
      <c r="B231" s="2">
        <v>218</v>
      </c>
      <c r="C231" s="2">
        <f t="shared" si="19"/>
        <v>268000</v>
      </c>
      <c r="D231" s="4">
        <f t="shared" si="15"/>
        <v>782</v>
      </c>
      <c r="E231" s="4">
        <f t="shared" si="16"/>
        <v>10018</v>
      </c>
      <c r="F231" s="4">
        <f t="shared" si="17"/>
        <v>11520</v>
      </c>
      <c r="G231" s="4">
        <f t="shared" si="18"/>
        <v>-1502</v>
      </c>
    </row>
    <row r="232" spans="2:7" x14ac:dyDescent="0.3">
      <c r="B232" s="2">
        <v>219</v>
      </c>
      <c r="C232" s="2">
        <f t="shared" si="19"/>
        <v>269000</v>
      </c>
      <c r="D232" s="4">
        <f t="shared" si="15"/>
        <v>781</v>
      </c>
      <c r="E232" s="4">
        <f t="shared" si="16"/>
        <v>10019</v>
      </c>
      <c r="F232" s="4">
        <f t="shared" si="17"/>
        <v>11560</v>
      </c>
      <c r="G232" s="4">
        <f t="shared" si="18"/>
        <v>-1541</v>
      </c>
    </row>
    <row r="233" spans="2:7" x14ac:dyDescent="0.3">
      <c r="B233" s="2">
        <v>220</v>
      </c>
      <c r="C233" s="2">
        <f t="shared" si="19"/>
        <v>270000</v>
      </c>
      <c r="D233" s="4">
        <f t="shared" si="15"/>
        <v>780</v>
      </c>
      <c r="E233" s="4">
        <f t="shared" si="16"/>
        <v>10020</v>
      </c>
      <c r="F233" s="4">
        <f t="shared" si="17"/>
        <v>11600</v>
      </c>
      <c r="G233" s="4">
        <f t="shared" si="18"/>
        <v>-1580</v>
      </c>
    </row>
    <row r="234" spans="2:7" x14ac:dyDescent="0.3">
      <c r="B234" s="2">
        <v>221</v>
      </c>
      <c r="C234" s="2">
        <f t="shared" si="19"/>
        <v>271000</v>
      </c>
      <c r="D234" s="4">
        <f t="shared" si="15"/>
        <v>779</v>
      </c>
      <c r="E234" s="4">
        <f t="shared" si="16"/>
        <v>10021</v>
      </c>
      <c r="F234" s="4">
        <f t="shared" si="17"/>
        <v>11640</v>
      </c>
      <c r="G234" s="4">
        <f t="shared" si="18"/>
        <v>-1619</v>
      </c>
    </row>
    <row r="235" spans="2:7" x14ac:dyDescent="0.3">
      <c r="B235" s="2">
        <v>222</v>
      </c>
      <c r="C235" s="2">
        <f t="shared" si="19"/>
        <v>272000</v>
      </c>
      <c r="D235" s="4">
        <f t="shared" si="15"/>
        <v>778</v>
      </c>
      <c r="E235" s="4">
        <f t="shared" si="16"/>
        <v>10022</v>
      </c>
      <c r="F235" s="4">
        <f t="shared" si="17"/>
        <v>11680</v>
      </c>
      <c r="G235" s="4">
        <f t="shared" si="18"/>
        <v>-1658</v>
      </c>
    </row>
    <row r="236" spans="2:7" x14ac:dyDescent="0.3">
      <c r="B236" s="2">
        <v>223</v>
      </c>
      <c r="C236" s="2">
        <f t="shared" si="19"/>
        <v>273000</v>
      </c>
      <c r="D236" s="4">
        <f t="shared" si="15"/>
        <v>777</v>
      </c>
      <c r="E236" s="4">
        <f t="shared" si="16"/>
        <v>10023</v>
      </c>
      <c r="F236" s="4">
        <f t="shared" si="17"/>
        <v>11720</v>
      </c>
      <c r="G236" s="4">
        <f t="shared" si="18"/>
        <v>-1697</v>
      </c>
    </row>
    <row r="237" spans="2:7" x14ac:dyDescent="0.3">
      <c r="B237" s="2">
        <v>224</v>
      </c>
      <c r="C237" s="2">
        <f t="shared" si="19"/>
        <v>274000</v>
      </c>
      <c r="D237" s="4">
        <f t="shared" si="15"/>
        <v>776</v>
      </c>
      <c r="E237" s="4">
        <f t="shared" si="16"/>
        <v>10024</v>
      </c>
      <c r="F237" s="4">
        <f t="shared" si="17"/>
        <v>11760</v>
      </c>
      <c r="G237" s="4">
        <f t="shared" si="18"/>
        <v>-1736</v>
      </c>
    </row>
    <row r="238" spans="2:7" x14ac:dyDescent="0.3">
      <c r="B238" s="2">
        <v>225</v>
      </c>
      <c r="C238" s="2">
        <f t="shared" si="19"/>
        <v>275000</v>
      </c>
      <c r="D238" s="4">
        <f t="shared" si="15"/>
        <v>775</v>
      </c>
      <c r="E238" s="4">
        <f t="shared" si="16"/>
        <v>10025</v>
      </c>
      <c r="F238" s="4">
        <f t="shared" si="17"/>
        <v>11800</v>
      </c>
      <c r="G238" s="4">
        <f t="shared" si="18"/>
        <v>-1775</v>
      </c>
    </row>
    <row r="239" spans="2:7" x14ac:dyDescent="0.3">
      <c r="B239" s="2">
        <v>226</v>
      </c>
      <c r="C239" s="2">
        <f t="shared" si="19"/>
        <v>276000</v>
      </c>
      <c r="D239" s="4">
        <f t="shared" si="15"/>
        <v>774</v>
      </c>
      <c r="E239" s="4">
        <f t="shared" si="16"/>
        <v>10026</v>
      </c>
      <c r="F239" s="4">
        <f t="shared" si="17"/>
        <v>11840</v>
      </c>
      <c r="G239" s="4">
        <f t="shared" si="18"/>
        <v>-1814</v>
      </c>
    </row>
    <row r="240" spans="2:7" x14ac:dyDescent="0.3">
      <c r="B240" s="2">
        <v>227</v>
      </c>
      <c r="C240" s="2">
        <f t="shared" si="19"/>
        <v>277000</v>
      </c>
      <c r="D240" s="4">
        <f t="shared" si="15"/>
        <v>773</v>
      </c>
      <c r="E240" s="4">
        <f t="shared" si="16"/>
        <v>10027</v>
      </c>
      <c r="F240" s="4">
        <f t="shared" si="17"/>
        <v>11880</v>
      </c>
      <c r="G240" s="4">
        <f t="shared" si="18"/>
        <v>-1853</v>
      </c>
    </row>
    <row r="241" spans="2:7" x14ac:dyDescent="0.3">
      <c r="B241" s="2">
        <v>228</v>
      </c>
      <c r="C241" s="2">
        <f t="shared" si="19"/>
        <v>278000</v>
      </c>
      <c r="D241" s="4">
        <f t="shared" si="15"/>
        <v>772</v>
      </c>
      <c r="E241" s="4">
        <f t="shared" si="16"/>
        <v>10028</v>
      </c>
      <c r="F241" s="4">
        <f t="shared" si="17"/>
        <v>11920</v>
      </c>
      <c r="G241" s="4">
        <f t="shared" si="18"/>
        <v>-1892</v>
      </c>
    </row>
    <row r="242" spans="2:7" x14ac:dyDescent="0.3">
      <c r="B242" s="2">
        <v>229</v>
      </c>
      <c r="C242" s="2">
        <f t="shared" si="19"/>
        <v>279000</v>
      </c>
      <c r="D242" s="4">
        <f t="shared" si="15"/>
        <v>771</v>
      </c>
      <c r="E242" s="4">
        <f t="shared" si="16"/>
        <v>10029</v>
      </c>
      <c r="F242" s="4">
        <f t="shared" si="17"/>
        <v>11960</v>
      </c>
      <c r="G242" s="4">
        <f t="shared" si="18"/>
        <v>-1931</v>
      </c>
    </row>
    <row r="243" spans="2:7" x14ac:dyDescent="0.3">
      <c r="B243" s="2">
        <v>230</v>
      </c>
      <c r="C243" s="2">
        <f t="shared" si="19"/>
        <v>280000</v>
      </c>
      <c r="D243" s="4">
        <f t="shared" si="15"/>
        <v>770</v>
      </c>
      <c r="E243" s="4">
        <f t="shared" si="16"/>
        <v>10030</v>
      </c>
      <c r="F243" s="4">
        <f t="shared" si="17"/>
        <v>12000</v>
      </c>
      <c r="G243" s="4">
        <f t="shared" si="18"/>
        <v>-1970</v>
      </c>
    </row>
    <row r="244" spans="2:7" x14ac:dyDescent="0.3">
      <c r="B244" s="2">
        <v>231</v>
      </c>
      <c r="C244" s="2">
        <f t="shared" si="19"/>
        <v>281000</v>
      </c>
      <c r="D244" s="4">
        <f t="shared" si="15"/>
        <v>769</v>
      </c>
      <c r="E244" s="4">
        <f t="shared" si="16"/>
        <v>10031</v>
      </c>
      <c r="F244" s="4">
        <f t="shared" si="17"/>
        <v>12040</v>
      </c>
      <c r="G244" s="4">
        <f t="shared" si="18"/>
        <v>-2009</v>
      </c>
    </row>
    <row r="245" spans="2:7" x14ac:dyDescent="0.3">
      <c r="B245" s="2">
        <v>232</v>
      </c>
      <c r="C245" s="2">
        <f t="shared" si="19"/>
        <v>282000</v>
      </c>
      <c r="D245" s="4">
        <f t="shared" si="15"/>
        <v>768</v>
      </c>
      <c r="E245" s="4">
        <f t="shared" si="16"/>
        <v>10032</v>
      </c>
      <c r="F245" s="4">
        <f t="shared" si="17"/>
        <v>12080</v>
      </c>
      <c r="G245" s="4">
        <f t="shared" si="18"/>
        <v>-2048</v>
      </c>
    </row>
    <row r="246" spans="2:7" x14ac:dyDescent="0.3">
      <c r="B246" s="2">
        <v>233</v>
      </c>
      <c r="C246" s="2">
        <f t="shared" si="19"/>
        <v>283000</v>
      </c>
      <c r="D246" s="4">
        <f t="shared" si="15"/>
        <v>767</v>
      </c>
      <c r="E246" s="4">
        <f t="shared" si="16"/>
        <v>10033</v>
      </c>
      <c r="F246" s="4">
        <f t="shared" si="17"/>
        <v>12120</v>
      </c>
      <c r="G246" s="4">
        <f t="shared" si="18"/>
        <v>-2087</v>
      </c>
    </row>
    <row r="247" spans="2:7" x14ac:dyDescent="0.3">
      <c r="B247" s="2">
        <v>234</v>
      </c>
      <c r="C247" s="2">
        <f t="shared" si="19"/>
        <v>284000</v>
      </c>
      <c r="D247" s="4">
        <f t="shared" si="15"/>
        <v>766</v>
      </c>
      <c r="E247" s="4">
        <f t="shared" si="16"/>
        <v>10034</v>
      </c>
      <c r="F247" s="4">
        <f t="shared" si="17"/>
        <v>12160</v>
      </c>
      <c r="G247" s="4">
        <f t="shared" si="18"/>
        <v>-2126</v>
      </c>
    </row>
    <row r="248" spans="2:7" x14ac:dyDescent="0.3">
      <c r="B248" s="2">
        <v>235</v>
      </c>
      <c r="C248" s="2">
        <f t="shared" si="19"/>
        <v>285000</v>
      </c>
      <c r="D248" s="4">
        <f t="shared" si="15"/>
        <v>765</v>
      </c>
      <c r="E248" s="4">
        <f t="shared" si="16"/>
        <v>10035</v>
      </c>
      <c r="F248" s="4">
        <f t="shared" si="17"/>
        <v>12200</v>
      </c>
      <c r="G248" s="4">
        <f t="shared" si="18"/>
        <v>-2165</v>
      </c>
    </row>
    <row r="249" spans="2:7" x14ac:dyDescent="0.3">
      <c r="B249" s="2">
        <v>236</v>
      </c>
      <c r="C249" s="2">
        <f t="shared" si="19"/>
        <v>286000</v>
      </c>
      <c r="D249" s="4">
        <f t="shared" si="15"/>
        <v>764</v>
      </c>
      <c r="E249" s="4">
        <f t="shared" si="16"/>
        <v>10036</v>
      </c>
      <c r="F249" s="4">
        <f t="shared" si="17"/>
        <v>12240</v>
      </c>
      <c r="G249" s="4">
        <f t="shared" si="18"/>
        <v>-2204</v>
      </c>
    </row>
    <row r="250" spans="2:7" x14ac:dyDescent="0.3">
      <c r="B250" s="2">
        <v>237</v>
      </c>
      <c r="C250" s="2">
        <f t="shared" si="19"/>
        <v>287000</v>
      </c>
      <c r="D250" s="4">
        <f t="shared" si="15"/>
        <v>763</v>
      </c>
      <c r="E250" s="4">
        <f t="shared" si="16"/>
        <v>10037</v>
      </c>
      <c r="F250" s="4">
        <f t="shared" si="17"/>
        <v>12280</v>
      </c>
      <c r="G250" s="4">
        <f t="shared" si="18"/>
        <v>-2243</v>
      </c>
    </row>
    <row r="251" spans="2:7" x14ac:dyDescent="0.3">
      <c r="B251" s="2">
        <v>238</v>
      </c>
      <c r="C251" s="2">
        <f t="shared" si="19"/>
        <v>288000</v>
      </c>
      <c r="D251" s="4">
        <f t="shared" si="15"/>
        <v>762</v>
      </c>
      <c r="E251" s="4">
        <f t="shared" si="16"/>
        <v>10038</v>
      </c>
      <c r="F251" s="4">
        <f t="shared" si="17"/>
        <v>12320</v>
      </c>
      <c r="G251" s="4">
        <f t="shared" si="18"/>
        <v>-2282</v>
      </c>
    </row>
    <row r="252" spans="2:7" x14ac:dyDescent="0.3">
      <c r="B252" s="2">
        <v>239</v>
      </c>
      <c r="C252" s="2">
        <f t="shared" si="19"/>
        <v>289000</v>
      </c>
      <c r="D252" s="4">
        <f t="shared" si="15"/>
        <v>761</v>
      </c>
      <c r="E252" s="4">
        <f t="shared" si="16"/>
        <v>10039</v>
      </c>
      <c r="F252" s="4">
        <f t="shared" si="17"/>
        <v>12360</v>
      </c>
      <c r="G252" s="4">
        <f t="shared" si="18"/>
        <v>-2321</v>
      </c>
    </row>
    <row r="253" spans="2:7" x14ac:dyDescent="0.3">
      <c r="B253" s="2">
        <v>240</v>
      </c>
      <c r="C253" s="2">
        <f t="shared" si="19"/>
        <v>290000</v>
      </c>
      <c r="D253" s="4">
        <f t="shared" si="15"/>
        <v>760</v>
      </c>
      <c r="E253" s="4">
        <f t="shared" si="16"/>
        <v>10040</v>
      </c>
      <c r="F253" s="4">
        <f t="shared" si="17"/>
        <v>12400</v>
      </c>
      <c r="G253" s="4">
        <f t="shared" si="18"/>
        <v>-2360</v>
      </c>
    </row>
    <row r="254" spans="2:7" x14ac:dyDescent="0.3">
      <c r="B254" s="2">
        <v>241</v>
      </c>
      <c r="C254" s="2">
        <f t="shared" si="19"/>
        <v>291000</v>
      </c>
      <c r="D254" s="4">
        <f t="shared" si="15"/>
        <v>759</v>
      </c>
      <c r="E254" s="4">
        <f t="shared" si="16"/>
        <v>10041</v>
      </c>
      <c r="F254" s="4">
        <f t="shared" si="17"/>
        <v>12440</v>
      </c>
      <c r="G254" s="4">
        <f t="shared" si="18"/>
        <v>-2399</v>
      </c>
    </row>
    <row r="255" spans="2:7" x14ac:dyDescent="0.3">
      <c r="B255" s="2">
        <v>242</v>
      </c>
      <c r="C255" s="2">
        <f t="shared" si="19"/>
        <v>292000</v>
      </c>
      <c r="D255" s="4">
        <f t="shared" si="15"/>
        <v>758</v>
      </c>
      <c r="E255" s="4">
        <f t="shared" si="16"/>
        <v>10042</v>
      </c>
      <c r="F255" s="4">
        <f t="shared" si="17"/>
        <v>12480</v>
      </c>
      <c r="G255" s="4">
        <f t="shared" si="18"/>
        <v>-2438</v>
      </c>
    </row>
    <row r="256" spans="2:7" x14ac:dyDescent="0.3">
      <c r="B256" s="2">
        <v>243</v>
      </c>
      <c r="C256" s="2">
        <f t="shared" si="19"/>
        <v>293000</v>
      </c>
      <c r="D256" s="4">
        <f t="shared" si="15"/>
        <v>757</v>
      </c>
      <c r="E256" s="4">
        <f t="shared" si="16"/>
        <v>10043</v>
      </c>
      <c r="F256" s="4">
        <f t="shared" si="17"/>
        <v>12520</v>
      </c>
      <c r="G256" s="4">
        <f t="shared" si="18"/>
        <v>-2477</v>
      </c>
    </row>
    <row r="257" spans="2:7" x14ac:dyDescent="0.3">
      <c r="B257" s="2">
        <v>244</v>
      </c>
      <c r="C257" s="2">
        <f t="shared" si="19"/>
        <v>294000</v>
      </c>
      <c r="D257" s="4">
        <f t="shared" si="15"/>
        <v>756</v>
      </c>
      <c r="E257" s="4">
        <f t="shared" si="16"/>
        <v>10044</v>
      </c>
      <c r="F257" s="4">
        <f t="shared" si="17"/>
        <v>12560</v>
      </c>
      <c r="G257" s="4">
        <f t="shared" si="18"/>
        <v>-2516</v>
      </c>
    </row>
    <row r="258" spans="2:7" x14ac:dyDescent="0.3">
      <c r="B258" s="2">
        <v>245</v>
      </c>
      <c r="C258" s="2">
        <f t="shared" si="19"/>
        <v>295000</v>
      </c>
      <c r="D258" s="4">
        <f t="shared" si="15"/>
        <v>755</v>
      </c>
      <c r="E258" s="4">
        <f t="shared" si="16"/>
        <v>10045</v>
      </c>
      <c r="F258" s="4">
        <f t="shared" si="17"/>
        <v>12600</v>
      </c>
      <c r="G258" s="4">
        <f t="shared" si="18"/>
        <v>-2555</v>
      </c>
    </row>
    <row r="259" spans="2:7" x14ac:dyDescent="0.3">
      <c r="B259" s="2">
        <v>246</v>
      </c>
      <c r="C259" s="2">
        <f t="shared" si="19"/>
        <v>296000</v>
      </c>
      <c r="D259" s="4">
        <f t="shared" si="15"/>
        <v>754</v>
      </c>
      <c r="E259" s="4">
        <f t="shared" si="16"/>
        <v>10046</v>
      </c>
      <c r="F259" s="4">
        <f t="shared" si="17"/>
        <v>12640</v>
      </c>
      <c r="G259" s="4">
        <f t="shared" si="18"/>
        <v>-2594</v>
      </c>
    </row>
    <row r="260" spans="2:7" x14ac:dyDescent="0.3">
      <c r="B260" s="2">
        <v>247</v>
      </c>
      <c r="C260" s="2">
        <f t="shared" si="19"/>
        <v>297000</v>
      </c>
      <c r="D260" s="4">
        <f t="shared" si="15"/>
        <v>753</v>
      </c>
      <c r="E260" s="4">
        <f t="shared" si="16"/>
        <v>10047</v>
      </c>
      <c r="F260" s="4">
        <f t="shared" si="17"/>
        <v>12680</v>
      </c>
      <c r="G260" s="4">
        <f t="shared" si="18"/>
        <v>-2633</v>
      </c>
    </row>
    <row r="261" spans="2:7" x14ac:dyDescent="0.3">
      <c r="B261" s="2">
        <v>248</v>
      </c>
      <c r="C261" s="2">
        <f t="shared" si="19"/>
        <v>298000</v>
      </c>
      <c r="D261" s="4">
        <f t="shared" si="15"/>
        <v>752</v>
      </c>
      <c r="E261" s="4">
        <f t="shared" si="16"/>
        <v>10048</v>
      </c>
      <c r="F261" s="4">
        <f t="shared" si="17"/>
        <v>12720</v>
      </c>
      <c r="G261" s="4">
        <f t="shared" si="18"/>
        <v>-2672</v>
      </c>
    </row>
    <row r="262" spans="2:7" x14ac:dyDescent="0.3">
      <c r="B262" s="2">
        <v>249</v>
      </c>
      <c r="C262" s="2">
        <f t="shared" si="19"/>
        <v>299000</v>
      </c>
      <c r="D262" s="4">
        <f t="shared" si="15"/>
        <v>751</v>
      </c>
      <c r="E262" s="4">
        <f t="shared" si="16"/>
        <v>10049</v>
      </c>
      <c r="F262" s="4">
        <f t="shared" si="17"/>
        <v>12760</v>
      </c>
      <c r="G262" s="4">
        <f t="shared" si="18"/>
        <v>-2711</v>
      </c>
    </row>
    <row r="263" spans="2:7" x14ac:dyDescent="0.3">
      <c r="B263" s="2">
        <v>250</v>
      </c>
      <c r="C263" s="2">
        <f t="shared" si="19"/>
        <v>300000</v>
      </c>
      <c r="D263" s="4">
        <f t="shared" si="15"/>
        <v>750</v>
      </c>
      <c r="E263" s="4">
        <f t="shared" si="16"/>
        <v>10050</v>
      </c>
      <c r="F263" s="4">
        <f t="shared" si="17"/>
        <v>12800</v>
      </c>
      <c r="G263" s="4">
        <f t="shared" si="18"/>
        <v>-2750</v>
      </c>
    </row>
    <row r="264" spans="2:7" x14ac:dyDescent="0.3">
      <c r="B264" s="2">
        <v>251</v>
      </c>
      <c r="C264" s="2">
        <f t="shared" si="19"/>
        <v>301000</v>
      </c>
      <c r="D264" s="4">
        <f t="shared" si="15"/>
        <v>749</v>
      </c>
      <c r="E264" s="4">
        <f t="shared" si="16"/>
        <v>10051</v>
      </c>
      <c r="F264" s="4">
        <f t="shared" si="17"/>
        <v>12840</v>
      </c>
      <c r="G264" s="4">
        <f t="shared" si="18"/>
        <v>-2789</v>
      </c>
    </row>
    <row r="265" spans="2:7" x14ac:dyDescent="0.3">
      <c r="B265" s="2">
        <v>252</v>
      </c>
      <c r="C265" s="2">
        <f t="shared" si="19"/>
        <v>302000</v>
      </c>
      <c r="D265" s="4">
        <f t="shared" si="15"/>
        <v>748</v>
      </c>
      <c r="E265" s="4">
        <f t="shared" si="16"/>
        <v>10052</v>
      </c>
      <c r="F265" s="4">
        <f t="shared" si="17"/>
        <v>12880</v>
      </c>
      <c r="G265" s="4">
        <f t="shared" si="18"/>
        <v>-2828</v>
      </c>
    </row>
    <row r="266" spans="2:7" x14ac:dyDescent="0.3">
      <c r="B266" s="2">
        <v>253</v>
      </c>
      <c r="C266" s="2">
        <f t="shared" si="19"/>
        <v>303000</v>
      </c>
      <c r="D266" s="4">
        <f t="shared" si="15"/>
        <v>747</v>
      </c>
      <c r="E266" s="4">
        <f t="shared" si="16"/>
        <v>10053</v>
      </c>
      <c r="F266" s="4">
        <f t="shared" si="17"/>
        <v>12920</v>
      </c>
      <c r="G266" s="4">
        <f t="shared" si="18"/>
        <v>-2867</v>
      </c>
    </row>
    <row r="267" spans="2:7" x14ac:dyDescent="0.3">
      <c r="B267" s="2">
        <v>254</v>
      </c>
      <c r="C267" s="2">
        <f t="shared" si="19"/>
        <v>304000</v>
      </c>
      <c r="D267" s="4">
        <f t="shared" si="15"/>
        <v>746</v>
      </c>
      <c r="E267" s="4">
        <f t="shared" si="16"/>
        <v>10054</v>
      </c>
      <c r="F267" s="4">
        <f t="shared" si="17"/>
        <v>12960</v>
      </c>
      <c r="G267" s="4">
        <f t="shared" si="18"/>
        <v>-2906</v>
      </c>
    </row>
    <row r="268" spans="2:7" x14ac:dyDescent="0.3">
      <c r="B268" s="2">
        <v>255</v>
      </c>
      <c r="C268" s="2">
        <f t="shared" si="19"/>
        <v>305000</v>
      </c>
      <c r="D268" s="4">
        <f t="shared" si="15"/>
        <v>745</v>
      </c>
      <c r="E268" s="4">
        <f t="shared" si="16"/>
        <v>10055</v>
      </c>
      <c r="F268" s="4">
        <f t="shared" si="17"/>
        <v>13000</v>
      </c>
      <c r="G268" s="4">
        <f t="shared" si="18"/>
        <v>-2945</v>
      </c>
    </row>
    <row r="269" spans="2:7" x14ac:dyDescent="0.3">
      <c r="B269" s="2">
        <v>256</v>
      </c>
      <c r="C269" s="2">
        <f t="shared" si="19"/>
        <v>306000</v>
      </c>
      <c r="D269" s="4">
        <f t="shared" si="15"/>
        <v>744</v>
      </c>
      <c r="E269" s="4">
        <f t="shared" si="16"/>
        <v>10056</v>
      </c>
      <c r="F269" s="4">
        <f t="shared" si="17"/>
        <v>13040</v>
      </c>
      <c r="G269" s="4">
        <f t="shared" si="18"/>
        <v>-2984</v>
      </c>
    </row>
    <row r="270" spans="2:7" x14ac:dyDescent="0.3">
      <c r="B270" s="2">
        <v>257</v>
      </c>
      <c r="C270" s="2">
        <f t="shared" si="19"/>
        <v>307000</v>
      </c>
      <c r="D270" s="4">
        <f t="shared" ref="D270:D333" si="20">IF(C270&lt;=50000,$C$5,$C$5-((C270-50000)/1000)*$C$7)</f>
        <v>743</v>
      </c>
      <c r="E270" s="4">
        <f t="shared" ref="E270:E333" si="21">$C$3+$C$4*$C$6-D270</f>
        <v>10057</v>
      </c>
      <c r="F270" s="4">
        <f t="shared" ref="F270:F333" si="22">$F$3*$C$7+$F$4*C270</f>
        <v>13080</v>
      </c>
      <c r="G270" s="4">
        <f t="shared" ref="G270:G333" si="23">E270-F270</f>
        <v>-3023</v>
      </c>
    </row>
    <row r="271" spans="2:7" x14ac:dyDescent="0.3">
      <c r="B271" s="2">
        <v>258</v>
      </c>
      <c r="C271" s="2">
        <f t="shared" ref="C271:C334" si="24">$C$8+(B271*1000)</f>
        <v>308000</v>
      </c>
      <c r="D271" s="4">
        <f t="shared" si="20"/>
        <v>742</v>
      </c>
      <c r="E271" s="4">
        <f t="shared" si="21"/>
        <v>10058</v>
      </c>
      <c r="F271" s="4">
        <f t="shared" si="22"/>
        <v>13120</v>
      </c>
      <c r="G271" s="4">
        <f t="shared" si="23"/>
        <v>-3062</v>
      </c>
    </row>
    <row r="272" spans="2:7" x14ac:dyDescent="0.3">
      <c r="B272" s="2">
        <v>259</v>
      </c>
      <c r="C272" s="2">
        <f t="shared" si="24"/>
        <v>309000</v>
      </c>
      <c r="D272" s="4">
        <f t="shared" si="20"/>
        <v>741</v>
      </c>
      <c r="E272" s="4">
        <f t="shared" si="21"/>
        <v>10059</v>
      </c>
      <c r="F272" s="4">
        <f t="shared" si="22"/>
        <v>13160</v>
      </c>
      <c r="G272" s="4">
        <f t="shared" si="23"/>
        <v>-3101</v>
      </c>
    </row>
    <row r="273" spans="2:7" x14ac:dyDescent="0.3">
      <c r="B273" s="2">
        <v>260</v>
      </c>
      <c r="C273" s="2">
        <f t="shared" si="24"/>
        <v>310000</v>
      </c>
      <c r="D273" s="4">
        <f t="shared" si="20"/>
        <v>740</v>
      </c>
      <c r="E273" s="4">
        <f t="shared" si="21"/>
        <v>10060</v>
      </c>
      <c r="F273" s="4">
        <f t="shared" si="22"/>
        <v>13200</v>
      </c>
      <c r="G273" s="4">
        <f t="shared" si="23"/>
        <v>-3140</v>
      </c>
    </row>
    <row r="274" spans="2:7" x14ac:dyDescent="0.3">
      <c r="B274" s="2">
        <v>261</v>
      </c>
      <c r="C274" s="2">
        <f t="shared" si="24"/>
        <v>311000</v>
      </c>
      <c r="D274" s="4">
        <f t="shared" si="20"/>
        <v>739</v>
      </c>
      <c r="E274" s="4">
        <f t="shared" si="21"/>
        <v>10061</v>
      </c>
      <c r="F274" s="4">
        <f t="shared" si="22"/>
        <v>13240</v>
      </c>
      <c r="G274" s="4">
        <f t="shared" si="23"/>
        <v>-3179</v>
      </c>
    </row>
    <row r="275" spans="2:7" x14ac:dyDescent="0.3">
      <c r="B275" s="2">
        <v>262</v>
      </c>
      <c r="C275" s="2">
        <f t="shared" si="24"/>
        <v>312000</v>
      </c>
      <c r="D275" s="4">
        <f t="shared" si="20"/>
        <v>738</v>
      </c>
      <c r="E275" s="4">
        <f t="shared" si="21"/>
        <v>10062</v>
      </c>
      <c r="F275" s="4">
        <f t="shared" si="22"/>
        <v>13280</v>
      </c>
      <c r="G275" s="4">
        <f t="shared" si="23"/>
        <v>-3218</v>
      </c>
    </row>
    <row r="276" spans="2:7" x14ac:dyDescent="0.3">
      <c r="B276" s="2">
        <v>263</v>
      </c>
      <c r="C276" s="2">
        <f t="shared" si="24"/>
        <v>313000</v>
      </c>
      <c r="D276" s="4">
        <f t="shared" si="20"/>
        <v>737</v>
      </c>
      <c r="E276" s="4">
        <f t="shared" si="21"/>
        <v>10063</v>
      </c>
      <c r="F276" s="4">
        <f t="shared" si="22"/>
        <v>13320</v>
      </c>
      <c r="G276" s="4">
        <f t="shared" si="23"/>
        <v>-3257</v>
      </c>
    </row>
    <row r="277" spans="2:7" x14ac:dyDescent="0.3">
      <c r="B277" s="2">
        <v>264</v>
      </c>
      <c r="C277" s="2">
        <f t="shared" si="24"/>
        <v>314000</v>
      </c>
      <c r="D277" s="4">
        <f t="shared" si="20"/>
        <v>736</v>
      </c>
      <c r="E277" s="4">
        <f t="shared" si="21"/>
        <v>10064</v>
      </c>
      <c r="F277" s="4">
        <f t="shared" si="22"/>
        <v>13360</v>
      </c>
      <c r="G277" s="4">
        <f t="shared" si="23"/>
        <v>-3296</v>
      </c>
    </row>
    <row r="278" spans="2:7" x14ac:dyDescent="0.3">
      <c r="B278" s="2">
        <v>265</v>
      </c>
      <c r="C278" s="2">
        <f t="shared" si="24"/>
        <v>315000</v>
      </c>
      <c r="D278" s="4">
        <f t="shared" si="20"/>
        <v>735</v>
      </c>
      <c r="E278" s="4">
        <f t="shared" si="21"/>
        <v>10065</v>
      </c>
      <c r="F278" s="4">
        <f t="shared" si="22"/>
        <v>13400</v>
      </c>
      <c r="G278" s="4">
        <f t="shared" si="23"/>
        <v>-3335</v>
      </c>
    </row>
    <row r="279" spans="2:7" x14ac:dyDescent="0.3">
      <c r="B279" s="2">
        <v>266</v>
      </c>
      <c r="C279" s="2">
        <f t="shared" si="24"/>
        <v>316000</v>
      </c>
      <c r="D279" s="4">
        <f t="shared" si="20"/>
        <v>734</v>
      </c>
      <c r="E279" s="4">
        <f t="shared" si="21"/>
        <v>10066</v>
      </c>
      <c r="F279" s="4">
        <f t="shared" si="22"/>
        <v>13440</v>
      </c>
      <c r="G279" s="4">
        <f t="shared" si="23"/>
        <v>-3374</v>
      </c>
    </row>
    <row r="280" spans="2:7" x14ac:dyDescent="0.3">
      <c r="B280" s="2">
        <v>267</v>
      </c>
      <c r="C280" s="2">
        <f t="shared" si="24"/>
        <v>317000</v>
      </c>
      <c r="D280" s="4">
        <f t="shared" si="20"/>
        <v>733</v>
      </c>
      <c r="E280" s="4">
        <f t="shared" si="21"/>
        <v>10067</v>
      </c>
      <c r="F280" s="4">
        <f t="shared" si="22"/>
        <v>13480</v>
      </c>
      <c r="G280" s="4">
        <f t="shared" si="23"/>
        <v>-3413</v>
      </c>
    </row>
    <row r="281" spans="2:7" x14ac:dyDescent="0.3">
      <c r="B281" s="2">
        <v>268</v>
      </c>
      <c r="C281" s="2">
        <f t="shared" si="24"/>
        <v>318000</v>
      </c>
      <c r="D281" s="4">
        <f t="shared" si="20"/>
        <v>732</v>
      </c>
      <c r="E281" s="4">
        <f t="shared" si="21"/>
        <v>10068</v>
      </c>
      <c r="F281" s="4">
        <f t="shared" si="22"/>
        <v>13520</v>
      </c>
      <c r="G281" s="4">
        <f t="shared" si="23"/>
        <v>-3452</v>
      </c>
    </row>
    <row r="282" spans="2:7" x14ac:dyDescent="0.3">
      <c r="B282" s="2">
        <v>269</v>
      </c>
      <c r="C282" s="2">
        <f t="shared" si="24"/>
        <v>319000</v>
      </c>
      <c r="D282" s="4">
        <f t="shared" si="20"/>
        <v>731</v>
      </c>
      <c r="E282" s="4">
        <f t="shared" si="21"/>
        <v>10069</v>
      </c>
      <c r="F282" s="4">
        <f t="shared" si="22"/>
        <v>13560</v>
      </c>
      <c r="G282" s="4">
        <f t="shared" si="23"/>
        <v>-3491</v>
      </c>
    </row>
    <row r="283" spans="2:7" x14ac:dyDescent="0.3">
      <c r="B283" s="2">
        <v>270</v>
      </c>
      <c r="C283" s="2">
        <f t="shared" si="24"/>
        <v>320000</v>
      </c>
      <c r="D283" s="4">
        <f t="shared" si="20"/>
        <v>730</v>
      </c>
      <c r="E283" s="4">
        <f t="shared" si="21"/>
        <v>10070</v>
      </c>
      <c r="F283" s="4">
        <f t="shared" si="22"/>
        <v>13600</v>
      </c>
      <c r="G283" s="4">
        <f t="shared" si="23"/>
        <v>-3530</v>
      </c>
    </row>
    <row r="284" spans="2:7" x14ac:dyDescent="0.3">
      <c r="B284" s="2">
        <v>271</v>
      </c>
      <c r="C284" s="2">
        <f t="shared" si="24"/>
        <v>321000</v>
      </c>
      <c r="D284" s="4">
        <f t="shared" si="20"/>
        <v>729</v>
      </c>
      <c r="E284" s="4">
        <f t="shared" si="21"/>
        <v>10071</v>
      </c>
      <c r="F284" s="4">
        <f t="shared" si="22"/>
        <v>13640</v>
      </c>
      <c r="G284" s="4">
        <f t="shared" si="23"/>
        <v>-3569</v>
      </c>
    </row>
    <row r="285" spans="2:7" x14ac:dyDescent="0.3">
      <c r="B285" s="2">
        <v>272</v>
      </c>
      <c r="C285" s="2">
        <f t="shared" si="24"/>
        <v>322000</v>
      </c>
      <c r="D285" s="4">
        <f t="shared" si="20"/>
        <v>728</v>
      </c>
      <c r="E285" s="4">
        <f t="shared" si="21"/>
        <v>10072</v>
      </c>
      <c r="F285" s="4">
        <f t="shared" si="22"/>
        <v>13680</v>
      </c>
      <c r="G285" s="4">
        <f t="shared" si="23"/>
        <v>-3608</v>
      </c>
    </row>
    <row r="286" spans="2:7" x14ac:dyDescent="0.3">
      <c r="B286" s="2">
        <v>273</v>
      </c>
      <c r="C286" s="2">
        <f t="shared" si="24"/>
        <v>323000</v>
      </c>
      <c r="D286" s="4">
        <f t="shared" si="20"/>
        <v>727</v>
      </c>
      <c r="E286" s="4">
        <f t="shared" si="21"/>
        <v>10073</v>
      </c>
      <c r="F286" s="4">
        <f t="shared" si="22"/>
        <v>13720</v>
      </c>
      <c r="G286" s="4">
        <f t="shared" si="23"/>
        <v>-3647</v>
      </c>
    </row>
    <row r="287" spans="2:7" x14ac:dyDescent="0.3">
      <c r="B287" s="2">
        <v>274</v>
      </c>
      <c r="C287" s="2">
        <f t="shared" si="24"/>
        <v>324000</v>
      </c>
      <c r="D287" s="4">
        <f t="shared" si="20"/>
        <v>726</v>
      </c>
      <c r="E287" s="4">
        <f t="shared" si="21"/>
        <v>10074</v>
      </c>
      <c r="F287" s="4">
        <f t="shared" si="22"/>
        <v>13760</v>
      </c>
      <c r="G287" s="4">
        <f t="shared" si="23"/>
        <v>-3686</v>
      </c>
    </row>
    <row r="288" spans="2:7" x14ac:dyDescent="0.3">
      <c r="B288" s="2">
        <v>275</v>
      </c>
      <c r="C288" s="2">
        <f t="shared" si="24"/>
        <v>325000</v>
      </c>
      <c r="D288" s="4">
        <f t="shared" si="20"/>
        <v>725</v>
      </c>
      <c r="E288" s="4">
        <f t="shared" si="21"/>
        <v>10075</v>
      </c>
      <c r="F288" s="4">
        <f t="shared" si="22"/>
        <v>13800</v>
      </c>
      <c r="G288" s="4">
        <f t="shared" si="23"/>
        <v>-3725</v>
      </c>
    </row>
    <row r="289" spans="2:7" x14ac:dyDescent="0.3">
      <c r="B289" s="2">
        <v>276</v>
      </c>
      <c r="C289" s="2">
        <f t="shared" si="24"/>
        <v>326000</v>
      </c>
      <c r="D289" s="4">
        <f t="shared" si="20"/>
        <v>724</v>
      </c>
      <c r="E289" s="4">
        <f t="shared" si="21"/>
        <v>10076</v>
      </c>
      <c r="F289" s="4">
        <f t="shared" si="22"/>
        <v>13840</v>
      </c>
      <c r="G289" s="4">
        <f t="shared" si="23"/>
        <v>-3764</v>
      </c>
    </row>
    <row r="290" spans="2:7" x14ac:dyDescent="0.3">
      <c r="B290" s="2">
        <v>277</v>
      </c>
      <c r="C290" s="2">
        <f t="shared" si="24"/>
        <v>327000</v>
      </c>
      <c r="D290" s="4">
        <f t="shared" si="20"/>
        <v>723</v>
      </c>
      <c r="E290" s="4">
        <f t="shared" si="21"/>
        <v>10077</v>
      </c>
      <c r="F290" s="4">
        <f t="shared" si="22"/>
        <v>13880</v>
      </c>
      <c r="G290" s="4">
        <f t="shared" si="23"/>
        <v>-3803</v>
      </c>
    </row>
    <row r="291" spans="2:7" x14ac:dyDescent="0.3">
      <c r="B291" s="2">
        <v>278</v>
      </c>
      <c r="C291" s="2">
        <f t="shared" si="24"/>
        <v>328000</v>
      </c>
      <c r="D291" s="4">
        <f t="shared" si="20"/>
        <v>722</v>
      </c>
      <c r="E291" s="4">
        <f t="shared" si="21"/>
        <v>10078</v>
      </c>
      <c r="F291" s="4">
        <f t="shared" si="22"/>
        <v>13920</v>
      </c>
      <c r="G291" s="4">
        <f t="shared" si="23"/>
        <v>-3842</v>
      </c>
    </row>
    <row r="292" spans="2:7" x14ac:dyDescent="0.3">
      <c r="B292" s="2">
        <v>279</v>
      </c>
      <c r="C292" s="2">
        <f t="shared" si="24"/>
        <v>329000</v>
      </c>
      <c r="D292" s="4">
        <f t="shared" si="20"/>
        <v>721</v>
      </c>
      <c r="E292" s="4">
        <f t="shared" si="21"/>
        <v>10079</v>
      </c>
      <c r="F292" s="4">
        <f t="shared" si="22"/>
        <v>13960</v>
      </c>
      <c r="G292" s="4">
        <f t="shared" si="23"/>
        <v>-3881</v>
      </c>
    </row>
    <row r="293" spans="2:7" x14ac:dyDescent="0.3">
      <c r="B293" s="2">
        <v>280</v>
      </c>
      <c r="C293" s="2">
        <f t="shared" si="24"/>
        <v>330000</v>
      </c>
      <c r="D293" s="4">
        <f t="shared" si="20"/>
        <v>720</v>
      </c>
      <c r="E293" s="4">
        <f t="shared" si="21"/>
        <v>10080</v>
      </c>
      <c r="F293" s="4">
        <f t="shared" si="22"/>
        <v>14000</v>
      </c>
      <c r="G293" s="4">
        <f t="shared" si="23"/>
        <v>-3920</v>
      </c>
    </row>
    <row r="294" spans="2:7" x14ac:dyDescent="0.3">
      <c r="B294" s="2">
        <v>281</v>
      </c>
      <c r="C294" s="2">
        <f t="shared" si="24"/>
        <v>331000</v>
      </c>
      <c r="D294" s="4">
        <f t="shared" si="20"/>
        <v>719</v>
      </c>
      <c r="E294" s="4">
        <f t="shared" si="21"/>
        <v>10081</v>
      </c>
      <c r="F294" s="4">
        <f t="shared" si="22"/>
        <v>14040</v>
      </c>
      <c r="G294" s="4">
        <f t="shared" si="23"/>
        <v>-3959</v>
      </c>
    </row>
    <row r="295" spans="2:7" x14ac:dyDescent="0.3">
      <c r="B295" s="2">
        <v>282</v>
      </c>
      <c r="C295" s="2">
        <f t="shared" si="24"/>
        <v>332000</v>
      </c>
      <c r="D295" s="4">
        <f t="shared" si="20"/>
        <v>718</v>
      </c>
      <c r="E295" s="4">
        <f t="shared" si="21"/>
        <v>10082</v>
      </c>
      <c r="F295" s="4">
        <f t="shared" si="22"/>
        <v>14080</v>
      </c>
      <c r="G295" s="4">
        <f t="shared" si="23"/>
        <v>-3998</v>
      </c>
    </row>
    <row r="296" spans="2:7" x14ac:dyDescent="0.3">
      <c r="B296" s="2">
        <v>283</v>
      </c>
      <c r="C296" s="2">
        <f t="shared" si="24"/>
        <v>333000</v>
      </c>
      <c r="D296" s="4">
        <f t="shared" si="20"/>
        <v>717</v>
      </c>
      <c r="E296" s="4">
        <f t="shared" si="21"/>
        <v>10083</v>
      </c>
      <c r="F296" s="4">
        <f t="shared" si="22"/>
        <v>14120</v>
      </c>
      <c r="G296" s="4">
        <f t="shared" si="23"/>
        <v>-4037</v>
      </c>
    </row>
    <row r="297" spans="2:7" x14ac:dyDescent="0.3">
      <c r="B297" s="2">
        <v>284</v>
      </c>
      <c r="C297" s="2">
        <f t="shared" si="24"/>
        <v>334000</v>
      </c>
      <c r="D297" s="4">
        <f t="shared" si="20"/>
        <v>716</v>
      </c>
      <c r="E297" s="4">
        <f t="shared" si="21"/>
        <v>10084</v>
      </c>
      <c r="F297" s="4">
        <f t="shared" si="22"/>
        <v>14160</v>
      </c>
      <c r="G297" s="4">
        <f t="shared" si="23"/>
        <v>-4076</v>
      </c>
    </row>
    <row r="298" spans="2:7" x14ac:dyDescent="0.3">
      <c r="B298" s="2">
        <v>285</v>
      </c>
      <c r="C298" s="2">
        <f t="shared" si="24"/>
        <v>335000</v>
      </c>
      <c r="D298" s="4">
        <f t="shared" si="20"/>
        <v>715</v>
      </c>
      <c r="E298" s="4">
        <f t="shared" si="21"/>
        <v>10085</v>
      </c>
      <c r="F298" s="4">
        <f t="shared" si="22"/>
        <v>14200</v>
      </c>
      <c r="G298" s="4">
        <f t="shared" si="23"/>
        <v>-4115</v>
      </c>
    </row>
    <row r="299" spans="2:7" x14ac:dyDescent="0.3">
      <c r="B299" s="2">
        <v>286</v>
      </c>
      <c r="C299" s="2">
        <f t="shared" si="24"/>
        <v>336000</v>
      </c>
      <c r="D299" s="4">
        <f t="shared" si="20"/>
        <v>714</v>
      </c>
      <c r="E299" s="4">
        <f t="shared" si="21"/>
        <v>10086</v>
      </c>
      <c r="F299" s="4">
        <f t="shared" si="22"/>
        <v>14240</v>
      </c>
      <c r="G299" s="4">
        <f t="shared" si="23"/>
        <v>-4154</v>
      </c>
    </row>
    <row r="300" spans="2:7" x14ac:dyDescent="0.3">
      <c r="B300" s="2">
        <v>287</v>
      </c>
      <c r="C300" s="2">
        <f t="shared" si="24"/>
        <v>337000</v>
      </c>
      <c r="D300" s="4">
        <f t="shared" si="20"/>
        <v>713</v>
      </c>
      <c r="E300" s="4">
        <f t="shared" si="21"/>
        <v>10087</v>
      </c>
      <c r="F300" s="4">
        <f t="shared" si="22"/>
        <v>14280</v>
      </c>
      <c r="G300" s="4">
        <f t="shared" si="23"/>
        <v>-4193</v>
      </c>
    </row>
    <row r="301" spans="2:7" x14ac:dyDescent="0.3">
      <c r="B301" s="2">
        <v>288</v>
      </c>
      <c r="C301" s="2">
        <f t="shared" si="24"/>
        <v>338000</v>
      </c>
      <c r="D301" s="4">
        <f t="shared" si="20"/>
        <v>712</v>
      </c>
      <c r="E301" s="4">
        <f t="shared" si="21"/>
        <v>10088</v>
      </c>
      <c r="F301" s="4">
        <f t="shared" si="22"/>
        <v>14320</v>
      </c>
      <c r="G301" s="4">
        <f t="shared" si="23"/>
        <v>-4232</v>
      </c>
    </row>
    <row r="302" spans="2:7" x14ac:dyDescent="0.3">
      <c r="B302" s="2">
        <v>289</v>
      </c>
      <c r="C302" s="2">
        <f t="shared" si="24"/>
        <v>339000</v>
      </c>
      <c r="D302" s="4">
        <f t="shared" si="20"/>
        <v>711</v>
      </c>
      <c r="E302" s="4">
        <f t="shared" si="21"/>
        <v>10089</v>
      </c>
      <c r="F302" s="4">
        <f t="shared" si="22"/>
        <v>14360</v>
      </c>
      <c r="G302" s="4">
        <f t="shared" si="23"/>
        <v>-4271</v>
      </c>
    </row>
    <row r="303" spans="2:7" x14ac:dyDescent="0.3">
      <c r="B303" s="2">
        <v>290</v>
      </c>
      <c r="C303" s="2">
        <f t="shared" si="24"/>
        <v>340000</v>
      </c>
      <c r="D303" s="4">
        <f t="shared" si="20"/>
        <v>710</v>
      </c>
      <c r="E303" s="4">
        <f t="shared" si="21"/>
        <v>10090</v>
      </c>
      <c r="F303" s="4">
        <f t="shared" si="22"/>
        <v>14400</v>
      </c>
      <c r="G303" s="4">
        <f t="shared" si="23"/>
        <v>-4310</v>
      </c>
    </row>
    <row r="304" spans="2:7" x14ac:dyDescent="0.3">
      <c r="B304" s="2">
        <v>291</v>
      </c>
      <c r="C304" s="2">
        <f t="shared" si="24"/>
        <v>341000</v>
      </c>
      <c r="D304" s="4">
        <f t="shared" si="20"/>
        <v>709</v>
      </c>
      <c r="E304" s="4">
        <f t="shared" si="21"/>
        <v>10091</v>
      </c>
      <c r="F304" s="4">
        <f t="shared" si="22"/>
        <v>14440</v>
      </c>
      <c r="G304" s="4">
        <f t="shared" si="23"/>
        <v>-4349</v>
      </c>
    </row>
    <row r="305" spans="2:7" x14ac:dyDescent="0.3">
      <c r="B305" s="2">
        <v>292</v>
      </c>
      <c r="C305" s="2">
        <f t="shared" si="24"/>
        <v>342000</v>
      </c>
      <c r="D305" s="4">
        <f t="shared" si="20"/>
        <v>708</v>
      </c>
      <c r="E305" s="4">
        <f t="shared" si="21"/>
        <v>10092</v>
      </c>
      <c r="F305" s="4">
        <f t="shared" si="22"/>
        <v>14480</v>
      </c>
      <c r="G305" s="4">
        <f t="shared" si="23"/>
        <v>-4388</v>
      </c>
    </row>
    <row r="306" spans="2:7" x14ac:dyDescent="0.3">
      <c r="B306" s="2">
        <v>293</v>
      </c>
      <c r="C306" s="2">
        <f t="shared" si="24"/>
        <v>343000</v>
      </c>
      <c r="D306" s="4">
        <f t="shared" si="20"/>
        <v>707</v>
      </c>
      <c r="E306" s="4">
        <f t="shared" si="21"/>
        <v>10093</v>
      </c>
      <c r="F306" s="4">
        <f t="shared" si="22"/>
        <v>14520</v>
      </c>
      <c r="G306" s="4">
        <f t="shared" si="23"/>
        <v>-4427</v>
      </c>
    </row>
    <row r="307" spans="2:7" x14ac:dyDescent="0.3">
      <c r="B307" s="2">
        <v>294</v>
      </c>
      <c r="C307" s="2">
        <f t="shared" si="24"/>
        <v>344000</v>
      </c>
      <c r="D307" s="4">
        <f t="shared" si="20"/>
        <v>706</v>
      </c>
      <c r="E307" s="4">
        <f t="shared" si="21"/>
        <v>10094</v>
      </c>
      <c r="F307" s="4">
        <f t="shared" si="22"/>
        <v>14560</v>
      </c>
      <c r="G307" s="4">
        <f t="shared" si="23"/>
        <v>-4466</v>
      </c>
    </row>
    <row r="308" spans="2:7" x14ac:dyDescent="0.3">
      <c r="B308" s="2">
        <v>295</v>
      </c>
      <c r="C308" s="2">
        <f t="shared" si="24"/>
        <v>345000</v>
      </c>
      <c r="D308" s="4">
        <f t="shared" si="20"/>
        <v>705</v>
      </c>
      <c r="E308" s="4">
        <f t="shared" si="21"/>
        <v>10095</v>
      </c>
      <c r="F308" s="4">
        <f t="shared" si="22"/>
        <v>14600</v>
      </c>
      <c r="G308" s="4">
        <f t="shared" si="23"/>
        <v>-4505</v>
      </c>
    </row>
    <row r="309" spans="2:7" x14ac:dyDescent="0.3">
      <c r="B309" s="2">
        <v>296</v>
      </c>
      <c r="C309" s="2">
        <f t="shared" si="24"/>
        <v>346000</v>
      </c>
      <c r="D309" s="4">
        <f t="shared" si="20"/>
        <v>704</v>
      </c>
      <c r="E309" s="4">
        <f t="shared" si="21"/>
        <v>10096</v>
      </c>
      <c r="F309" s="4">
        <f t="shared" si="22"/>
        <v>14640</v>
      </c>
      <c r="G309" s="4">
        <f t="shared" si="23"/>
        <v>-4544</v>
      </c>
    </row>
    <row r="310" spans="2:7" x14ac:dyDescent="0.3">
      <c r="B310" s="2">
        <v>297</v>
      </c>
      <c r="C310" s="2">
        <f t="shared" si="24"/>
        <v>347000</v>
      </c>
      <c r="D310" s="4">
        <f t="shared" si="20"/>
        <v>703</v>
      </c>
      <c r="E310" s="4">
        <f t="shared" si="21"/>
        <v>10097</v>
      </c>
      <c r="F310" s="4">
        <f t="shared" si="22"/>
        <v>14680</v>
      </c>
      <c r="G310" s="4">
        <f t="shared" si="23"/>
        <v>-4583</v>
      </c>
    </row>
    <row r="311" spans="2:7" x14ac:dyDescent="0.3">
      <c r="B311" s="2">
        <v>298</v>
      </c>
      <c r="C311" s="2">
        <f t="shared" si="24"/>
        <v>348000</v>
      </c>
      <c r="D311" s="4">
        <f t="shared" si="20"/>
        <v>702</v>
      </c>
      <c r="E311" s="4">
        <f t="shared" si="21"/>
        <v>10098</v>
      </c>
      <c r="F311" s="4">
        <f t="shared" si="22"/>
        <v>14720</v>
      </c>
      <c r="G311" s="4">
        <f t="shared" si="23"/>
        <v>-4622</v>
      </c>
    </row>
    <row r="312" spans="2:7" x14ac:dyDescent="0.3">
      <c r="B312" s="2">
        <v>299</v>
      </c>
      <c r="C312" s="2">
        <f t="shared" si="24"/>
        <v>349000</v>
      </c>
      <c r="D312" s="4">
        <f t="shared" si="20"/>
        <v>701</v>
      </c>
      <c r="E312" s="4">
        <f t="shared" si="21"/>
        <v>10099</v>
      </c>
      <c r="F312" s="4">
        <f t="shared" si="22"/>
        <v>14760</v>
      </c>
      <c r="G312" s="4">
        <f t="shared" si="23"/>
        <v>-4661</v>
      </c>
    </row>
    <row r="313" spans="2:7" x14ac:dyDescent="0.3">
      <c r="B313" s="2">
        <v>300</v>
      </c>
      <c r="C313" s="2">
        <f t="shared" si="24"/>
        <v>350000</v>
      </c>
      <c r="D313" s="4">
        <f t="shared" si="20"/>
        <v>700</v>
      </c>
      <c r="E313" s="4">
        <f t="shared" si="21"/>
        <v>10100</v>
      </c>
      <c r="F313" s="4">
        <f t="shared" si="22"/>
        <v>14800</v>
      </c>
      <c r="G313" s="4">
        <f t="shared" si="23"/>
        <v>-4700</v>
      </c>
    </row>
    <row r="314" spans="2:7" x14ac:dyDescent="0.3">
      <c r="B314" s="2">
        <v>301</v>
      </c>
      <c r="C314" s="2">
        <f t="shared" si="24"/>
        <v>351000</v>
      </c>
      <c r="D314" s="4">
        <f t="shared" si="20"/>
        <v>699</v>
      </c>
      <c r="E314" s="4">
        <f t="shared" si="21"/>
        <v>10101</v>
      </c>
      <c r="F314" s="4">
        <f t="shared" si="22"/>
        <v>14840</v>
      </c>
      <c r="G314" s="4">
        <f t="shared" si="23"/>
        <v>-4739</v>
      </c>
    </row>
    <row r="315" spans="2:7" x14ac:dyDescent="0.3">
      <c r="B315" s="2">
        <v>302</v>
      </c>
      <c r="C315" s="2">
        <f t="shared" si="24"/>
        <v>352000</v>
      </c>
      <c r="D315" s="4">
        <f t="shared" si="20"/>
        <v>698</v>
      </c>
      <c r="E315" s="4">
        <f t="shared" si="21"/>
        <v>10102</v>
      </c>
      <c r="F315" s="4">
        <f t="shared" si="22"/>
        <v>14880</v>
      </c>
      <c r="G315" s="4">
        <f t="shared" si="23"/>
        <v>-4778</v>
      </c>
    </row>
    <row r="316" spans="2:7" x14ac:dyDescent="0.3">
      <c r="B316" s="2">
        <v>303</v>
      </c>
      <c r="C316" s="2">
        <f t="shared" si="24"/>
        <v>353000</v>
      </c>
      <c r="D316" s="4">
        <f t="shared" si="20"/>
        <v>697</v>
      </c>
      <c r="E316" s="4">
        <f t="shared" si="21"/>
        <v>10103</v>
      </c>
      <c r="F316" s="4">
        <f t="shared" si="22"/>
        <v>14920</v>
      </c>
      <c r="G316" s="4">
        <f t="shared" si="23"/>
        <v>-4817</v>
      </c>
    </row>
    <row r="317" spans="2:7" x14ac:dyDescent="0.3">
      <c r="B317" s="2">
        <v>304</v>
      </c>
      <c r="C317" s="2">
        <f t="shared" si="24"/>
        <v>354000</v>
      </c>
      <c r="D317" s="4">
        <f t="shared" si="20"/>
        <v>696</v>
      </c>
      <c r="E317" s="4">
        <f t="shared" si="21"/>
        <v>10104</v>
      </c>
      <c r="F317" s="4">
        <f t="shared" si="22"/>
        <v>14960</v>
      </c>
      <c r="G317" s="4">
        <f t="shared" si="23"/>
        <v>-4856</v>
      </c>
    </row>
    <row r="318" spans="2:7" x14ac:dyDescent="0.3">
      <c r="B318" s="2">
        <v>305</v>
      </c>
      <c r="C318" s="2">
        <f t="shared" si="24"/>
        <v>355000</v>
      </c>
      <c r="D318" s="4">
        <f t="shared" si="20"/>
        <v>695</v>
      </c>
      <c r="E318" s="4">
        <f t="shared" si="21"/>
        <v>10105</v>
      </c>
      <c r="F318" s="4">
        <f t="shared" si="22"/>
        <v>15000</v>
      </c>
      <c r="G318" s="4">
        <f t="shared" si="23"/>
        <v>-4895</v>
      </c>
    </row>
    <row r="319" spans="2:7" x14ac:dyDescent="0.3">
      <c r="B319" s="2">
        <v>306</v>
      </c>
      <c r="C319" s="2">
        <f t="shared" si="24"/>
        <v>356000</v>
      </c>
      <c r="D319" s="4">
        <f t="shared" si="20"/>
        <v>694</v>
      </c>
      <c r="E319" s="4">
        <f t="shared" si="21"/>
        <v>10106</v>
      </c>
      <c r="F319" s="4">
        <f t="shared" si="22"/>
        <v>15040</v>
      </c>
      <c r="G319" s="4">
        <f t="shared" si="23"/>
        <v>-4934</v>
      </c>
    </row>
    <row r="320" spans="2:7" x14ac:dyDescent="0.3">
      <c r="B320" s="2">
        <v>307</v>
      </c>
      <c r="C320" s="2">
        <f t="shared" si="24"/>
        <v>357000</v>
      </c>
      <c r="D320" s="4">
        <f t="shared" si="20"/>
        <v>693</v>
      </c>
      <c r="E320" s="4">
        <f t="shared" si="21"/>
        <v>10107</v>
      </c>
      <c r="F320" s="4">
        <f t="shared" si="22"/>
        <v>15080</v>
      </c>
      <c r="G320" s="4">
        <f t="shared" si="23"/>
        <v>-4973</v>
      </c>
    </row>
    <row r="321" spans="2:7" x14ac:dyDescent="0.3">
      <c r="B321" s="2">
        <v>308</v>
      </c>
      <c r="C321" s="2">
        <f t="shared" si="24"/>
        <v>358000</v>
      </c>
      <c r="D321" s="4">
        <f t="shared" si="20"/>
        <v>692</v>
      </c>
      <c r="E321" s="4">
        <f t="shared" si="21"/>
        <v>10108</v>
      </c>
      <c r="F321" s="4">
        <f t="shared" si="22"/>
        <v>15120</v>
      </c>
      <c r="G321" s="4">
        <f t="shared" si="23"/>
        <v>-5012</v>
      </c>
    </row>
    <row r="322" spans="2:7" x14ac:dyDescent="0.3">
      <c r="B322" s="2">
        <v>309</v>
      </c>
      <c r="C322" s="2">
        <f t="shared" si="24"/>
        <v>359000</v>
      </c>
      <c r="D322" s="4">
        <f t="shared" si="20"/>
        <v>691</v>
      </c>
      <c r="E322" s="4">
        <f t="shared" si="21"/>
        <v>10109</v>
      </c>
      <c r="F322" s="4">
        <f t="shared" si="22"/>
        <v>15160</v>
      </c>
      <c r="G322" s="4">
        <f t="shared" si="23"/>
        <v>-5051</v>
      </c>
    </row>
    <row r="323" spans="2:7" x14ac:dyDescent="0.3">
      <c r="B323" s="2">
        <v>310</v>
      </c>
      <c r="C323" s="2">
        <f t="shared" si="24"/>
        <v>360000</v>
      </c>
      <c r="D323" s="4">
        <f t="shared" si="20"/>
        <v>690</v>
      </c>
      <c r="E323" s="4">
        <f t="shared" si="21"/>
        <v>10110</v>
      </c>
      <c r="F323" s="4">
        <f t="shared" si="22"/>
        <v>15200</v>
      </c>
      <c r="G323" s="4">
        <f t="shared" si="23"/>
        <v>-5090</v>
      </c>
    </row>
    <row r="324" spans="2:7" x14ac:dyDescent="0.3">
      <c r="B324" s="2">
        <v>311</v>
      </c>
      <c r="C324" s="2">
        <f t="shared" si="24"/>
        <v>361000</v>
      </c>
      <c r="D324" s="4">
        <f t="shared" si="20"/>
        <v>689</v>
      </c>
      <c r="E324" s="4">
        <f t="shared" si="21"/>
        <v>10111</v>
      </c>
      <c r="F324" s="4">
        <f t="shared" si="22"/>
        <v>15240</v>
      </c>
      <c r="G324" s="4">
        <f t="shared" si="23"/>
        <v>-5129</v>
      </c>
    </row>
    <row r="325" spans="2:7" x14ac:dyDescent="0.3">
      <c r="B325" s="2">
        <v>312</v>
      </c>
      <c r="C325" s="2">
        <f t="shared" si="24"/>
        <v>362000</v>
      </c>
      <c r="D325" s="4">
        <f t="shared" si="20"/>
        <v>688</v>
      </c>
      <c r="E325" s="4">
        <f t="shared" si="21"/>
        <v>10112</v>
      </c>
      <c r="F325" s="4">
        <f t="shared" si="22"/>
        <v>15280</v>
      </c>
      <c r="G325" s="4">
        <f t="shared" si="23"/>
        <v>-5168</v>
      </c>
    </row>
    <row r="326" spans="2:7" x14ac:dyDescent="0.3">
      <c r="B326" s="2">
        <v>313</v>
      </c>
      <c r="C326" s="2">
        <f t="shared" si="24"/>
        <v>363000</v>
      </c>
      <c r="D326" s="4">
        <f t="shared" si="20"/>
        <v>687</v>
      </c>
      <c r="E326" s="4">
        <f t="shared" si="21"/>
        <v>10113</v>
      </c>
      <c r="F326" s="4">
        <f t="shared" si="22"/>
        <v>15320</v>
      </c>
      <c r="G326" s="4">
        <f t="shared" si="23"/>
        <v>-5207</v>
      </c>
    </row>
    <row r="327" spans="2:7" x14ac:dyDescent="0.3">
      <c r="B327" s="2">
        <v>314</v>
      </c>
      <c r="C327" s="2">
        <f t="shared" si="24"/>
        <v>364000</v>
      </c>
      <c r="D327" s="4">
        <f t="shared" si="20"/>
        <v>686</v>
      </c>
      <c r="E327" s="4">
        <f t="shared" si="21"/>
        <v>10114</v>
      </c>
      <c r="F327" s="4">
        <f t="shared" si="22"/>
        <v>15360</v>
      </c>
      <c r="G327" s="4">
        <f t="shared" si="23"/>
        <v>-5246</v>
      </c>
    </row>
    <row r="328" spans="2:7" x14ac:dyDescent="0.3">
      <c r="B328" s="2">
        <v>315</v>
      </c>
      <c r="C328" s="2">
        <f t="shared" si="24"/>
        <v>365000</v>
      </c>
      <c r="D328" s="4">
        <f t="shared" si="20"/>
        <v>685</v>
      </c>
      <c r="E328" s="4">
        <f t="shared" si="21"/>
        <v>10115</v>
      </c>
      <c r="F328" s="4">
        <f t="shared" si="22"/>
        <v>15400</v>
      </c>
      <c r="G328" s="4">
        <f t="shared" si="23"/>
        <v>-5285</v>
      </c>
    </row>
    <row r="329" spans="2:7" x14ac:dyDescent="0.3">
      <c r="B329" s="2">
        <v>316</v>
      </c>
      <c r="C329" s="2">
        <f t="shared" si="24"/>
        <v>366000</v>
      </c>
      <c r="D329" s="4">
        <f t="shared" si="20"/>
        <v>684</v>
      </c>
      <c r="E329" s="4">
        <f t="shared" si="21"/>
        <v>10116</v>
      </c>
      <c r="F329" s="4">
        <f t="shared" si="22"/>
        <v>15440</v>
      </c>
      <c r="G329" s="4">
        <f t="shared" si="23"/>
        <v>-5324</v>
      </c>
    </row>
    <row r="330" spans="2:7" x14ac:dyDescent="0.3">
      <c r="B330" s="2">
        <v>317</v>
      </c>
      <c r="C330" s="2">
        <f t="shared" si="24"/>
        <v>367000</v>
      </c>
      <c r="D330" s="4">
        <f t="shared" si="20"/>
        <v>683</v>
      </c>
      <c r="E330" s="4">
        <f t="shared" si="21"/>
        <v>10117</v>
      </c>
      <c r="F330" s="4">
        <f t="shared" si="22"/>
        <v>15480</v>
      </c>
      <c r="G330" s="4">
        <f t="shared" si="23"/>
        <v>-5363</v>
      </c>
    </row>
    <row r="331" spans="2:7" x14ac:dyDescent="0.3">
      <c r="B331" s="2">
        <v>318</v>
      </c>
      <c r="C331" s="2">
        <f t="shared" si="24"/>
        <v>368000</v>
      </c>
      <c r="D331" s="4">
        <f t="shared" si="20"/>
        <v>682</v>
      </c>
      <c r="E331" s="4">
        <f t="shared" si="21"/>
        <v>10118</v>
      </c>
      <c r="F331" s="4">
        <f t="shared" si="22"/>
        <v>15520</v>
      </c>
      <c r="G331" s="4">
        <f t="shared" si="23"/>
        <v>-5402</v>
      </c>
    </row>
    <row r="332" spans="2:7" x14ac:dyDescent="0.3">
      <c r="B332" s="2">
        <v>319</v>
      </c>
      <c r="C332" s="2">
        <f t="shared" si="24"/>
        <v>369000</v>
      </c>
      <c r="D332" s="4">
        <f t="shared" si="20"/>
        <v>681</v>
      </c>
      <c r="E332" s="4">
        <f t="shared" si="21"/>
        <v>10119</v>
      </c>
      <c r="F332" s="4">
        <f t="shared" si="22"/>
        <v>15560</v>
      </c>
      <c r="G332" s="4">
        <f t="shared" si="23"/>
        <v>-5441</v>
      </c>
    </row>
    <row r="333" spans="2:7" x14ac:dyDescent="0.3">
      <c r="B333" s="2">
        <v>320</v>
      </c>
      <c r="C333" s="2">
        <f t="shared" si="24"/>
        <v>370000</v>
      </c>
      <c r="D333" s="4">
        <f t="shared" si="20"/>
        <v>680</v>
      </c>
      <c r="E333" s="4">
        <f t="shared" si="21"/>
        <v>10120</v>
      </c>
      <c r="F333" s="4">
        <f t="shared" si="22"/>
        <v>15600</v>
      </c>
      <c r="G333" s="4">
        <f t="shared" si="23"/>
        <v>-5480</v>
      </c>
    </row>
    <row r="334" spans="2:7" x14ac:dyDescent="0.3">
      <c r="B334" s="2">
        <v>321</v>
      </c>
      <c r="C334" s="2">
        <f t="shared" si="24"/>
        <v>371000</v>
      </c>
      <c r="D334" s="4">
        <f t="shared" ref="D334:D397" si="25">IF(C334&lt;=50000,$C$5,$C$5-((C334-50000)/1000)*$C$7)</f>
        <v>679</v>
      </c>
      <c r="E334" s="4">
        <f t="shared" ref="E334:E397" si="26">$C$3+$C$4*$C$6-D334</f>
        <v>10121</v>
      </c>
      <c r="F334" s="4">
        <f t="shared" ref="F334:F397" si="27">$F$3*$C$7+$F$4*C334</f>
        <v>15640</v>
      </c>
      <c r="G334" s="4">
        <f t="shared" ref="G334:G397" si="28">E334-F334</f>
        <v>-5519</v>
      </c>
    </row>
    <row r="335" spans="2:7" x14ac:dyDescent="0.3">
      <c r="B335" s="2">
        <v>322</v>
      </c>
      <c r="C335" s="2">
        <f t="shared" ref="C335:C398" si="29">$C$8+(B335*1000)</f>
        <v>372000</v>
      </c>
      <c r="D335" s="4">
        <f t="shared" si="25"/>
        <v>678</v>
      </c>
      <c r="E335" s="4">
        <f t="shared" si="26"/>
        <v>10122</v>
      </c>
      <c r="F335" s="4">
        <f t="shared" si="27"/>
        <v>15680</v>
      </c>
      <c r="G335" s="4">
        <f t="shared" si="28"/>
        <v>-5558</v>
      </c>
    </row>
    <row r="336" spans="2:7" x14ac:dyDescent="0.3">
      <c r="B336" s="2">
        <v>323</v>
      </c>
      <c r="C336" s="2">
        <f t="shared" si="29"/>
        <v>373000</v>
      </c>
      <c r="D336" s="4">
        <f t="shared" si="25"/>
        <v>677</v>
      </c>
      <c r="E336" s="4">
        <f t="shared" si="26"/>
        <v>10123</v>
      </c>
      <c r="F336" s="4">
        <f t="shared" si="27"/>
        <v>15720</v>
      </c>
      <c r="G336" s="4">
        <f t="shared" si="28"/>
        <v>-5597</v>
      </c>
    </row>
    <row r="337" spans="2:7" x14ac:dyDescent="0.3">
      <c r="B337" s="2">
        <v>324</v>
      </c>
      <c r="C337" s="2">
        <f t="shared" si="29"/>
        <v>374000</v>
      </c>
      <c r="D337" s="4">
        <f t="shared" si="25"/>
        <v>676</v>
      </c>
      <c r="E337" s="4">
        <f t="shared" si="26"/>
        <v>10124</v>
      </c>
      <c r="F337" s="4">
        <f t="shared" si="27"/>
        <v>15760</v>
      </c>
      <c r="G337" s="4">
        <f t="shared" si="28"/>
        <v>-5636</v>
      </c>
    </row>
    <row r="338" spans="2:7" x14ac:dyDescent="0.3">
      <c r="B338" s="2">
        <v>325</v>
      </c>
      <c r="C338" s="2">
        <f t="shared" si="29"/>
        <v>375000</v>
      </c>
      <c r="D338" s="4">
        <f t="shared" si="25"/>
        <v>675</v>
      </c>
      <c r="E338" s="4">
        <f t="shared" si="26"/>
        <v>10125</v>
      </c>
      <c r="F338" s="4">
        <f t="shared" si="27"/>
        <v>15800</v>
      </c>
      <c r="G338" s="4">
        <f t="shared" si="28"/>
        <v>-5675</v>
      </c>
    </row>
    <row r="339" spans="2:7" x14ac:dyDescent="0.3">
      <c r="B339" s="2">
        <v>326</v>
      </c>
      <c r="C339" s="2">
        <f t="shared" si="29"/>
        <v>376000</v>
      </c>
      <c r="D339" s="4">
        <f t="shared" si="25"/>
        <v>674</v>
      </c>
      <c r="E339" s="4">
        <f t="shared" si="26"/>
        <v>10126</v>
      </c>
      <c r="F339" s="4">
        <f t="shared" si="27"/>
        <v>15840</v>
      </c>
      <c r="G339" s="4">
        <f t="shared" si="28"/>
        <v>-5714</v>
      </c>
    </row>
    <row r="340" spans="2:7" x14ac:dyDescent="0.3">
      <c r="B340" s="2">
        <v>327</v>
      </c>
      <c r="C340" s="2">
        <f t="shared" si="29"/>
        <v>377000</v>
      </c>
      <c r="D340" s="4">
        <f t="shared" si="25"/>
        <v>673</v>
      </c>
      <c r="E340" s="4">
        <f t="shared" si="26"/>
        <v>10127</v>
      </c>
      <c r="F340" s="4">
        <f t="shared" si="27"/>
        <v>15880</v>
      </c>
      <c r="G340" s="4">
        <f t="shared" si="28"/>
        <v>-5753</v>
      </c>
    </row>
    <row r="341" spans="2:7" x14ac:dyDescent="0.3">
      <c r="B341" s="2">
        <v>328</v>
      </c>
      <c r="C341" s="2">
        <f t="shared" si="29"/>
        <v>378000</v>
      </c>
      <c r="D341" s="4">
        <f t="shared" si="25"/>
        <v>672</v>
      </c>
      <c r="E341" s="4">
        <f t="shared" si="26"/>
        <v>10128</v>
      </c>
      <c r="F341" s="4">
        <f t="shared" si="27"/>
        <v>15920</v>
      </c>
      <c r="G341" s="4">
        <f t="shared" si="28"/>
        <v>-5792</v>
      </c>
    </row>
    <row r="342" spans="2:7" x14ac:dyDescent="0.3">
      <c r="B342" s="2">
        <v>329</v>
      </c>
      <c r="C342" s="2">
        <f t="shared" si="29"/>
        <v>379000</v>
      </c>
      <c r="D342" s="4">
        <f t="shared" si="25"/>
        <v>671</v>
      </c>
      <c r="E342" s="4">
        <f t="shared" si="26"/>
        <v>10129</v>
      </c>
      <c r="F342" s="4">
        <f t="shared" si="27"/>
        <v>15960</v>
      </c>
      <c r="G342" s="4">
        <f t="shared" si="28"/>
        <v>-5831</v>
      </c>
    </row>
    <row r="343" spans="2:7" x14ac:dyDescent="0.3">
      <c r="B343" s="2">
        <v>330</v>
      </c>
      <c r="C343" s="2">
        <f t="shared" si="29"/>
        <v>380000</v>
      </c>
      <c r="D343" s="4">
        <f t="shared" si="25"/>
        <v>670</v>
      </c>
      <c r="E343" s="4">
        <f t="shared" si="26"/>
        <v>10130</v>
      </c>
      <c r="F343" s="4">
        <f t="shared" si="27"/>
        <v>16000</v>
      </c>
      <c r="G343" s="4">
        <f t="shared" si="28"/>
        <v>-5870</v>
      </c>
    </row>
    <row r="344" spans="2:7" x14ac:dyDescent="0.3">
      <c r="B344" s="2">
        <v>331</v>
      </c>
      <c r="C344" s="2">
        <f t="shared" si="29"/>
        <v>381000</v>
      </c>
      <c r="D344" s="4">
        <f t="shared" si="25"/>
        <v>669</v>
      </c>
      <c r="E344" s="4">
        <f t="shared" si="26"/>
        <v>10131</v>
      </c>
      <c r="F344" s="4">
        <f t="shared" si="27"/>
        <v>16040</v>
      </c>
      <c r="G344" s="4">
        <f t="shared" si="28"/>
        <v>-5909</v>
      </c>
    </row>
    <row r="345" spans="2:7" x14ac:dyDescent="0.3">
      <c r="B345" s="2">
        <v>332</v>
      </c>
      <c r="C345" s="2">
        <f t="shared" si="29"/>
        <v>382000</v>
      </c>
      <c r="D345" s="4">
        <f t="shared" si="25"/>
        <v>668</v>
      </c>
      <c r="E345" s="4">
        <f t="shared" si="26"/>
        <v>10132</v>
      </c>
      <c r="F345" s="4">
        <f t="shared" si="27"/>
        <v>16080</v>
      </c>
      <c r="G345" s="4">
        <f t="shared" si="28"/>
        <v>-5948</v>
      </c>
    </row>
    <row r="346" spans="2:7" x14ac:dyDescent="0.3">
      <c r="B346" s="2">
        <v>333</v>
      </c>
      <c r="C346" s="2">
        <f t="shared" si="29"/>
        <v>383000</v>
      </c>
      <c r="D346" s="4">
        <f t="shared" si="25"/>
        <v>667</v>
      </c>
      <c r="E346" s="4">
        <f t="shared" si="26"/>
        <v>10133</v>
      </c>
      <c r="F346" s="4">
        <f t="shared" si="27"/>
        <v>16120</v>
      </c>
      <c r="G346" s="4">
        <f t="shared" si="28"/>
        <v>-5987</v>
      </c>
    </row>
    <row r="347" spans="2:7" x14ac:dyDescent="0.3">
      <c r="B347" s="2">
        <v>334</v>
      </c>
      <c r="C347" s="2">
        <f t="shared" si="29"/>
        <v>384000</v>
      </c>
      <c r="D347" s="4">
        <f t="shared" si="25"/>
        <v>666</v>
      </c>
      <c r="E347" s="4">
        <f t="shared" si="26"/>
        <v>10134</v>
      </c>
      <c r="F347" s="4">
        <f t="shared" si="27"/>
        <v>16160</v>
      </c>
      <c r="G347" s="4">
        <f t="shared" si="28"/>
        <v>-6026</v>
      </c>
    </row>
    <row r="348" spans="2:7" x14ac:dyDescent="0.3">
      <c r="B348" s="2">
        <v>335</v>
      </c>
      <c r="C348" s="2">
        <f t="shared" si="29"/>
        <v>385000</v>
      </c>
      <c r="D348" s="4">
        <f t="shared" si="25"/>
        <v>665</v>
      </c>
      <c r="E348" s="4">
        <f t="shared" si="26"/>
        <v>10135</v>
      </c>
      <c r="F348" s="4">
        <f t="shared" si="27"/>
        <v>16200</v>
      </c>
      <c r="G348" s="4">
        <f t="shared" si="28"/>
        <v>-6065</v>
      </c>
    </row>
    <row r="349" spans="2:7" x14ac:dyDescent="0.3">
      <c r="B349" s="2">
        <v>336</v>
      </c>
      <c r="C349" s="2">
        <f t="shared" si="29"/>
        <v>386000</v>
      </c>
      <c r="D349" s="4">
        <f t="shared" si="25"/>
        <v>664</v>
      </c>
      <c r="E349" s="4">
        <f t="shared" si="26"/>
        <v>10136</v>
      </c>
      <c r="F349" s="4">
        <f t="shared" si="27"/>
        <v>16240</v>
      </c>
      <c r="G349" s="4">
        <f t="shared" si="28"/>
        <v>-6104</v>
      </c>
    </row>
    <row r="350" spans="2:7" x14ac:dyDescent="0.3">
      <c r="B350" s="2">
        <v>337</v>
      </c>
      <c r="C350" s="2">
        <f t="shared" si="29"/>
        <v>387000</v>
      </c>
      <c r="D350" s="4">
        <f t="shared" si="25"/>
        <v>663</v>
      </c>
      <c r="E350" s="4">
        <f t="shared" si="26"/>
        <v>10137</v>
      </c>
      <c r="F350" s="4">
        <f t="shared" si="27"/>
        <v>16280</v>
      </c>
      <c r="G350" s="4">
        <f t="shared" si="28"/>
        <v>-6143</v>
      </c>
    </row>
    <row r="351" spans="2:7" x14ac:dyDescent="0.3">
      <c r="B351" s="2">
        <v>338</v>
      </c>
      <c r="C351" s="2">
        <f t="shared" si="29"/>
        <v>388000</v>
      </c>
      <c r="D351" s="4">
        <f t="shared" si="25"/>
        <v>662</v>
      </c>
      <c r="E351" s="4">
        <f t="shared" si="26"/>
        <v>10138</v>
      </c>
      <c r="F351" s="4">
        <f t="shared" si="27"/>
        <v>16320</v>
      </c>
      <c r="G351" s="4">
        <f t="shared" si="28"/>
        <v>-6182</v>
      </c>
    </row>
    <row r="352" spans="2:7" x14ac:dyDescent="0.3">
      <c r="B352" s="2">
        <v>339</v>
      </c>
      <c r="C352" s="2">
        <f t="shared" si="29"/>
        <v>389000</v>
      </c>
      <c r="D352" s="4">
        <f t="shared" si="25"/>
        <v>661</v>
      </c>
      <c r="E352" s="4">
        <f t="shared" si="26"/>
        <v>10139</v>
      </c>
      <c r="F352" s="4">
        <f t="shared" si="27"/>
        <v>16360</v>
      </c>
      <c r="G352" s="4">
        <f t="shared" si="28"/>
        <v>-6221</v>
      </c>
    </row>
    <row r="353" spans="2:7" x14ac:dyDescent="0.3">
      <c r="B353" s="2">
        <v>340</v>
      </c>
      <c r="C353" s="2">
        <f t="shared" si="29"/>
        <v>390000</v>
      </c>
      <c r="D353" s="4">
        <f t="shared" si="25"/>
        <v>660</v>
      </c>
      <c r="E353" s="4">
        <f t="shared" si="26"/>
        <v>10140</v>
      </c>
      <c r="F353" s="4">
        <f t="shared" si="27"/>
        <v>16400</v>
      </c>
      <c r="G353" s="4">
        <f t="shared" si="28"/>
        <v>-6260</v>
      </c>
    </row>
    <row r="354" spans="2:7" x14ac:dyDescent="0.3">
      <c r="B354" s="2">
        <v>341</v>
      </c>
      <c r="C354" s="2">
        <f t="shared" si="29"/>
        <v>391000</v>
      </c>
      <c r="D354" s="4">
        <f t="shared" si="25"/>
        <v>659</v>
      </c>
      <c r="E354" s="4">
        <f t="shared" si="26"/>
        <v>10141</v>
      </c>
      <c r="F354" s="4">
        <f t="shared" si="27"/>
        <v>16440</v>
      </c>
      <c r="G354" s="4">
        <f t="shared" si="28"/>
        <v>-6299</v>
      </c>
    </row>
    <row r="355" spans="2:7" x14ac:dyDescent="0.3">
      <c r="B355" s="2">
        <v>342</v>
      </c>
      <c r="C355" s="2">
        <f t="shared" si="29"/>
        <v>392000</v>
      </c>
      <c r="D355" s="4">
        <f t="shared" si="25"/>
        <v>658</v>
      </c>
      <c r="E355" s="4">
        <f t="shared" si="26"/>
        <v>10142</v>
      </c>
      <c r="F355" s="4">
        <f t="shared" si="27"/>
        <v>16480</v>
      </c>
      <c r="G355" s="4">
        <f t="shared" si="28"/>
        <v>-6338</v>
      </c>
    </row>
    <row r="356" spans="2:7" x14ac:dyDescent="0.3">
      <c r="B356" s="2">
        <v>343</v>
      </c>
      <c r="C356" s="2">
        <f t="shared" si="29"/>
        <v>393000</v>
      </c>
      <c r="D356" s="4">
        <f t="shared" si="25"/>
        <v>657</v>
      </c>
      <c r="E356" s="4">
        <f t="shared" si="26"/>
        <v>10143</v>
      </c>
      <c r="F356" s="4">
        <f t="shared" si="27"/>
        <v>16520</v>
      </c>
      <c r="G356" s="4">
        <f t="shared" si="28"/>
        <v>-6377</v>
      </c>
    </row>
    <row r="357" spans="2:7" x14ac:dyDescent="0.3">
      <c r="B357" s="2">
        <v>344</v>
      </c>
      <c r="C357" s="2">
        <f t="shared" si="29"/>
        <v>394000</v>
      </c>
      <c r="D357" s="4">
        <f t="shared" si="25"/>
        <v>656</v>
      </c>
      <c r="E357" s="4">
        <f t="shared" si="26"/>
        <v>10144</v>
      </c>
      <c r="F357" s="4">
        <f t="shared" si="27"/>
        <v>16560</v>
      </c>
      <c r="G357" s="4">
        <f t="shared" si="28"/>
        <v>-6416</v>
      </c>
    </row>
    <row r="358" spans="2:7" x14ac:dyDescent="0.3">
      <c r="B358" s="2">
        <v>345</v>
      </c>
      <c r="C358" s="2">
        <f t="shared" si="29"/>
        <v>395000</v>
      </c>
      <c r="D358" s="4">
        <f t="shared" si="25"/>
        <v>655</v>
      </c>
      <c r="E358" s="4">
        <f t="shared" si="26"/>
        <v>10145</v>
      </c>
      <c r="F358" s="4">
        <f t="shared" si="27"/>
        <v>16600</v>
      </c>
      <c r="G358" s="4">
        <f t="shared" si="28"/>
        <v>-6455</v>
      </c>
    </row>
    <row r="359" spans="2:7" x14ac:dyDescent="0.3">
      <c r="B359" s="2">
        <v>346</v>
      </c>
      <c r="C359" s="2">
        <f t="shared" si="29"/>
        <v>396000</v>
      </c>
      <c r="D359" s="4">
        <f t="shared" si="25"/>
        <v>654</v>
      </c>
      <c r="E359" s="4">
        <f t="shared" si="26"/>
        <v>10146</v>
      </c>
      <c r="F359" s="4">
        <f t="shared" si="27"/>
        <v>16640</v>
      </c>
      <c r="G359" s="4">
        <f t="shared" si="28"/>
        <v>-6494</v>
      </c>
    </row>
    <row r="360" spans="2:7" x14ac:dyDescent="0.3">
      <c r="B360" s="2">
        <v>347</v>
      </c>
      <c r="C360" s="2">
        <f t="shared" si="29"/>
        <v>397000</v>
      </c>
      <c r="D360" s="4">
        <f t="shared" si="25"/>
        <v>653</v>
      </c>
      <c r="E360" s="4">
        <f t="shared" si="26"/>
        <v>10147</v>
      </c>
      <c r="F360" s="4">
        <f t="shared" si="27"/>
        <v>16680</v>
      </c>
      <c r="G360" s="4">
        <f t="shared" si="28"/>
        <v>-6533</v>
      </c>
    </row>
    <row r="361" spans="2:7" x14ac:dyDescent="0.3">
      <c r="B361" s="2">
        <v>348</v>
      </c>
      <c r="C361" s="2">
        <f t="shared" si="29"/>
        <v>398000</v>
      </c>
      <c r="D361" s="4">
        <f t="shared" si="25"/>
        <v>652</v>
      </c>
      <c r="E361" s="4">
        <f t="shared" si="26"/>
        <v>10148</v>
      </c>
      <c r="F361" s="4">
        <f t="shared" si="27"/>
        <v>16720</v>
      </c>
      <c r="G361" s="4">
        <f t="shared" si="28"/>
        <v>-6572</v>
      </c>
    </row>
    <row r="362" spans="2:7" x14ac:dyDescent="0.3">
      <c r="B362" s="2">
        <v>349</v>
      </c>
      <c r="C362" s="2">
        <f t="shared" si="29"/>
        <v>399000</v>
      </c>
      <c r="D362" s="4">
        <f t="shared" si="25"/>
        <v>651</v>
      </c>
      <c r="E362" s="4">
        <f t="shared" si="26"/>
        <v>10149</v>
      </c>
      <c r="F362" s="4">
        <f t="shared" si="27"/>
        <v>16760</v>
      </c>
      <c r="G362" s="4">
        <f t="shared" si="28"/>
        <v>-6611</v>
      </c>
    </row>
    <row r="363" spans="2:7" x14ac:dyDescent="0.3">
      <c r="B363" s="2">
        <v>350</v>
      </c>
      <c r="C363" s="2">
        <f t="shared" si="29"/>
        <v>400000</v>
      </c>
      <c r="D363" s="4">
        <f t="shared" si="25"/>
        <v>650</v>
      </c>
      <c r="E363" s="4">
        <f t="shared" si="26"/>
        <v>10150</v>
      </c>
      <c r="F363" s="4">
        <f t="shared" si="27"/>
        <v>16800</v>
      </c>
      <c r="G363" s="4">
        <f t="shared" si="28"/>
        <v>-6650</v>
      </c>
    </row>
    <row r="364" spans="2:7" x14ac:dyDescent="0.3">
      <c r="B364" s="2">
        <v>351</v>
      </c>
      <c r="C364" s="2">
        <f t="shared" si="29"/>
        <v>401000</v>
      </c>
      <c r="D364" s="4">
        <f t="shared" si="25"/>
        <v>649</v>
      </c>
      <c r="E364" s="4">
        <f t="shared" si="26"/>
        <v>10151</v>
      </c>
      <c r="F364" s="4">
        <f t="shared" si="27"/>
        <v>16840</v>
      </c>
      <c r="G364" s="4">
        <f t="shared" si="28"/>
        <v>-6689</v>
      </c>
    </row>
    <row r="365" spans="2:7" x14ac:dyDescent="0.3">
      <c r="B365" s="2">
        <v>352</v>
      </c>
      <c r="C365" s="2">
        <f t="shared" si="29"/>
        <v>402000</v>
      </c>
      <c r="D365" s="4">
        <f t="shared" si="25"/>
        <v>648</v>
      </c>
      <c r="E365" s="4">
        <f t="shared" si="26"/>
        <v>10152</v>
      </c>
      <c r="F365" s="4">
        <f t="shared" si="27"/>
        <v>16880</v>
      </c>
      <c r="G365" s="4">
        <f t="shared" si="28"/>
        <v>-6728</v>
      </c>
    </row>
    <row r="366" spans="2:7" x14ac:dyDescent="0.3">
      <c r="B366" s="2">
        <v>353</v>
      </c>
      <c r="C366" s="2">
        <f t="shared" si="29"/>
        <v>403000</v>
      </c>
      <c r="D366" s="4">
        <f t="shared" si="25"/>
        <v>647</v>
      </c>
      <c r="E366" s="4">
        <f t="shared" si="26"/>
        <v>10153</v>
      </c>
      <c r="F366" s="4">
        <f t="shared" si="27"/>
        <v>16920</v>
      </c>
      <c r="G366" s="4">
        <f t="shared" si="28"/>
        <v>-6767</v>
      </c>
    </row>
    <row r="367" spans="2:7" x14ac:dyDescent="0.3">
      <c r="B367" s="2">
        <v>354</v>
      </c>
      <c r="C367" s="2">
        <f t="shared" si="29"/>
        <v>404000</v>
      </c>
      <c r="D367" s="4">
        <f t="shared" si="25"/>
        <v>646</v>
      </c>
      <c r="E367" s="4">
        <f t="shared" si="26"/>
        <v>10154</v>
      </c>
      <c r="F367" s="4">
        <f t="shared" si="27"/>
        <v>16960</v>
      </c>
      <c r="G367" s="4">
        <f t="shared" si="28"/>
        <v>-6806</v>
      </c>
    </row>
    <row r="368" spans="2:7" x14ac:dyDescent="0.3">
      <c r="B368" s="2">
        <v>355</v>
      </c>
      <c r="C368" s="2">
        <f t="shared" si="29"/>
        <v>405000</v>
      </c>
      <c r="D368" s="4">
        <f t="shared" si="25"/>
        <v>645</v>
      </c>
      <c r="E368" s="4">
        <f t="shared" si="26"/>
        <v>10155</v>
      </c>
      <c r="F368" s="4">
        <f t="shared" si="27"/>
        <v>17000</v>
      </c>
      <c r="G368" s="4">
        <f t="shared" si="28"/>
        <v>-6845</v>
      </c>
    </row>
    <row r="369" spans="2:7" x14ac:dyDescent="0.3">
      <c r="B369" s="2">
        <v>356</v>
      </c>
      <c r="C369" s="2">
        <f t="shared" si="29"/>
        <v>406000</v>
      </c>
      <c r="D369" s="4">
        <f t="shared" si="25"/>
        <v>644</v>
      </c>
      <c r="E369" s="4">
        <f t="shared" si="26"/>
        <v>10156</v>
      </c>
      <c r="F369" s="4">
        <f t="shared" si="27"/>
        <v>17040</v>
      </c>
      <c r="G369" s="4">
        <f t="shared" si="28"/>
        <v>-6884</v>
      </c>
    </row>
    <row r="370" spans="2:7" x14ac:dyDescent="0.3">
      <c r="B370" s="2">
        <v>357</v>
      </c>
      <c r="C370" s="2">
        <f t="shared" si="29"/>
        <v>407000</v>
      </c>
      <c r="D370" s="4">
        <f t="shared" si="25"/>
        <v>643</v>
      </c>
      <c r="E370" s="4">
        <f t="shared" si="26"/>
        <v>10157</v>
      </c>
      <c r="F370" s="4">
        <f t="shared" si="27"/>
        <v>17080</v>
      </c>
      <c r="G370" s="4">
        <f t="shared" si="28"/>
        <v>-6923</v>
      </c>
    </row>
    <row r="371" spans="2:7" x14ac:dyDescent="0.3">
      <c r="B371" s="2">
        <v>358</v>
      </c>
      <c r="C371" s="2">
        <f t="shared" si="29"/>
        <v>408000</v>
      </c>
      <c r="D371" s="4">
        <f t="shared" si="25"/>
        <v>642</v>
      </c>
      <c r="E371" s="4">
        <f t="shared" si="26"/>
        <v>10158</v>
      </c>
      <c r="F371" s="4">
        <f t="shared" si="27"/>
        <v>17120</v>
      </c>
      <c r="G371" s="4">
        <f t="shared" si="28"/>
        <v>-6962</v>
      </c>
    </row>
    <row r="372" spans="2:7" x14ac:dyDescent="0.3">
      <c r="B372" s="2">
        <v>359</v>
      </c>
      <c r="C372" s="2">
        <f t="shared" si="29"/>
        <v>409000</v>
      </c>
      <c r="D372" s="4">
        <f t="shared" si="25"/>
        <v>641</v>
      </c>
      <c r="E372" s="4">
        <f t="shared" si="26"/>
        <v>10159</v>
      </c>
      <c r="F372" s="4">
        <f t="shared" si="27"/>
        <v>17160</v>
      </c>
      <c r="G372" s="4">
        <f t="shared" si="28"/>
        <v>-7001</v>
      </c>
    </row>
    <row r="373" spans="2:7" x14ac:dyDescent="0.3">
      <c r="B373" s="2">
        <v>360</v>
      </c>
      <c r="C373" s="2">
        <f t="shared" si="29"/>
        <v>410000</v>
      </c>
      <c r="D373" s="4">
        <f t="shared" si="25"/>
        <v>640</v>
      </c>
      <c r="E373" s="4">
        <f t="shared" si="26"/>
        <v>10160</v>
      </c>
      <c r="F373" s="4">
        <f t="shared" si="27"/>
        <v>17200</v>
      </c>
      <c r="G373" s="4">
        <f t="shared" si="28"/>
        <v>-7040</v>
      </c>
    </row>
    <row r="374" spans="2:7" x14ac:dyDescent="0.3">
      <c r="B374" s="2">
        <v>361</v>
      </c>
      <c r="C374" s="2">
        <f t="shared" si="29"/>
        <v>411000</v>
      </c>
      <c r="D374" s="4">
        <f t="shared" si="25"/>
        <v>639</v>
      </c>
      <c r="E374" s="4">
        <f t="shared" si="26"/>
        <v>10161</v>
      </c>
      <c r="F374" s="4">
        <f t="shared" si="27"/>
        <v>17240</v>
      </c>
      <c r="G374" s="4">
        <f t="shared" si="28"/>
        <v>-7079</v>
      </c>
    </row>
    <row r="375" spans="2:7" x14ac:dyDescent="0.3">
      <c r="B375" s="2">
        <v>362</v>
      </c>
      <c r="C375" s="2">
        <f t="shared" si="29"/>
        <v>412000</v>
      </c>
      <c r="D375" s="4">
        <f t="shared" si="25"/>
        <v>638</v>
      </c>
      <c r="E375" s="4">
        <f t="shared" si="26"/>
        <v>10162</v>
      </c>
      <c r="F375" s="4">
        <f t="shared" si="27"/>
        <v>17280</v>
      </c>
      <c r="G375" s="4">
        <f t="shared" si="28"/>
        <v>-7118</v>
      </c>
    </row>
    <row r="376" spans="2:7" x14ac:dyDescent="0.3">
      <c r="B376" s="2">
        <v>363</v>
      </c>
      <c r="C376" s="2">
        <f t="shared" si="29"/>
        <v>413000</v>
      </c>
      <c r="D376" s="4">
        <f t="shared" si="25"/>
        <v>637</v>
      </c>
      <c r="E376" s="4">
        <f t="shared" si="26"/>
        <v>10163</v>
      </c>
      <c r="F376" s="4">
        <f t="shared" si="27"/>
        <v>17320</v>
      </c>
      <c r="G376" s="4">
        <f t="shared" si="28"/>
        <v>-7157</v>
      </c>
    </row>
    <row r="377" spans="2:7" x14ac:dyDescent="0.3">
      <c r="B377" s="2">
        <v>364</v>
      </c>
      <c r="C377" s="2">
        <f t="shared" si="29"/>
        <v>414000</v>
      </c>
      <c r="D377" s="4">
        <f t="shared" si="25"/>
        <v>636</v>
      </c>
      <c r="E377" s="4">
        <f t="shared" si="26"/>
        <v>10164</v>
      </c>
      <c r="F377" s="4">
        <f t="shared" si="27"/>
        <v>17360</v>
      </c>
      <c r="G377" s="4">
        <f t="shared" si="28"/>
        <v>-7196</v>
      </c>
    </row>
    <row r="378" spans="2:7" x14ac:dyDescent="0.3">
      <c r="B378" s="2">
        <v>365</v>
      </c>
      <c r="C378" s="2">
        <f t="shared" si="29"/>
        <v>415000</v>
      </c>
      <c r="D378" s="4">
        <f t="shared" si="25"/>
        <v>635</v>
      </c>
      <c r="E378" s="4">
        <f t="shared" si="26"/>
        <v>10165</v>
      </c>
      <c r="F378" s="4">
        <f t="shared" si="27"/>
        <v>17400</v>
      </c>
      <c r="G378" s="4">
        <f t="shared" si="28"/>
        <v>-7235</v>
      </c>
    </row>
    <row r="379" spans="2:7" x14ac:dyDescent="0.3">
      <c r="B379" s="2">
        <v>366</v>
      </c>
      <c r="C379" s="2">
        <f t="shared" si="29"/>
        <v>416000</v>
      </c>
      <c r="D379" s="4">
        <f t="shared" si="25"/>
        <v>634</v>
      </c>
      <c r="E379" s="4">
        <f t="shared" si="26"/>
        <v>10166</v>
      </c>
      <c r="F379" s="4">
        <f t="shared" si="27"/>
        <v>17440</v>
      </c>
      <c r="G379" s="4">
        <f t="shared" si="28"/>
        <v>-7274</v>
      </c>
    </row>
    <row r="380" spans="2:7" x14ac:dyDescent="0.3">
      <c r="B380" s="2">
        <v>367</v>
      </c>
      <c r="C380" s="2">
        <f t="shared" si="29"/>
        <v>417000</v>
      </c>
      <c r="D380" s="4">
        <f t="shared" si="25"/>
        <v>633</v>
      </c>
      <c r="E380" s="4">
        <f t="shared" si="26"/>
        <v>10167</v>
      </c>
      <c r="F380" s="4">
        <f t="shared" si="27"/>
        <v>17480</v>
      </c>
      <c r="G380" s="4">
        <f t="shared" si="28"/>
        <v>-7313</v>
      </c>
    </row>
    <row r="381" spans="2:7" x14ac:dyDescent="0.3">
      <c r="B381" s="2">
        <v>368</v>
      </c>
      <c r="C381" s="2">
        <f t="shared" si="29"/>
        <v>418000</v>
      </c>
      <c r="D381" s="4">
        <f t="shared" si="25"/>
        <v>632</v>
      </c>
      <c r="E381" s="4">
        <f t="shared" si="26"/>
        <v>10168</v>
      </c>
      <c r="F381" s="4">
        <f t="shared" si="27"/>
        <v>17520</v>
      </c>
      <c r="G381" s="4">
        <f t="shared" si="28"/>
        <v>-7352</v>
      </c>
    </row>
    <row r="382" spans="2:7" x14ac:dyDescent="0.3">
      <c r="B382" s="2">
        <v>369</v>
      </c>
      <c r="C382" s="2">
        <f t="shared" si="29"/>
        <v>419000</v>
      </c>
      <c r="D382" s="4">
        <f t="shared" si="25"/>
        <v>631</v>
      </c>
      <c r="E382" s="4">
        <f t="shared" si="26"/>
        <v>10169</v>
      </c>
      <c r="F382" s="4">
        <f t="shared" si="27"/>
        <v>17560</v>
      </c>
      <c r="G382" s="4">
        <f t="shared" si="28"/>
        <v>-7391</v>
      </c>
    </row>
    <row r="383" spans="2:7" x14ac:dyDescent="0.3">
      <c r="B383" s="2">
        <v>370</v>
      </c>
      <c r="C383" s="2">
        <f t="shared" si="29"/>
        <v>420000</v>
      </c>
      <c r="D383" s="4">
        <f t="shared" si="25"/>
        <v>630</v>
      </c>
      <c r="E383" s="4">
        <f t="shared" si="26"/>
        <v>10170</v>
      </c>
      <c r="F383" s="4">
        <f t="shared" si="27"/>
        <v>17600</v>
      </c>
      <c r="G383" s="4">
        <f t="shared" si="28"/>
        <v>-7430</v>
      </c>
    </row>
    <row r="384" spans="2:7" x14ac:dyDescent="0.3">
      <c r="B384" s="2">
        <v>371</v>
      </c>
      <c r="C384" s="2">
        <f t="shared" si="29"/>
        <v>421000</v>
      </c>
      <c r="D384" s="4">
        <f t="shared" si="25"/>
        <v>629</v>
      </c>
      <c r="E384" s="4">
        <f t="shared" si="26"/>
        <v>10171</v>
      </c>
      <c r="F384" s="4">
        <f t="shared" si="27"/>
        <v>17640</v>
      </c>
      <c r="G384" s="4">
        <f t="shared" si="28"/>
        <v>-7469</v>
      </c>
    </row>
    <row r="385" spans="2:7" x14ac:dyDescent="0.3">
      <c r="B385" s="2">
        <v>372</v>
      </c>
      <c r="C385" s="2">
        <f t="shared" si="29"/>
        <v>422000</v>
      </c>
      <c r="D385" s="4">
        <f t="shared" si="25"/>
        <v>628</v>
      </c>
      <c r="E385" s="4">
        <f t="shared" si="26"/>
        <v>10172</v>
      </c>
      <c r="F385" s="4">
        <f t="shared" si="27"/>
        <v>17680</v>
      </c>
      <c r="G385" s="4">
        <f t="shared" si="28"/>
        <v>-7508</v>
      </c>
    </row>
    <row r="386" spans="2:7" x14ac:dyDescent="0.3">
      <c r="B386" s="2">
        <v>373</v>
      </c>
      <c r="C386" s="2">
        <f t="shared" si="29"/>
        <v>423000</v>
      </c>
      <c r="D386" s="4">
        <f t="shared" si="25"/>
        <v>627</v>
      </c>
      <c r="E386" s="4">
        <f t="shared" si="26"/>
        <v>10173</v>
      </c>
      <c r="F386" s="4">
        <f t="shared" si="27"/>
        <v>17720</v>
      </c>
      <c r="G386" s="4">
        <f t="shared" si="28"/>
        <v>-7547</v>
      </c>
    </row>
    <row r="387" spans="2:7" x14ac:dyDescent="0.3">
      <c r="B387" s="2">
        <v>374</v>
      </c>
      <c r="C387" s="2">
        <f t="shared" si="29"/>
        <v>424000</v>
      </c>
      <c r="D387" s="4">
        <f t="shared" si="25"/>
        <v>626</v>
      </c>
      <c r="E387" s="4">
        <f t="shared" si="26"/>
        <v>10174</v>
      </c>
      <c r="F387" s="4">
        <f t="shared" si="27"/>
        <v>17760</v>
      </c>
      <c r="G387" s="4">
        <f t="shared" si="28"/>
        <v>-7586</v>
      </c>
    </row>
    <row r="388" spans="2:7" x14ac:dyDescent="0.3">
      <c r="B388" s="2">
        <v>375</v>
      </c>
      <c r="C388" s="2">
        <f t="shared" si="29"/>
        <v>425000</v>
      </c>
      <c r="D388" s="4">
        <f t="shared" si="25"/>
        <v>625</v>
      </c>
      <c r="E388" s="4">
        <f t="shared" si="26"/>
        <v>10175</v>
      </c>
      <c r="F388" s="4">
        <f t="shared" si="27"/>
        <v>17800</v>
      </c>
      <c r="G388" s="4">
        <f t="shared" si="28"/>
        <v>-7625</v>
      </c>
    </row>
    <row r="389" spans="2:7" x14ac:dyDescent="0.3">
      <c r="B389" s="2">
        <v>376</v>
      </c>
      <c r="C389" s="2">
        <f t="shared" si="29"/>
        <v>426000</v>
      </c>
      <c r="D389" s="4">
        <f t="shared" si="25"/>
        <v>624</v>
      </c>
      <c r="E389" s="4">
        <f t="shared" si="26"/>
        <v>10176</v>
      </c>
      <c r="F389" s="4">
        <f t="shared" si="27"/>
        <v>17840</v>
      </c>
      <c r="G389" s="4">
        <f t="shared" si="28"/>
        <v>-7664</v>
      </c>
    </row>
    <row r="390" spans="2:7" x14ac:dyDescent="0.3">
      <c r="B390" s="2">
        <v>377</v>
      </c>
      <c r="C390" s="2">
        <f t="shared" si="29"/>
        <v>427000</v>
      </c>
      <c r="D390" s="4">
        <f t="shared" si="25"/>
        <v>623</v>
      </c>
      <c r="E390" s="4">
        <f t="shared" si="26"/>
        <v>10177</v>
      </c>
      <c r="F390" s="4">
        <f t="shared" si="27"/>
        <v>17880</v>
      </c>
      <c r="G390" s="4">
        <f t="shared" si="28"/>
        <v>-7703</v>
      </c>
    </row>
    <row r="391" spans="2:7" x14ac:dyDescent="0.3">
      <c r="B391" s="2">
        <v>378</v>
      </c>
      <c r="C391" s="2">
        <f t="shared" si="29"/>
        <v>428000</v>
      </c>
      <c r="D391" s="4">
        <f t="shared" si="25"/>
        <v>622</v>
      </c>
      <c r="E391" s="4">
        <f t="shared" si="26"/>
        <v>10178</v>
      </c>
      <c r="F391" s="4">
        <f t="shared" si="27"/>
        <v>17920</v>
      </c>
      <c r="G391" s="4">
        <f t="shared" si="28"/>
        <v>-7742</v>
      </c>
    </row>
    <row r="392" spans="2:7" x14ac:dyDescent="0.3">
      <c r="B392" s="2">
        <v>379</v>
      </c>
      <c r="C392" s="2">
        <f t="shared" si="29"/>
        <v>429000</v>
      </c>
      <c r="D392" s="4">
        <f t="shared" si="25"/>
        <v>621</v>
      </c>
      <c r="E392" s="4">
        <f t="shared" si="26"/>
        <v>10179</v>
      </c>
      <c r="F392" s="4">
        <f t="shared" si="27"/>
        <v>17960</v>
      </c>
      <c r="G392" s="4">
        <f t="shared" si="28"/>
        <v>-7781</v>
      </c>
    </row>
    <row r="393" spans="2:7" x14ac:dyDescent="0.3">
      <c r="B393" s="2">
        <v>380</v>
      </c>
      <c r="C393" s="2">
        <f t="shared" si="29"/>
        <v>430000</v>
      </c>
      <c r="D393" s="4">
        <f t="shared" si="25"/>
        <v>620</v>
      </c>
      <c r="E393" s="4">
        <f t="shared" si="26"/>
        <v>10180</v>
      </c>
      <c r="F393" s="4">
        <f t="shared" si="27"/>
        <v>18000</v>
      </c>
      <c r="G393" s="4">
        <f t="shared" si="28"/>
        <v>-7820</v>
      </c>
    </row>
    <row r="394" spans="2:7" x14ac:dyDescent="0.3">
      <c r="B394" s="2">
        <v>381</v>
      </c>
      <c r="C394" s="2">
        <f t="shared" si="29"/>
        <v>431000</v>
      </c>
      <c r="D394" s="4">
        <f t="shared" si="25"/>
        <v>619</v>
      </c>
      <c r="E394" s="4">
        <f t="shared" si="26"/>
        <v>10181</v>
      </c>
      <c r="F394" s="4">
        <f t="shared" si="27"/>
        <v>18040</v>
      </c>
      <c r="G394" s="4">
        <f t="shared" si="28"/>
        <v>-7859</v>
      </c>
    </row>
    <row r="395" spans="2:7" x14ac:dyDescent="0.3">
      <c r="B395" s="2">
        <v>382</v>
      </c>
      <c r="C395" s="2">
        <f t="shared" si="29"/>
        <v>432000</v>
      </c>
      <c r="D395" s="4">
        <f t="shared" si="25"/>
        <v>618</v>
      </c>
      <c r="E395" s="4">
        <f t="shared" si="26"/>
        <v>10182</v>
      </c>
      <c r="F395" s="4">
        <f t="shared" si="27"/>
        <v>18080</v>
      </c>
      <c r="G395" s="4">
        <f t="shared" si="28"/>
        <v>-7898</v>
      </c>
    </row>
    <row r="396" spans="2:7" x14ac:dyDescent="0.3">
      <c r="B396" s="2">
        <v>383</v>
      </c>
      <c r="C396" s="2">
        <f t="shared" si="29"/>
        <v>433000</v>
      </c>
      <c r="D396" s="4">
        <f t="shared" si="25"/>
        <v>617</v>
      </c>
      <c r="E396" s="4">
        <f t="shared" si="26"/>
        <v>10183</v>
      </c>
      <c r="F396" s="4">
        <f t="shared" si="27"/>
        <v>18120</v>
      </c>
      <c r="G396" s="4">
        <f t="shared" si="28"/>
        <v>-7937</v>
      </c>
    </row>
    <row r="397" spans="2:7" x14ac:dyDescent="0.3">
      <c r="B397" s="2">
        <v>384</v>
      </c>
      <c r="C397" s="2">
        <f t="shared" si="29"/>
        <v>434000</v>
      </c>
      <c r="D397" s="4">
        <f t="shared" si="25"/>
        <v>616</v>
      </c>
      <c r="E397" s="4">
        <f t="shared" si="26"/>
        <v>10184</v>
      </c>
      <c r="F397" s="4">
        <f t="shared" si="27"/>
        <v>18160</v>
      </c>
      <c r="G397" s="4">
        <f t="shared" si="28"/>
        <v>-7976</v>
      </c>
    </row>
    <row r="398" spans="2:7" x14ac:dyDescent="0.3">
      <c r="B398" s="2">
        <v>385</v>
      </c>
      <c r="C398" s="2">
        <f t="shared" si="29"/>
        <v>435000</v>
      </c>
      <c r="D398" s="4">
        <f t="shared" ref="D398:D461" si="30">IF(C398&lt;=50000,$C$5,$C$5-((C398-50000)/1000)*$C$7)</f>
        <v>615</v>
      </c>
      <c r="E398" s="4">
        <f t="shared" ref="E398:E461" si="31">$C$3+$C$4*$C$6-D398</f>
        <v>10185</v>
      </c>
      <c r="F398" s="4">
        <f t="shared" ref="F398:F461" si="32">$F$3*$C$7+$F$4*C398</f>
        <v>18200</v>
      </c>
      <c r="G398" s="4">
        <f t="shared" ref="G398:G461" si="33">E398-F398</f>
        <v>-8015</v>
      </c>
    </row>
    <row r="399" spans="2:7" x14ac:dyDescent="0.3">
      <c r="B399" s="2">
        <v>386</v>
      </c>
      <c r="C399" s="2">
        <f t="shared" ref="C399:C462" si="34">$C$8+(B399*1000)</f>
        <v>436000</v>
      </c>
      <c r="D399" s="4">
        <f t="shared" si="30"/>
        <v>614</v>
      </c>
      <c r="E399" s="4">
        <f t="shared" si="31"/>
        <v>10186</v>
      </c>
      <c r="F399" s="4">
        <f t="shared" si="32"/>
        <v>18240</v>
      </c>
      <c r="G399" s="4">
        <f t="shared" si="33"/>
        <v>-8054</v>
      </c>
    </row>
    <row r="400" spans="2:7" x14ac:dyDescent="0.3">
      <c r="B400" s="2">
        <v>387</v>
      </c>
      <c r="C400" s="2">
        <f t="shared" si="34"/>
        <v>437000</v>
      </c>
      <c r="D400" s="4">
        <f t="shared" si="30"/>
        <v>613</v>
      </c>
      <c r="E400" s="4">
        <f t="shared" si="31"/>
        <v>10187</v>
      </c>
      <c r="F400" s="4">
        <f t="shared" si="32"/>
        <v>18280</v>
      </c>
      <c r="G400" s="4">
        <f t="shared" si="33"/>
        <v>-8093</v>
      </c>
    </row>
    <row r="401" spans="2:7" x14ac:dyDescent="0.3">
      <c r="B401" s="2">
        <v>388</v>
      </c>
      <c r="C401" s="2">
        <f t="shared" si="34"/>
        <v>438000</v>
      </c>
      <c r="D401" s="4">
        <f t="shared" si="30"/>
        <v>612</v>
      </c>
      <c r="E401" s="4">
        <f t="shared" si="31"/>
        <v>10188</v>
      </c>
      <c r="F401" s="4">
        <f t="shared" si="32"/>
        <v>18320</v>
      </c>
      <c r="G401" s="4">
        <f t="shared" si="33"/>
        <v>-8132</v>
      </c>
    </row>
    <row r="402" spans="2:7" x14ac:dyDescent="0.3">
      <c r="B402" s="2">
        <v>389</v>
      </c>
      <c r="C402" s="2">
        <f t="shared" si="34"/>
        <v>439000</v>
      </c>
      <c r="D402" s="4">
        <f t="shared" si="30"/>
        <v>611</v>
      </c>
      <c r="E402" s="4">
        <f t="shared" si="31"/>
        <v>10189</v>
      </c>
      <c r="F402" s="4">
        <f t="shared" si="32"/>
        <v>18360</v>
      </c>
      <c r="G402" s="4">
        <f t="shared" si="33"/>
        <v>-8171</v>
      </c>
    </row>
    <row r="403" spans="2:7" x14ac:dyDescent="0.3">
      <c r="B403" s="2">
        <v>390</v>
      </c>
      <c r="C403" s="2">
        <f t="shared" si="34"/>
        <v>440000</v>
      </c>
      <c r="D403" s="4">
        <f t="shared" si="30"/>
        <v>610</v>
      </c>
      <c r="E403" s="4">
        <f t="shared" si="31"/>
        <v>10190</v>
      </c>
      <c r="F403" s="4">
        <f t="shared" si="32"/>
        <v>18400</v>
      </c>
      <c r="G403" s="4">
        <f t="shared" si="33"/>
        <v>-8210</v>
      </c>
    </row>
    <row r="404" spans="2:7" x14ac:dyDescent="0.3">
      <c r="B404" s="2">
        <v>391</v>
      </c>
      <c r="C404" s="2">
        <f t="shared" si="34"/>
        <v>441000</v>
      </c>
      <c r="D404" s="4">
        <f t="shared" si="30"/>
        <v>609</v>
      </c>
      <c r="E404" s="4">
        <f t="shared" si="31"/>
        <v>10191</v>
      </c>
      <c r="F404" s="4">
        <f t="shared" si="32"/>
        <v>18440</v>
      </c>
      <c r="G404" s="4">
        <f t="shared" si="33"/>
        <v>-8249</v>
      </c>
    </row>
    <row r="405" spans="2:7" x14ac:dyDescent="0.3">
      <c r="B405" s="2">
        <v>392</v>
      </c>
      <c r="C405" s="2">
        <f t="shared" si="34"/>
        <v>442000</v>
      </c>
      <c r="D405" s="4">
        <f t="shared" si="30"/>
        <v>608</v>
      </c>
      <c r="E405" s="4">
        <f t="shared" si="31"/>
        <v>10192</v>
      </c>
      <c r="F405" s="4">
        <f t="shared" si="32"/>
        <v>18480</v>
      </c>
      <c r="G405" s="4">
        <f t="shared" si="33"/>
        <v>-8288</v>
      </c>
    </row>
    <row r="406" spans="2:7" x14ac:dyDescent="0.3">
      <c r="B406" s="2">
        <v>393</v>
      </c>
      <c r="C406" s="2">
        <f t="shared" si="34"/>
        <v>443000</v>
      </c>
      <c r="D406" s="4">
        <f t="shared" si="30"/>
        <v>607</v>
      </c>
      <c r="E406" s="4">
        <f t="shared" si="31"/>
        <v>10193</v>
      </c>
      <c r="F406" s="4">
        <f t="shared" si="32"/>
        <v>18520</v>
      </c>
      <c r="G406" s="4">
        <f t="shared" si="33"/>
        <v>-8327</v>
      </c>
    </row>
    <row r="407" spans="2:7" x14ac:dyDescent="0.3">
      <c r="B407" s="2">
        <v>394</v>
      </c>
      <c r="C407" s="2">
        <f t="shared" si="34"/>
        <v>444000</v>
      </c>
      <c r="D407" s="4">
        <f t="shared" si="30"/>
        <v>606</v>
      </c>
      <c r="E407" s="4">
        <f t="shared" si="31"/>
        <v>10194</v>
      </c>
      <c r="F407" s="4">
        <f t="shared" si="32"/>
        <v>18560</v>
      </c>
      <c r="G407" s="4">
        <f t="shared" si="33"/>
        <v>-8366</v>
      </c>
    </row>
    <row r="408" spans="2:7" x14ac:dyDescent="0.3">
      <c r="B408" s="2">
        <v>395</v>
      </c>
      <c r="C408" s="2">
        <f t="shared" si="34"/>
        <v>445000</v>
      </c>
      <c r="D408" s="4">
        <f t="shared" si="30"/>
        <v>605</v>
      </c>
      <c r="E408" s="4">
        <f t="shared" si="31"/>
        <v>10195</v>
      </c>
      <c r="F408" s="4">
        <f t="shared" si="32"/>
        <v>18600</v>
      </c>
      <c r="G408" s="4">
        <f t="shared" si="33"/>
        <v>-8405</v>
      </c>
    </row>
    <row r="409" spans="2:7" x14ac:dyDescent="0.3">
      <c r="B409" s="2">
        <v>396</v>
      </c>
      <c r="C409" s="2">
        <f t="shared" si="34"/>
        <v>446000</v>
      </c>
      <c r="D409" s="4">
        <f t="shared" si="30"/>
        <v>604</v>
      </c>
      <c r="E409" s="4">
        <f t="shared" si="31"/>
        <v>10196</v>
      </c>
      <c r="F409" s="4">
        <f t="shared" si="32"/>
        <v>18640</v>
      </c>
      <c r="G409" s="4">
        <f t="shared" si="33"/>
        <v>-8444</v>
      </c>
    </row>
    <row r="410" spans="2:7" x14ac:dyDescent="0.3">
      <c r="B410" s="2">
        <v>397</v>
      </c>
      <c r="C410" s="2">
        <f t="shared" si="34"/>
        <v>447000</v>
      </c>
      <c r="D410" s="4">
        <f t="shared" si="30"/>
        <v>603</v>
      </c>
      <c r="E410" s="4">
        <f t="shared" si="31"/>
        <v>10197</v>
      </c>
      <c r="F410" s="4">
        <f t="shared" si="32"/>
        <v>18680</v>
      </c>
      <c r="G410" s="4">
        <f t="shared" si="33"/>
        <v>-8483</v>
      </c>
    </row>
    <row r="411" spans="2:7" x14ac:dyDescent="0.3">
      <c r="B411" s="2">
        <v>398</v>
      </c>
      <c r="C411" s="2">
        <f t="shared" si="34"/>
        <v>448000</v>
      </c>
      <c r="D411" s="4">
        <f t="shared" si="30"/>
        <v>602</v>
      </c>
      <c r="E411" s="4">
        <f t="shared" si="31"/>
        <v>10198</v>
      </c>
      <c r="F411" s="4">
        <f t="shared" si="32"/>
        <v>18720</v>
      </c>
      <c r="G411" s="4">
        <f t="shared" si="33"/>
        <v>-8522</v>
      </c>
    </row>
    <row r="412" spans="2:7" x14ac:dyDescent="0.3">
      <c r="B412" s="2">
        <v>399</v>
      </c>
      <c r="C412" s="2">
        <f t="shared" si="34"/>
        <v>449000</v>
      </c>
      <c r="D412" s="4">
        <f t="shared" si="30"/>
        <v>601</v>
      </c>
      <c r="E412" s="4">
        <f t="shared" si="31"/>
        <v>10199</v>
      </c>
      <c r="F412" s="4">
        <f t="shared" si="32"/>
        <v>18760</v>
      </c>
      <c r="G412" s="4">
        <f t="shared" si="33"/>
        <v>-8561</v>
      </c>
    </row>
    <row r="413" spans="2:7" x14ac:dyDescent="0.3">
      <c r="B413" s="2">
        <v>400</v>
      </c>
      <c r="C413" s="2">
        <f t="shared" si="34"/>
        <v>450000</v>
      </c>
      <c r="D413" s="4">
        <f t="shared" si="30"/>
        <v>600</v>
      </c>
      <c r="E413" s="4">
        <f t="shared" si="31"/>
        <v>10200</v>
      </c>
      <c r="F413" s="4">
        <f t="shared" si="32"/>
        <v>18800</v>
      </c>
      <c r="G413" s="4">
        <f t="shared" si="33"/>
        <v>-8600</v>
      </c>
    </row>
    <row r="414" spans="2:7" x14ac:dyDescent="0.3">
      <c r="B414" s="2">
        <v>401</v>
      </c>
      <c r="C414" s="2">
        <f t="shared" si="34"/>
        <v>451000</v>
      </c>
      <c r="D414" s="4">
        <f t="shared" si="30"/>
        <v>599</v>
      </c>
      <c r="E414" s="4">
        <f t="shared" si="31"/>
        <v>10201</v>
      </c>
      <c r="F414" s="4">
        <f t="shared" si="32"/>
        <v>18840</v>
      </c>
      <c r="G414" s="4">
        <f t="shared" si="33"/>
        <v>-8639</v>
      </c>
    </row>
    <row r="415" spans="2:7" x14ac:dyDescent="0.3">
      <c r="B415" s="2">
        <v>402</v>
      </c>
      <c r="C415" s="2">
        <f t="shared" si="34"/>
        <v>452000</v>
      </c>
      <c r="D415" s="4">
        <f t="shared" si="30"/>
        <v>598</v>
      </c>
      <c r="E415" s="4">
        <f t="shared" si="31"/>
        <v>10202</v>
      </c>
      <c r="F415" s="4">
        <f t="shared" si="32"/>
        <v>18880</v>
      </c>
      <c r="G415" s="4">
        <f t="shared" si="33"/>
        <v>-8678</v>
      </c>
    </row>
    <row r="416" spans="2:7" x14ac:dyDescent="0.3">
      <c r="B416" s="2">
        <v>403</v>
      </c>
      <c r="C416" s="2">
        <f t="shared" si="34"/>
        <v>453000</v>
      </c>
      <c r="D416" s="4">
        <f t="shared" si="30"/>
        <v>597</v>
      </c>
      <c r="E416" s="4">
        <f t="shared" si="31"/>
        <v>10203</v>
      </c>
      <c r="F416" s="4">
        <f t="shared" si="32"/>
        <v>18920</v>
      </c>
      <c r="G416" s="4">
        <f t="shared" si="33"/>
        <v>-8717</v>
      </c>
    </row>
    <row r="417" spans="2:7" x14ac:dyDescent="0.3">
      <c r="B417" s="2">
        <v>404</v>
      </c>
      <c r="C417" s="2">
        <f t="shared" si="34"/>
        <v>454000</v>
      </c>
      <c r="D417" s="4">
        <f t="shared" si="30"/>
        <v>596</v>
      </c>
      <c r="E417" s="4">
        <f t="shared" si="31"/>
        <v>10204</v>
      </c>
      <c r="F417" s="4">
        <f t="shared" si="32"/>
        <v>18960</v>
      </c>
      <c r="G417" s="4">
        <f t="shared" si="33"/>
        <v>-8756</v>
      </c>
    </row>
    <row r="418" spans="2:7" x14ac:dyDescent="0.3">
      <c r="B418" s="2">
        <v>405</v>
      </c>
      <c r="C418" s="2">
        <f t="shared" si="34"/>
        <v>455000</v>
      </c>
      <c r="D418" s="4">
        <f t="shared" si="30"/>
        <v>595</v>
      </c>
      <c r="E418" s="4">
        <f t="shared" si="31"/>
        <v>10205</v>
      </c>
      <c r="F418" s="4">
        <f t="shared" si="32"/>
        <v>19000</v>
      </c>
      <c r="G418" s="4">
        <f t="shared" si="33"/>
        <v>-8795</v>
      </c>
    </row>
    <row r="419" spans="2:7" x14ac:dyDescent="0.3">
      <c r="B419" s="2">
        <v>406</v>
      </c>
      <c r="C419" s="2">
        <f t="shared" si="34"/>
        <v>456000</v>
      </c>
      <c r="D419" s="4">
        <f t="shared" si="30"/>
        <v>594</v>
      </c>
      <c r="E419" s="4">
        <f t="shared" si="31"/>
        <v>10206</v>
      </c>
      <c r="F419" s="4">
        <f t="shared" si="32"/>
        <v>19040</v>
      </c>
      <c r="G419" s="4">
        <f t="shared" si="33"/>
        <v>-8834</v>
      </c>
    </row>
    <row r="420" spans="2:7" x14ac:dyDescent="0.3">
      <c r="B420" s="2">
        <v>407</v>
      </c>
      <c r="C420" s="2">
        <f t="shared" si="34"/>
        <v>457000</v>
      </c>
      <c r="D420" s="4">
        <f t="shared" si="30"/>
        <v>593</v>
      </c>
      <c r="E420" s="4">
        <f t="shared" si="31"/>
        <v>10207</v>
      </c>
      <c r="F420" s="4">
        <f t="shared" si="32"/>
        <v>19080</v>
      </c>
      <c r="G420" s="4">
        <f t="shared" si="33"/>
        <v>-8873</v>
      </c>
    </row>
    <row r="421" spans="2:7" x14ac:dyDescent="0.3">
      <c r="B421" s="2">
        <v>408</v>
      </c>
      <c r="C421" s="2">
        <f t="shared" si="34"/>
        <v>458000</v>
      </c>
      <c r="D421" s="4">
        <f t="shared" si="30"/>
        <v>592</v>
      </c>
      <c r="E421" s="4">
        <f t="shared" si="31"/>
        <v>10208</v>
      </c>
      <c r="F421" s="4">
        <f t="shared" si="32"/>
        <v>19120</v>
      </c>
      <c r="G421" s="4">
        <f t="shared" si="33"/>
        <v>-8912</v>
      </c>
    </row>
    <row r="422" spans="2:7" x14ac:dyDescent="0.3">
      <c r="B422" s="2">
        <v>409</v>
      </c>
      <c r="C422" s="2">
        <f t="shared" si="34"/>
        <v>459000</v>
      </c>
      <c r="D422" s="4">
        <f t="shared" si="30"/>
        <v>591</v>
      </c>
      <c r="E422" s="4">
        <f t="shared" si="31"/>
        <v>10209</v>
      </c>
      <c r="F422" s="4">
        <f t="shared" si="32"/>
        <v>19160</v>
      </c>
      <c r="G422" s="4">
        <f t="shared" si="33"/>
        <v>-8951</v>
      </c>
    </row>
    <row r="423" spans="2:7" x14ac:dyDescent="0.3">
      <c r="B423" s="2">
        <v>410</v>
      </c>
      <c r="C423" s="2">
        <f t="shared" si="34"/>
        <v>460000</v>
      </c>
      <c r="D423" s="4">
        <f t="shared" si="30"/>
        <v>590</v>
      </c>
      <c r="E423" s="4">
        <f t="shared" si="31"/>
        <v>10210</v>
      </c>
      <c r="F423" s="4">
        <f t="shared" si="32"/>
        <v>19200</v>
      </c>
      <c r="G423" s="4">
        <f t="shared" si="33"/>
        <v>-8990</v>
      </c>
    </row>
    <row r="424" spans="2:7" x14ac:dyDescent="0.3">
      <c r="B424" s="2">
        <v>411</v>
      </c>
      <c r="C424" s="2">
        <f t="shared" si="34"/>
        <v>461000</v>
      </c>
      <c r="D424" s="4">
        <f t="shared" si="30"/>
        <v>589</v>
      </c>
      <c r="E424" s="4">
        <f t="shared" si="31"/>
        <v>10211</v>
      </c>
      <c r="F424" s="4">
        <f t="shared" si="32"/>
        <v>19240</v>
      </c>
      <c r="G424" s="4">
        <f t="shared" si="33"/>
        <v>-9029</v>
      </c>
    </row>
    <row r="425" spans="2:7" x14ac:dyDescent="0.3">
      <c r="B425" s="2">
        <v>412</v>
      </c>
      <c r="C425" s="2">
        <f t="shared" si="34"/>
        <v>462000</v>
      </c>
      <c r="D425" s="4">
        <f t="shared" si="30"/>
        <v>588</v>
      </c>
      <c r="E425" s="4">
        <f t="shared" si="31"/>
        <v>10212</v>
      </c>
      <c r="F425" s="4">
        <f t="shared" si="32"/>
        <v>19280</v>
      </c>
      <c r="G425" s="4">
        <f t="shared" si="33"/>
        <v>-9068</v>
      </c>
    </row>
    <row r="426" spans="2:7" x14ac:dyDescent="0.3">
      <c r="B426" s="2">
        <v>413</v>
      </c>
      <c r="C426" s="2">
        <f t="shared" si="34"/>
        <v>463000</v>
      </c>
      <c r="D426" s="4">
        <f t="shared" si="30"/>
        <v>587</v>
      </c>
      <c r="E426" s="4">
        <f t="shared" si="31"/>
        <v>10213</v>
      </c>
      <c r="F426" s="4">
        <f t="shared" si="32"/>
        <v>19320</v>
      </c>
      <c r="G426" s="4">
        <f t="shared" si="33"/>
        <v>-9107</v>
      </c>
    </row>
    <row r="427" spans="2:7" x14ac:dyDescent="0.3">
      <c r="B427" s="2">
        <v>414</v>
      </c>
      <c r="C427" s="2">
        <f t="shared" si="34"/>
        <v>464000</v>
      </c>
      <c r="D427" s="4">
        <f t="shared" si="30"/>
        <v>586</v>
      </c>
      <c r="E427" s="4">
        <f t="shared" si="31"/>
        <v>10214</v>
      </c>
      <c r="F427" s="4">
        <f t="shared" si="32"/>
        <v>19360</v>
      </c>
      <c r="G427" s="4">
        <f t="shared" si="33"/>
        <v>-9146</v>
      </c>
    </row>
    <row r="428" spans="2:7" x14ac:dyDescent="0.3">
      <c r="B428" s="2">
        <v>415</v>
      </c>
      <c r="C428" s="2">
        <f t="shared" si="34"/>
        <v>465000</v>
      </c>
      <c r="D428" s="4">
        <f t="shared" si="30"/>
        <v>585</v>
      </c>
      <c r="E428" s="4">
        <f t="shared" si="31"/>
        <v>10215</v>
      </c>
      <c r="F428" s="4">
        <f t="shared" si="32"/>
        <v>19400</v>
      </c>
      <c r="G428" s="4">
        <f t="shared" si="33"/>
        <v>-9185</v>
      </c>
    </row>
    <row r="429" spans="2:7" x14ac:dyDescent="0.3">
      <c r="B429" s="2">
        <v>416</v>
      </c>
      <c r="C429" s="2">
        <f t="shared" si="34"/>
        <v>466000</v>
      </c>
      <c r="D429" s="4">
        <f t="shared" si="30"/>
        <v>584</v>
      </c>
      <c r="E429" s="4">
        <f t="shared" si="31"/>
        <v>10216</v>
      </c>
      <c r="F429" s="4">
        <f t="shared" si="32"/>
        <v>19440</v>
      </c>
      <c r="G429" s="4">
        <f t="shared" si="33"/>
        <v>-9224</v>
      </c>
    </row>
    <row r="430" spans="2:7" x14ac:dyDescent="0.3">
      <c r="B430" s="2">
        <v>417</v>
      </c>
      <c r="C430" s="2">
        <f t="shared" si="34"/>
        <v>467000</v>
      </c>
      <c r="D430" s="4">
        <f t="shared" si="30"/>
        <v>583</v>
      </c>
      <c r="E430" s="4">
        <f t="shared" si="31"/>
        <v>10217</v>
      </c>
      <c r="F430" s="4">
        <f t="shared" si="32"/>
        <v>19480</v>
      </c>
      <c r="G430" s="4">
        <f t="shared" si="33"/>
        <v>-9263</v>
      </c>
    </row>
    <row r="431" spans="2:7" x14ac:dyDescent="0.3">
      <c r="B431" s="2">
        <v>418</v>
      </c>
      <c r="C431" s="2">
        <f t="shared" si="34"/>
        <v>468000</v>
      </c>
      <c r="D431" s="4">
        <f t="shared" si="30"/>
        <v>582</v>
      </c>
      <c r="E431" s="4">
        <f t="shared" si="31"/>
        <v>10218</v>
      </c>
      <c r="F431" s="4">
        <f t="shared" si="32"/>
        <v>19520</v>
      </c>
      <c r="G431" s="4">
        <f t="shared" si="33"/>
        <v>-9302</v>
      </c>
    </row>
    <row r="432" spans="2:7" x14ac:dyDescent="0.3">
      <c r="B432" s="2">
        <v>419</v>
      </c>
      <c r="C432" s="2">
        <f t="shared" si="34"/>
        <v>469000</v>
      </c>
      <c r="D432" s="4">
        <f t="shared" si="30"/>
        <v>581</v>
      </c>
      <c r="E432" s="4">
        <f t="shared" si="31"/>
        <v>10219</v>
      </c>
      <c r="F432" s="4">
        <f t="shared" si="32"/>
        <v>19560</v>
      </c>
      <c r="G432" s="4">
        <f t="shared" si="33"/>
        <v>-9341</v>
      </c>
    </row>
    <row r="433" spans="2:7" x14ac:dyDescent="0.3">
      <c r="B433" s="2">
        <v>420</v>
      </c>
      <c r="C433" s="2">
        <f t="shared" si="34"/>
        <v>470000</v>
      </c>
      <c r="D433" s="4">
        <f t="shared" si="30"/>
        <v>580</v>
      </c>
      <c r="E433" s="4">
        <f t="shared" si="31"/>
        <v>10220</v>
      </c>
      <c r="F433" s="4">
        <f t="shared" si="32"/>
        <v>19600</v>
      </c>
      <c r="G433" s="4">
        <f t="shared" si="33"/>
        <v>-9380</v>
      </c>
    </row>
    <row r="434" spans="2:7" x14ac:dyDescent="0.3">
      <c r="B434" s="2">
        <v>421</v>
      </c>
      <c r="C434" s="2">
        <f t="shared" si="34"/>
        <v>471000</v>
      </c>
      <c r="D434" s="4">
        <f t="shared" si="30"/>
        <v>579</v>
      </c>
      <c r="E434" s="4">
        <f t="shared" si="31"/>
        <v>10221</v>
      </c>
      <c r="F434" s="4">
        <f t="shared" si="32"/>
        <v>19640</v>
      </c>
      <c r="G434" s="4">
        <f t="shared" si="33"/>
        <v>-9419</v>
      </c>
    </row>
    <row r="435" spans="2:7" x14ac:dyDescent="0.3">
      <c r="B435" s="2">
        <v>422</v>
      </c>
      <c r="C435" s="2">
        <f t="shared" si="34"/>
        <v>472000</v>
      </c>
      <c r="D435" s="4">
        <f t="shared" si="30"/>
        <v>578</v>
      </c>
      <c r="E435" s="4">
        <f t="shared" si="31"/>
        <v>10222</v>
      </c>
      <c r="F435" s="4">
        <f t="shared" si="32"/>
        <v>19680</v>
      </c>
      <c r="G435" s="4">
        <f t="shared" si="33"/>
        <v>-9458</v>
      </c>
    </row>
    <row r="436" spans="2:7" x14ac:dyDescent="0.3">
      <c r="B436" s="2">
        <v>423</v>
      </c>
      <c r="C436" s="2">
        <f t="shared" si="34"/>
        <v>473000</v>
      </c>
      <c r="D436" s="4">
        <f t="shared" si="30"/>
        <v>577</v>
      </c>
      <c r="E436" s="4">
        <f t="shared" si="31"/>
        <v>10223</v>
      </c>
      <c r="F436" s="4">
        <f t="shared" si="32"/>
        <v>19720</v>
      </c>
      <c r="G436" s="4">
        <f t="shared" si="33"/>
        <v>-9497</v>
      </c>
    </row>
    <row r="437" spans="2:7" x14ac:dyDescent="0.3">
      <c r="B437" s="2">
        <v>424</v>
      </c>
      <c r="C437" s="2">
        <f t="shared" si="34"/>
        <v>474000</v>
      </c>
      <c r="D437" s="4">
        <f t="shared" si="30"/>
        <v>576</v>
      </c>
      <c r="E437" s="4">
        <f t="shared" si="31"/>
        <v>10224</v>
      </c>
      <c r="F437" s="4">
        <f t="shared" si="32"/>
        <v>19760</v>
      </c>
      <c r="G437" s="4">
        <f t="shared" si="33"/>
        <v>-9536</v>
      </c>
    </row>
    <row r="438" spans="2:7" x14ac:dyDescent="0.3">
      <c r="B438" s="2">
        <v>425</v>
      </c>
      <c r="C438" s="2">
        <f t="shared" si="34"/>
        <v>475000</v>
      </c>
      <c r="D438" s="4">
        <f t="shared" si="30"/>
        <v>575</v>
      </c>
      <c r="E438" s="4">
        <f t="shared" si="31"/>
        <v>10225</v>
      </c>
      <c r="F438" s="4">
        <f t="shared" si="32"/>
        <v>19800</v>
      </c>
      <c r="G438" s="4">
        <f t="shared" si="33"/>
        <v>-9575</v>
      </c>
    </row>
    <row r="439" spans="2:7" x14ac:dyDescent="0.3">
      <c r="B439" s="2">
        <v>426</v>
      </c>
      <c r="C439" s="2">
        <f t="shared" si="34"/>
        <v>476000</v>
      </c>
      <c r="D439" s="4">
        <f t="shared" si="30"/>
        <v>574</v>
      </c>
      <c r="E439" s="4">
        <f t="shared" si="31"/>
        <v>10226</v>
      </c>
      <c r="F439" s="4">
        <f t="shared" si="32"/>
        <v>19840</v>
      </c>
      <c r="G439" s="4">
        <f t="shared" si="33"/>
        <v>-9614</v>
      </c>
    </row>
    <row r="440" spans="2:7" x14ac:dyDescent="0.3">
      <c r="B440" s="2">
        <v>427</v>
      </c>
      <c r="C440" s="2">
        <f t="shared" si="34"/>
        <v>477000</v>
      </c>
      <c r="D440" s="4">
        <f t="shared" si="30"/>
        <v>573</v>
      </c>
      <c r="E440" s="4">
        <f t="shared" si="31"/>
        <v>10227</v>
      </c>
      <c r="F440" s="4">
        <f t="shared" si="32"/>
        <v>19880</v>
      </c>
      <c r="G440" s="4">
        <f t="shared" si="33"/>
        <v>-9653</v>
      </c>
    </row>
    <row r="441" spans="2:7" x14ac:dyDescent="0.3">
      <c r="B441" s="2">
        <v>428</v>
      </c>
      <c r="C441" s="2">
        <f t="shared" si="34"/>
        <v>478000</v>
      </c>
      <c r="D441" s="4">
        <f t="shared" si="30"/>
        <v>572</v>
      </c>
      <c r="E441" s="4">
        <f t="shared" si="31"/>
        <v>10228</v>
      </c>
      <c r="F441" s="4">
        <f t="shared" si="32"/>
        <v>19920</v>
      </c>
      <c r="G441" s="4">
        <f t="shared" si="33"/>
        <v>-9692</v>
      </c>
    </row>
    <row r="442" spans="2:7" x14ac:dyDescent="0.3">
      <c r="B442" s="2">
        <v>429</v>
      </c>
      <c r="C442" s="2">
        <f t="shared" si="34"/>
        <v>479000</v>
      </c>
      <c r="D442" s="4">
        <f t="shared" si="30"/>
        <v>571</v>
      </c>
      <c r="E442" s="4">
        <f t="shared" si="31"/>
        <v>10229</v>
      </c>
      <c r="F442" s="4">
        <f t="shared" si="32"/>
        <v>19960</v>
      </c>
      <c r="G442" s="4">
        <f t="shared" si="33"/>
        <v>-9731</v>
      </c>
    </row>
    <row r="443" spans="2:7" x14ac:dyDescent="0.3">
      <c r="B443" s="2">
        <v>430</v>
      </c>
      <c r="C443" s="2">
        <f t="shared" si="34"/>
        <v>480000</v>
      </c>
      <c r="D443" s="4">
        <f t="shared" si="30"/>
        <v>570</v>
      </c>
      <c r="E443" s="4">
        <f t="shared" si="31"/>
        <v>10230</v>
      </c>
      <c r="F443" s="4">
        <f t="shared" si="32"/>
        <v>20000</v>
      </c>
      <c r="G443" s="4">
        <f t="shared" si="33"/>
        <v>-9770</v>
      </c>
    </row>
    <row r="444" spans="2:7" x14ac:dyDescent="0.3">
      <c r="B444" s="2">
        <v>431</v>
      </c>
      <c r="C444" s="2">
        <f t="shared" si="34"/>
        <v>481000</v>
      </c>
      <c r="D444" s="4">
        <f t="shared" si="30"/>
        <v>569</v>
      </c>
      <c r="E444" s="4">
        <f t="shared" si="31"/>
        <v>10231</v>
      </c>
      <c r="F444" s="4">
        <f t="shared" si="32"/>
        <v>20040</v>
      </c>
      <c r="G444" s="4">
        <f t="shared" si="33"/>
        <v>-9809</v>
      </c>
    </row>
    <row r="445" spans="2:7" x14ac:dyDescent="0.3">
      <c r="B445" s="2">
        <v>432</v>
      </c>
      <c r="C445" s="2">
        <f t="shared" si="34"/>
        <v>482000</v>
      </c>
      <c r="D445" s="4">
        <f t="shared" si="30"/>
        <v>568</v>
      </c>
      <c r="E445" s="4">
        <f t="shared" si="31"/>
        <v>10232</v>
      </c>
      <c r="F445" s="4">
        <f t="shared" si="32"/>
        <v>20080</v>
      </c>
      <c r="G445" s="4">
        <f t="shared" si="33"/>
        <v>-9848</v>
      </c>
    </row>
    <row r="446" spans="2:7" x14ac:dyDescent="0.3">
      <c r="B446" s="2">
        <v>433</v>
      </c>
      <c r="C446" s="2">
        <f t="shared" si="34"/>
        <v>483000</v>
      </c>
      <c r="D446" s="4">
        <f t="shared" si="30"/>
        <v>567</v>
      </c>
      <c r="E446" s="4">
        <f t="shared" si="31"/>
        <v>10233</v>
      </c>
      <c r="F446" s="4">
        <f t="shared" si="32"/>
        <v>20120</v>
      </c>
      <c r="G446" s="4">
        <f t="shared" si="33"/>
        <v>-9887</v>
      </c>
    </row>
    <row r="447" spans="2:7" x14ac:dyDescent="0.3">
      <c r="B447" s="2">
        <v>434</v>
      </c>
      <c r="C447" s="2">
        <f t="shared" si="34"/>
        <v>484000</v>
      </c>
      <c r="D447" s="4">
        <f t="shared" si="30"/>
        <v>566</v>
      </c>
      <c r="E447" s="4">
        <f t="shared" si="31"/>
        <v>10234</v>
      </c>
      <c r="F447" s="4">
        <f t="shared" si="32"/>
        <v>20160</v>
      </c>
      <c r="G447" s="4">
        <f t="shared" si="33"/>
        <v>-9926</v>
      </c>
    </row>
    <row r="448" spans="2:7" x14ac:dyDescent="0.3">
      <c r="B448" s="2">
        <v>435</v>
      </c>
      <c r="C448" s="2">
        <f t="shared" si="34"/>
        <v>485000</v>
      </c>
      <c r="D448" s="4">
        <f t="shared" si="30"/>
        <v>565</v>
      </c>
      <c r="E448" s="4">
        <f t="shared" si="31"/>
        <v>10235</v>
      </c>
      <c r="F448" s="4">
        <f t="shared" si="32"/>
        <v>20200</v>
      </c>
      <c r="G448" s="4">
        <f t="shared" si="33"/>
        <v>-9965</v>
      </c>
    </row>
    <row r="449" spans="2:7" x14ac:dyDescent="0.3">
      <c r="B449" s="2">
        <v>436</v>
      </c>
      <c r="C449" s="2">
        <f t="shared" si="34"/>
        <v>486000</v>
      </c>
      <c r="D449" s="4">
        <f t="shared" si="30"/>
        <v>564</v>
      </c>
      <c r="E449" s="4">
        <f t="shared" si="31"/>
        <v>10236</v>
      </c>
      <c r="F449" s="4">
        <f t="shared" si="32"/>
        <v>20240</v>
      </c>
      <c r="G449" s="4">
        <f t="shared" si="33"/>
        <v>-10004</v>
      </c>
    </row>
    <row r="450" spans="2:7" x14ac:dyDescent="0.3">
      <c r="B450" s="2">
        <v>437</v>
      </c>
      <c r="C450" s="2">
        <f t="shared" si="34"/>
        <v>487000</v>
      </c>
      <c r="D450" s="4">
        <f t="shared" si="30"/>
        <v>563</v>
      </c>
      <c r="E450" s="4">
        <f t="shared" si="31"/>
        <v>10237</v>
      </c>
      <c r="F450" s="4">
        <f t="shared" si="32"/>
        <v>20280</v>
      </c>
      <c r="G450" s="4">
        <f t="shared" si="33"/>
        <v>-10043</v>
      </c>
    </row>
    <row r="451" spans="2:7" x14ac:dyDescent="0.3">
      <c r="B451" s="2">
        <v>438</v>
      </c>
      <c r="C451" s="2">
        <f t="shared" si="34"/>
        <v>488000</v>
      </c>
      <c r="D451" s="4">
        <f t="shared" si="30"/>
        <v>562</v>
      </c>
      <c r="E451" s="4">
        <f t="shared" si="31"/>
        <v>10238</v>
      </c>
      <c r="F451" s="4">
        <f t="shared" si="32"/>
        <v>20320</v>
      </c>
      <c r="G451" s="4">
        <f t="shared" si="33"/>
        <v>-10082</v>
      </c>
    </row>
    <row r="452" spans="2:7" x14ac:dyDescent="0.3">
      <c r="B452" s="2">
        <v>439</v>
      </c>
      <c r="C452" s="2">
        <f t="shared" si="34"/>
        <v>489000</v>
      </c>
      <c r="D452" s="4">
        <f t="shared" si="30"/>
        <v>561</v>
      </c>
      <c r="E452" s="4">
        <f t="shared" si="31"/>
        <v>10239</v>
      </c>
      <c r="F452" s="4">
        <f t="shared" si="32"/>
        <v>20360</v>
      </c>
      <c r="G452" s="4">
        <f t="shared" si="33"/>
        <v>-10121</v>
      </c>
    </row>
    <row r="453" spans="2:7" x14ac:dyDescent="0.3">
      <c r="B453" s="2">
        <v>440</v>
      </c>
      <c r="C453" s="2">
        <f t="shared" si="34"/>
        <v>490000</v>
      </c>
      <c r="D453" s="4">
        <f t="shared" si="30"/>
        <v>560</v>
      </c>
      <c r="E453" s="4">
        <f t="shared" si="31"/>
        <v>10240</v>
      </c>
      <c r="F453" s="4">
        <f t="shared" si="32"/>
        <v>20400</v>
      </c>
      <c r="G453" s="4">
        <f t="shared" si="33"/>
        <v>-10160</v>
      </c>
    </row>
    <row r="454" spans="2:7" x14ac:dyDescent="0.3">
      <c r="B454" s="2">
        <v>441</v>
      </c>
      <c r="C454" s="2">
        <f t="shared" si="34"/>
        <v>491000</v>
      </c>
      <c r="D454" s="4">
        <f t="shared" si="30"/>
        <v>559</v>
      </c>
      <c r="E454" s="4">
        <f t="shared" si="31"/>
        <v>10241</v>
      </c>
      <c r="F454" s="4">
        <f t="shared" si="32"/>
        <v>20440</v>
      </c>
      <c r="G454" s="4">
        <f t="shared" si="33"/>
        <v>-10199</v>
      </c>
    </row>
    <row r="455" spans="2:7" x14ac:dyDescent="0.3">
      <c r="B455" s="2">
        <v>442</v>
      </c>
      <c r="C455" s="2">
        <f t="shared" si="34"/>
        <v>492000</v>
      </c>
      <c r="D455" s="4">
        <f t="shared" si="30"/>
        <v>558</v>
      </c>
      <c r="E455" s="4">
        <f t="shared" si="31"/>
        <v>10242</v>
      </c>
      <c r="F455" s="4">
        <f t="shared" si="32"/>
        <v>20480</v>
      </c>
      <c r="G455" s="4">
        <f t="shared" si="33"/>
        <v>-10238</v>
      </c>
    </row>
    <row r="456" spans="2:7" x14ac:dyDescent="0.3">
      <c r="B456" s="2">
        <v>443</v>
      </c>
      <c r="C456" s="2">
        <f t="shared" si="34"/>
        <v>493000</v>
      </c>
      <c r="D456" s="4">
        <f t="shared" si="30"/>
        <v>557</v>
      </c>
      <c r="E456" s="4">
        <f t="shared" si="31"/>
        <v>10243</v>
      </c>
      <c r="F456" s="4">
        <f t="shared" si="32"/>
        <v>20520</v>
      </c>
      <c r="G456" s="4">
        <f t="shared" si="33"/>
        <v>-10277</v>
      </c>
    </row>
    <row r="457" spans="2:7" x14ac:dyDescent="0.3">
      <c r="B457" s="2">
        <v>444</v>
      </c>
      <c r="C457" s="2">
        <f t="shared" si="34"/>
        <v>494000</v>
      </c>
      <c r="D457" s="4">
        <f t="shared" si="30"/>
        <v>556</v>
      </c>
      <c r="E457" s="4">
        <f t="shared" si="31"/>
        <v>10244</v>
      </c>
      <c r="F457" s="4">
        <f t="shared" si="32"/>
        <v>20560</v>
      </c>
      <c r="G457" s="4">
        <f t="shared" si="33"/>
        <v>-10316</v>
      </c>
    </row>
    <row r="458" spans="2:7" x14ac:dyDescent="0.3">
      <c r="B458" s="2">
        <v>445</v>
      </c>
      <c r="C458" s="2">
        <f t="shared" si="34"/>
        <v>495000</v>
      </c>
      <c r="D458" s="4">
        <f t="shared" si="30"/>
        <v>555</v>
      </c>
      <c r="E458" s="4">
        <f t="shared" si="31"/>
        <v>10245</v>
      </c>
      <c r="F458" s="4">
        <f t="shared" si="32"/>
        <v>20600</v>
      </c>
      <c r="G458" s="4">
        <f t="shared" si="33"/>
        <v>-10355</v>
      </c>
    </row>
    <row r="459" spans="2:7" x14ac:dyDescent="0.3">
      <c r="B459" s="2">
        <v>446</v>
      </c>
      <c r="C459" s="2">
        <f t="shared" si="34"/>
        <v>496000</v>
      </c>
      <c r="D459" s="4">
        <f t="shared" si="30"/>
        <v>554</v>
      </c>
      <c r="E459" s="4">
        <f t="shared" si="31"/>
        <v>10246</v>
      </c>
      <c r="F459" s="4">
        <f t="shared" si="32"/>
        <v>20640</v>
      </c>
      <c r="G459" s="4">
        <f t="shared" si="33"/>
        <v>-10394</v>
      </c>
    </row>
    <row r="460" spans="2:7" x14ac:dyDescent="0.3">
      <c r="B460" s="2">
        <v>447</v>
      </c>
      <c r="C460" s="2">
        <f t="shared" si="34"/>
        <v>497000</v>
      </c>
      <c r="D460" s="4">
        <f t="shared" si="30"/>
        <v>553</v>
      </c>
      <c r="E460" s="4">
        <f t="shared" si="31"/>
        <v>10247</v>
      </c>
      <c r="F460" s="4">
        <f t="shared" si="32"/>
        <v>20680</v>
      </c>
      <c r="G460" s="4">
        <f t="shared" si="33"/>
        <v>-10433</v>
      </c>
    </row>
    <row r="461" spans="2:7" x14ac:dyDescent="0.3">
      <c r="B461" s="2">
        <v>448</v>
      </c>
      <c r="C461" s="2">
        <f t="shared" si="34"/>
        <v>498000</v>
      </c>
      <c r="D461" s="4">
        <f t="shared" si="30"/>
        <v>552</v>
      </c>
      <c r="E461" s="4">
        <f t="shared" si="31"/>
        <v>10248</v>
      </c>
      <c r="F461" s="4">
        <f t="shared" si="32"/>
        <v>20720</v>
      </c>
      <c r="G461" s="4">
        <f t="shared" si="33"/>
        <v>-10472</v>
      </c>
    </row>
    <row r="462" spans="2:7" x14ac:dyDescent="0.3">
      <c r="B462" s="2">
        <v>449</v>
      </c>
      <c r="C462" s="2">
        <f t="shared" si="34"/>
        <v>499000</v>
      </c>
      <c r="D462" s="4">
        <f t="shared" ref="D462:D525" si="35">IF(C462&lt;=50000,$C$5,$C$5-((C462-50000)/1000)*$C$7)</f>
        <v>551</v>
      </c>
      <c r="E462" s="4">
        <f t="shared" ref="E462:E525" si="36">$C$3+$C$4*$C$6-D462</f>
        <v>10249</v>
      </c>
      <c r="F462" s="4">
        <f t="shared" ref="F462:F525" si="37">$F$3*$C$7+$F$4*C462</f>
        <v>20760</v>
      </c>
      <c r="G462" s="4">
        <f t="shared" ref="G462:G525" si="38">E462-F462</f>
        <v>-10511</v>
      </c>
    </row>
    <row r="463" spans="2:7" x14ac:dyDescent="0.3">
      <c r="B463" s="2">
        <v>450</v>
      </c>
      <c r="C463" s="2">
        <f t="shared" ref="C463:C526" si="39">$C$8+(B463*1000)</f>
        <v>500000</v>
      </c>
      <c r="D463" s="4">
        <f t="shared" si="35"/>
        <v>550</v>
      </c>
      <c r="E463" s="4">
        <f t="shared" si="36"/>
        <v>10250</v>
      </c>
      <c r="F463" s="4">
        <f t="shared" si="37"/>
        <v>20800</v>
      </c>
      <c r="G463" s="4">
        <f t="shared" si="38"/>
        <v>-10550</v>
      </c>
    </row>
    <row r="464" spans="2:7" x14ac:dyDescent="0.3">
      <c r="B464" s="2">
        <v>451</v>
      </c>
      <c r="C464" s="2">
        <f t="shared" si="39"/>
        <v>501000</v>
      </c>
      <c r="D464" s="4">
        <f t="shared" si="35"/>
        <v>549</v>
      </c>
      <c r="E464" s="4">
        <f t="shared" si="36"/>
        <v>10251</v>
      </c>
      <c r="F464" s="4">
        <f t="shared" si="37"/>
        <v>20840</v>
      </c>
      <c r="G464" s="4">
        <f t="shared" si="38"/>
        <v>-10589</v>
      </c>
    </row>
    <row r="465" spans="2:7" x14ac:dyDescent="0.3">
      <c r="B465" s="2">
        <v>452</v>
      </c>
      <c r="C465" s="2">
        <f t="shared" si="39"/>
        <v>502000</v>
      </c>
      <c r="D465" s="4">
        <f t="shared" si="35"/>
        <v>548</v>
      </c>
      <c r="E465" s="4">
        <f t="shared" si="36"/>
        <v>10252</v>
      </c>
      <c r="F465" s="4">
        <f t="shared" si="37"/>
        <v>20880</v>
      </c>
      <c r="G465" s="4">
        <f t="shared" si="38"/>
        <v>-10628</v>
      </c>
    </row>
    <row r="466" spans="2:7" x14ac:dyDescent="0.3">
      <c r="B466" s="2">
        <v>453</v>
      </c>
      <c r="C466" s="2">
        <f t="shared" si="39"/>
        <v>503000</v>
      </c>
      <c r="D466" s="4">
        <f t="shared" si="35"/>
        <v>547</v>
      </c>
      <c r="E466" s="4">
        <f t="shared" si="36"/>
        <v>10253</v>
      </c>
      <c r="F466" s="4">
        <f t="shared" si="37"/>
        <v>20920</v>
      </c>
      <c r="G466" s="4">
        <f t="shared" si="38"/>
        <v>-10667</v>
      </c>
    </row>
    <row r="467" spans="2:7" x14ac:dyDescent="0.3">
      <c r="B467" s="2">
        <v>454</v>
      </c>
      <c r="C467" s="2">
        <f t="shared" si="39"/>
        <v>504000</v>
      </c>
      <c r="D467" s="4">
        <f t="shared" si="35"/>
        <v>546</v>
      </c>
      <c r="E467" s="4">
        <f t="shared" si="36"/>
        <v>10254</v>
      </c>
      <c r="F467" s="4">
        <f t="shared" si="37"/>
        <v>20960</v>
      </c>
      <c r="G467" s="4">
        <f t="shared" si="38"/>
        <v>-10706</v>
      </c>
    </row>
    <row r="468" spans="2:7" x14ac:dyDescent="0.3">
      <c r="B468" s="2">
        <v>455</v>
      </c>
      <c r="C468" s="2">
        <f t="shared" si="39"/>
        <v>505000</v>
      </c>
      <c r="D468" s="4">
        <f t="shared" si="35"/>
        <v>545</v>
      </c>
      <c r="E468" s="4">
        <f t="shared" si="36"/>
        <v>10255</v>
      </c>
      <c r="F468" s="4">
        <f t="shared" si="37"/>
        <v>21000</v>
      </c>
      <c r="G468" s="4">
        <f t="shared" si="38"/>
        <v>-10745</v>
      </c>
    </row>
    <row r="469" spans="2:7" x14ac:dyDescent="0.3">
      <c r="B469" s="2">
        <v>456</v>
      </c>
      <c r="C469" s="2">
        <f t="shared" si="39"/>
        <v>506000</v>
      </c>
      <c r="D469" s="4">
        <f t="shared" si="35"/>
        <v>544</v>
      </c>
      <c r="E469" s="4">
        <f t="shared" si="36"/>
        <v>10256</v>
      </c>
      <c r="F469" s="4">
        <f t="shared" si="37"/>
        <v>21040</v>
      </c>
      <c r="G469" s="4">
        <f t="shared" si="38"/>
        <v>-10784</v>
      </c>
    </row>
    <row r="470" spans="2:7" x14ac:dyDescent="0.3">
      <c r="B470" s="2">
        <v>457</v>
      </c>
      <c r="C470" s="2">
        <f t="shared" si="39"/>
        <v>507000</v>
      </c>
      <c r="D470" s="4">
        <f t="shared" si="35"/>
        <v>543</v>
      </c>
      <c r="E470" s="4">
        <f t="shared" si="36"/>
        <v>10257</v>
      </c>
      <c r="F470" s="4">
        <f t="shared" si="37"/>
        <v>21080</v>
      </c>
      <c r="G470" s="4">
        <f t="shared" si="38"/>
        <v>-10823</v>
      </c>
    </row>
    <row r="471" spans="2:7" x14ac:dyDescent="0.3">
      <c r="B471" s="2">
        <v>458</v>
      </c>
      <c r="C471" s="2">
        <f t="shared" si="39"/>
        <v>508000</v>
      </c>
      <c r="D471" s="4">
        <f t="shared" si="35"/>
        <v>542</v>
      </c>
      <c r="E471" s="4">
        <f t="shared" si="36"/>
        <v>10258</v>
      </c>
      <c r="F471" s="4">
        <f t="shared" si="37"/>
        <v>21120</v>
      </c>
      <c r="G471" s="4">
        <f t="shared" si="38"/>
        <v>-10862</v>
      </c>
    </row>
    <row r="472" spans="2:7" x14ac:dyDescent="0.3">
      <c r="B472" s="2">
        <v>459</v>
      </c>
      <c r="C472" s="2">
        <f t="shared" si="39"/>
        <v>509000</v>
      </c>
      <c r="D472" s="4">
        <f t="shared" si="35"/>
        <v>541</v>
      </c>
      <c r="E472" s="4">
        <f t="shared" si="36"/>
        <v>10259</v>
      </c>
      <c r="F472" s="4">
        <f t="shared" si="37"/>
        <v>21160</v>
      </c>
      <c r="G472" s="4">
        <f t="shared" si="38"/>
        <v>-10901</v>
      </c>
    </row>
    <row r="473" spans="2:7" x14ac:dyDescent="0.3">
      <c r="B473" s="2">
        <v>460</v>
      </c>
      <c r="C473" s="2">
        <f t="shared" si="39"/>
        <v>510000</v>
      </c>
      <c r="D473" s="4">
        <f t="shared" si="35"/>
        <v>540</v>
      </c>
      <c r="E473" s="4">
        <f t="shared" si="36"/>
        <v>10260</v>
      </c>
      <c r="F473" s="4">
        <f t="shared" si="37"/>
        <v>21200</v>
      </c>
      <c r="G473" s="4">
        <f t="shared" si="38"/>
        <v>-10940</v>
      </c>
    </row>
    <row r="474" spans="2:7" x14ac:dyDescent="0.3">
      <c r="B474" s="2">
        <v>461</v>
      </c>
      <c r="C474" s="2">
        <f t="shared" si="39"/>
        <v>511000</v>
      </c>
      <c r="D474" s="4">
        <f t="shared" si="35"/>
        <v>539</v>
      </c>
      <c r="E474" s="4">
        <f t="shared" si="36"/>
        <v>10261</v>
      </c>
      <c r="F474" s="4">
        <f t="shared" si="37"/>
        <v>21240</v>
      </c>
      <c r="G474" s="4">
        <f t="shared" si="38"/>
        <v>-10979</v>
      </c>
    </row>
    <row r="475" spans="2:7" x14ac:dyDescent="0.3">
      <c r="B475" s="2">
        <v>462</v>
      </c>
      <c r="C475" s="2">
        <f t="shared" si="39"/>
        <v>512000</v>
      </c>
      <c r="D475" s="4">
        <f t="shared" si="35"/>
        <v>538</v>
      </c>
      <c r="E475" s="4">
        <f t="shared" si="36"/>
        <v>10262</v>
      </c>
      <c r="F475" s="4">
        <f t="shared" si="37"/>
        <v>21280</v>
      </c>
      <c r="G475" s="4">
        <f t="shared" si="38"/>
        <v>-11018</v>
      </c>
    </row>
    <row r="476" spans="2:7" x14ac:dyDescent="0.3">
      <c r="B476" s="2">
        <v>463</v>
      </c>
      <c r="C476" s="2">
        <f t="shared" si="39"/>
        <v>513000</v>
      </c>
      <c r="D476" s="4">
        <f t="shared" si="35"/>
        <v>537</v>
      </c>
      <c r="E476" s="4">
        <f t="shared" si="36"/>
        <v>10263</v>
      </c>
      <c r="F476" s="4">
        <f t="shared" si="37"/>
        <v>21320</v>
      </c>
      <c r="G476" s="4">
        <f t="shared" si="38"/>
        <v>-11057</v>
      </c>
    </row>
    <row r="477" spans="2:7" x14ac:dyDescent="0.3">
      <c r="B477" s="2">
        <v>464</v>
      </c>
      <c r="C477" s="2">
        <f t="shared" si="39"/>
        <v>514000</v>
      </c>
      <c r="D477" s="4">
        <f t="shared" si="35"/>
        <v>536</v>
      </c>
      <c r="E477" s="4">
        <f t="shared" si="36"/>
        <v>10264</v>
      </c>
      <c r="F477" s="4">
        <f t="shared" si="37"/>
        <v>21360</v>
      </c>
      <c r="G477" s="4">
        <f t="shared" si="38"/>
        <v>-11096</v>
      </c>
    </row>
    <row r="478" spans="2:7" x14ac:dyDescent="0.3">
      <c r="B478" s="2">
        <v>465</v>
      </c>
      <c r="C478" s="2">
        <f t="shared" si="39"/>
        <v>515000</v>
      </c>
      <c r="D478" s="4">
        <f t="shared" si="35"/>
        <v>535</v>
      </c>
      <c r="E478" s="4">
        <f t="shared" si="36"/>
        <v>10265</v>
      </c>
      <c r="F478" s="4">
        <f t="shared" si="37"/>
        <v>21400</v>
      </c>
      <c r="G478" s="4">
        <f t="shared" si="38"/>
        <v>-11135</v>
      </c>
    </row>
    <row r="479" spans="2:7" x14ac:dyDescent="0.3">
      <c r="B479" s="2">
        <v>466</v>
      </c>
      <c r="C479" s="2">
        <f t="shared" si="39"/>
        <v>516000</v>
      </c>
      <c r="D479" s="4">
        <f t="shared" si="35"/>
        <v>534</v>
      </c>
      <c r="E479" s="4">
        <f t="shared" si="36"/>
        <v>10266</v>
      </c>
      <c r="F479" s="4">
        <f t="shared" si="37"/>
        <v>21440</v>
      </c>
      <c r="G479" s="4">
        <f t="shared" si="38"/>
        <v>-11174</v>
      </c>
    </row>
    <row r="480" spans="2:7" x14ac:dyDescent="0.3">
      <c r="B480" s="2">
        <v>467</v>
      </c>
      <c r="C480" s="2">
        <f t="shared" si="39"/>
        <v>517000</v>
      </c>
      <c r="D480" s="4">
        <f t="shared" si="35"/>
        <v>533</v>
      </c>
      <c r="E480" s="4">
        <f t="shared" si="36"/>
        <v>10267</v>
      </c>
      <c r="F480" s="4">
        <f t="shared" si="37"/>
        <v>21480</v>
      </c>
      <c r="G480" s="4">
        <f t="shared" si="38"/>
        <v>-11213</v>
      </c>
    </row>
    <row r="481" spans="2:7" x14ac:dyDescent="0.3">
      <c r="B481" s="2">
        <v>468</v>
      </c>
      <c r="C481" s="2">
        <f t="shared" si="39"/>
        <v>518000</v>
      </c>
      <c r="D481" s="4">
        <f t="shared" si="35"/>
        <v>532</v>
      </c>
      <c r="E481" s="4">
        <f t="shared" si="36"/>
        <v>10268</v>
      </c>
      <c r="F481" s="4">
        <f t="shared" si="37"/>
        <v>21520</v>
      </c>
      <c r="G481" s="4">
        <f t="shared" si="38"/>
        <v>-11252</v>
      </c>
    </row>
    <row r="482" spans="2:7" x14ac:dyDescent="0.3">
      <c r="B482" s="2">
        <v>469</v>
      </c>
      <c r="C482" s="2">
        <f t="shared" si="39"/>
        <v>519000</v>
      </c>
      <c r="D482" s="4">
        <f t="shared" si="35"/>
        <v>531</v>
      </c>
      <c r="E482" s="4">
        <f t="shared" si="36"/>
        <v>10269</v>
      </c>
      <c r="F482" s="4">
        <f t="shared" si="37"/>
        <v>21560</v>
      </c>
      <c r="G482" s="4">
        <f t="shared" si="38"/>
        <v>-11291</v>
      </c>
    </row>
    <row r="483" spans="2:7" x14ac:dyDescent="0.3">
      <c r="B483" s="2">
        <v>470</v>
      </c>
      <c r="C483" s="2">
        <f t="shared" si="39"/>
        <v>520000</v>
      </c>
      <c r="D483" s="4">
        <f t="shared" si="35"/>
        <v>530</v>
      </c>
      <c r="E483" s="4">
        <f t="shared" si="36"/>
        <v>10270</v>
      </c>
      <c r="F483" s="4">
        <f t="shared" si="37"/>
        <v>21600</v>
      </c>
      <c r="G483" s="4">
        <f t="shared" si="38"/>
        <v>-11330</v>
      </c>
    </row>
    <row r="484" spans="2:7" x14ac:dyDescent="0.3">
      <c r="B484" s="2">
        <v>471</v>
      </c>
      <c r="C484" s="2">
        <f t="shared" si="39"/>
        <v>521000</v>
      </c>
      <c r="D484" s="4">
        <f t="shared" si="35"/>
        <v>529</v>
      </c>
      <c r="E484" s="4">
        <f t="shared" si="36"/>
        <v>10271</v>
      </c>
      <c r="F484" s="4">
        <f t="shared" si="37"/>
        <v>21640</v>
      </c>
      <c r="G484" s="4">
        <f t="shared" si="38"/>
        <v>-11369</v>
      </c>
    </row>
    <row r="485" spans="2:7" x14ac:dyDescent="0.3">
      <c r="B485" s="2">
        <v>472</v>
      </c>
      <c r="C485" s="2">
        <f t="shared" si="39"/>
        <v>522000</v>
      </c>
      <c r="D485" s="4">
        <f t="shared" si="35"/>
        <v>528</v>
      </c>
      <c r="E485" s="4">
        <f t="shared" si="36"/>
        <v>10272</v>
      </c>
      <c r="F485" s="4">
        <f t="shared" si="37"/>
        <v>21680</v>
      </c>
      <c r="G485" s="4">
        <f t="shared" si="38"/>
        <v>-11408</v>
      </c>
    </row>
    <row r="486" spans="2:7" x14ac:dyDescent="0.3">
      <c r="B486" s="2">
        <v>473</v>
      </c>
      <c r="C486" s="2">
        <f t="shared" si="39"/>
        <v>523000</v>
      </c>
      <c r="D486" s="4">
        <f t="shared" si="35"/>
        <v>527</v>
      </c>
      <c r="E486" s="4">
        <f t="shared" si="36"/>
        <v>10273</v>
      </c>
      <c r="F486" s="4">
        <f t="shared" si="37"/>
        <v>21720</v>
      </c>
      <c r="G486" s="4">
        <f t="shared" si="38"/>
        <v>-11447</v>
      </c>
    </row>
    <row r="487" spans="2:7" x14ac:dyDescent="0.3">
      <c r="B487" s="2">
        <v>474</v>
      </c>
      <c r="C487" s="2">
        <f t="shared" si="39"/>
        <v>524000</v>
      </c>
      <c r="D487" s="4">
        <f t="shared" si="35"/>
        <v>526</v>
      </c>
      <c r="E487" s="4">
        <f t="shared" si="36"/>
        <v>10274</v>
      </c>
      <c r="F487" s="4">
        <f t="shared" si="37"/>
        <v>21760</v>
      </c>
      <c r="G487" s="4">
        <f t="shared" si="38"/>
        <v>-11486</v>
      </c>
    </row>
    <row r="488" spans="2:7" x14ac:dyDescent="0.3">
      <c r="B488" s="2">
        <v>475</v>
      </c>
      <c r="C488" s="2">
        <f t="shared" si="39"/>
        <v>525000</v>
      </c>
      <c r="D488" s="4">
        <f t="shared" si="35"/>
        <v>525</v>
      </c>
      <c r="E488" s="4">
        <f t="shared" si="36"/>
        <v>10275</v>
      </c>
      <c r="F488" s="4">
        <f t="shared" si="37"/>
        <v>21800</v>
      </c>
      <c r="G488" s="4">
        <f t="shared" si="38"/>
        <v>-11525</v>
      </c>
    </row>
    <row r="489" spans="2:7" x14ac:dyDescent="0.3">
      <c r="B489" s="2">
        <v>476</v>
      </c>
      <c r="C489" s="2">
        <f t="shared" si="39"/>
        <v>526000</v>
      </c>
      <c r="D489" s="4">
        <f t="shared" si="35"/>
        <v>524</v>
      </c>
      <c r="E489" s="4">
        <f t="shared" si="36"/>
        <v>10276</v>
      </c>
      <c r="F489" s="4">
        <f t="shared" si="37"/>
        <v>21840</v>
      </c>
      <c r="G489" s="4">
        <f t="shared" si="38"/>
        <v>-11564</v>
      </c>
    </row>
    <row r="490" spans="2:7" x14ac:dyDescent="0.3">
      <c r="B490" s="2">
        <v>477</v>
      </c>
      <c r="C490" s="2">
        <f t="shared" si="39"/>
        <v>527000</v>
      </c>
      <c r="D490" s="4">
        <f t="shared" si="35"/>
        <v>523</v>
      </c>
      <c r="E490" s="4">
        <f t="shared" si="36"/>
        <v>10277</v>
      </c>
      <c r="F490" s="4">
        <f t="shared" si="37"/>
        <v>21880</v>
      </c>
      <c r="G490" s="4">
        <f t="shared" si="38"/>
        <v>-11603</v>
      </c>
    </row>
    <row r="491" spans="2:7" x14ac:dyDescent="0.3">
      <c r="B491" s="2">
        <v>478</v>
      </c>
      <c r="C491" s="2">
        <f t="shared" si="39"/>
        <v>528000</v>
      </c>
      <c r="D491" s="4">
        <f t="shared" si="35"/>
        <v>522</v>
      </c>
      <c r="E491" s="4">
        <f t="shared" si="36"/>
        <v>10278</v>
      </c>
      <c r="F491" s="4">
        <f t="shared" si="37"/>
        <v>21920</v>
      </c>
      <c r="G491" s="4">
        <f t="shared" si="38"/>
        <v>-11642</v>
      </c>
    </row>
    <row r="492" spans="2:7" x14ac:dyDescent="0.3">
      <c r="B492" s="2">
        <v>479</v>
      </c>
      <c r="C492" s="2">
        <f t="shared" si="39"/>
        <v>529000</v>
      </c>
      <c r="D492" s="4">
        <f t="shared" si="35"/>
        <v>521</v>
      </c>
      <c r="E492" s="4">
        <f t="shared" si="36"/>
        <v>10279</v>
      </c>
      <c r="F492" s="4">
        <f t="shared" si="37"/>
        <v>21960</v>
      </c>
      <c r="G492" s="4">
        <f t="shared" si="38"/>
        <v>-11681</v>
      </c>
    </row>
    <row r="493" spans="2:7" x14ac:dyDescent="0.3">
      <c r="B493" s="2">
        <v>480</v>
      </c>
      <c r="C493" s="2">
        <f t="shared" si="39"/>
        <v>530000</v>
      </c>
      <c r="D493" s="4">
        <f t="shared" si="35"/>
        <v>520</v>
      </c>
      <c r="E493" s="4">
        <f t="shared" si="36"/>
        <v>10280</v>
      </c>
      <c r="F493" s="4">
        <f t="shared" si="37"/>
        <v>22000</v>
      </c>
      <c r="G493" s="4">
        <f t="shared" si="38"/>
        <v>-11720</v>
      </c>
    </row>
    <row r="494" spans="2:7" x14ac:dyDescent="0.3">
      <c r="B494" s="2">
        <v>481</v>
      </c>
      <c r="C494" s="2">
        <f t="shared" si="39"/>
        <v>531000</v>
      </c>
      <c r="D494" s="4">
        <f t="shared" si="35"/>
        <v>519</v>
      </c>
      <c r="E494" s="4">
        <f t="shared" si="36"/>
        <v>10281</v>
      </c>
      <c r="F494" s="4">
        <f t="shared" si="37"/>
        <v>22040</v>
      </c>
      <c r="G494" s="4">
        <f t="shared" si="38"/>
        <v>-11759</v>
      </c>
    </row>
    <row r="495" spans="2:7" x14ac:dyDescent="0.3">
      <c r="B495" s="2">
        <v>482</v>
      </c>
      <c r="C495" s="2">
        <f t="shared" si="39"/>
        <v>532000</v>
      </c>
      <c r="D495" s="4">
        <f t="shared" si="35"/>
        <v>518</v>
      </c>
      <c r="E495" s="4">
        <f t="shared" si="36"/>
        <v>10282</v>
      </c>
      <c r="F495" s="4">
        <f t="shared" si="37"/>
        <v>22080</v>
      </c>
      <c r="G495" s="4">
        <f t="shared" si="38"/>
        <v>-11798</v>
      </c>
    </row>
    <row r="496" spans="2:7" x14ac:dyDescent="0.3">
      <c r="B496" s="2">
        <v>483</v>
      </c>
      <c r="C496" s="2">
        <f t="shared" si="39"/>
        <v>533000</v>
      </c>
      <c r="D496" s="4">
        <f t="shared" si="35"/>
        <v>517</v>
      </c>
      <c r="E496" s="4">
        <f t="shared" si="36"/>
        <v>10283</v>
      </c>
      <c r="F496" s="4">
        <f t="shared" si="37"/>
        <v>22120</v>
      </c>
      <c r="G496" s="4">
        <f t="shared" si="38"/>
        <v>-11837</v>
      </c>
    </row>
    <row r="497" spans="2:7" x14ac:dyDescent="0.3">
      <c r="B497" s="2">
        <v>484</v>
      </c>
      <c r="C497" s="2">
        <f t="shared" si="39"/>
        <v>534000</v>
      </c>
      <c r="D497" s="4">
        <f t="shared" si="35"/>
        <v>516</v>
      </c>
      <c r="E497" s="4">
        <f t="shared" si="36"/>
        <v>10284</v>
      </c>
      <c r="F497" s="4">
        <f t="shared" si="37"/>
        <v>22160</v>
      </c>
      <c r="G497" s="4">
        <f t="shared" si="38"/>
        <v>-11876</v>
      </c>
    </row>
    <row r="498" spans="2:7" x14ac:dyDescent="0.3">
      <c r="B498" s="2">
        <v>485</v>
      </c>
      <c r="C498" s="2">
        <f t="shared" si="39"/>
        <v>535000</v>
      </c>
      <c r="D498" s="4">
        <f t="shared" si="35"/>
        <v>515</v>
      </c>
      <c r="E498" s="4">
        <f t="shared" si="36"/>
        <v>10285</v>
      </c>
      <c r="F498" s="4">
        <f t="shared" si="37"/>
        <v>22200</v>
      </c>
      <c r="G498" s="4">
        <f t="shared" si="38"/>
        <v>-11915</v>
      </c>
    </row>
    <row r="499" spans="2:7" x14ac:dyDescent="0.3">
      <c r="B499" s="2">
        <v>486</v>
      </c>
      <c r="C499" s="2">
        <f t="shared" si="39"/>
        <v>536000</v>
      </c>
      <c r="D499" s="4">
        <f t="shared" si="35"/>
        <v>514</v>
      </c>
      <c r="E499" s="4">
        <f t="shared" si="36"/>
        <v>10286</v>
      </c>
      <c r="F499" s="4">
        <f t="shared" si="37"/>
        <v>22240</v>
      </c>
      <c r="G499" s="4">
        <f t="shared" si="38"/>
        <v>-11954</v>
      </c>
    </row>
    <row r="500" spans="2:7" x14ac:dyDescent="0.3">
      <c r="B500" s="2">
        <v>487</v>
      </c>
      <c r="C500" s="2">
        <f t="shared" si="39"/>
        <v>537000</v>
      </c>
      <c r="D500" s="4">
        <f t="shared" si="35"/>
        <v>513</v>
      </c>
      <c r="E500" s="4">
        <f t="shared" si="36"/>
        <v>10287</v>
      </c>
      <c r="F500" s="4">
        <f t="shared" si="37"/>
        <v>22280</v>
      </c>
      <c r="G500" s="4">
        <f t="shared" si="38"/>
        <v>-11993</v>
      </c>
    </row>
    <row r="501" spans="2:7" x14ac:dyDescent="0.3">
      <c r="B501" s="2">
        <v>488</v>
      </c>
      <c r="C501" s="2">
        <f t="shared" si="39"/>
        <v>538000</v>
      </c>
      <c r="D501" s="4">
        <f t="shared" si="35"/>
        <v>512</v>
      </c>
      <c r="E501" s="4">
        <f t="shared" si="36"/>
        <v>10288</v>
      </c>
      <c r="F501" s="4">
        <f t="shared" si="37"/>
        <v>22320</v>
      </c>
      <c r="G501" s="4">
        <f t="shared" si="38"/>
        <v>-12032</v>
      </c>
    </row>
    <row r="502" spans="2:7" x14ac:dyDescent="0.3">
      <c r="B502" s="2">
        <v>489</v>
      </c>
      <c r="C502" s="2">
        <f t="shared" si="39"/>
        <v>539000</v>
      </c>
      <c r="D502" s="4">
        <f t="shared" si="35"/>
        <v>511</v>
      </c>
      <c r="E502" s="4">
        <f t="shared" si="36"/>
        <v>10289</v>
      </c>
      <c r="F502" s="4">
        <f t="shared" si="37"/>
        <v>22360</v>
      </c>
      <c r="G502" s="4">
        <f t="shared" si="38"/>
        <v>-12071</v>
      </c>
    </row>
    <row r="503" spans="2:7" x14ac:dyDescent="0.3">
      <c r="B503" s="2">
        <v>490</v>
      </c>
      <c r="C503" s="2">
        <f t="shared" si="39"/>
        <v>540000</v>
      </c>
      <c r="D503" s="4">
        <f t="shared" si="35"/>
        <v>510</v>
      </c>
      <c r="E503" s="4">
        <f t="shared" si="36"/>
        <v>10290</v>
      </c>
      <c r="F503" s="4">
        <f t="shared" si="37"/>
        <v>22400</v>
      </c>
      <c r="G503" s="4">
        <f t="shared" si="38"/>
        <v>-12110</v>
      </c>
    </row>
    <row r="504" spans="2:7" x14ac:dyDescent="0.3">
      <c r="B504" s="2">
        <v>491</v>
      </c>
      <c r="C504" s="2">
        <f t="shared" si="39"/>
        <v>541000</v>
      </c>
      <c r="D504" s="4">
        <f t="shared" si="35"/>
        <v>509</v>
      </c>
      <c r="E504" s="4">
        <f t="shared" si="36"/>
        <v>10291</v>
      </c>
      <c r="F504" s="4">
        <f t="shared" si="37"/>
        <v>22440</v>
      </c>
      <c r="G504" s="4">
        <f t="shared" si="38"/>
        <v>-12149</v>
      </c>
    </row>
    <row r="505" spans="2:7" x14ac:dyDescent="0.3">
      <c r="B505" s="2">
        <v>492</v>
      </c>
      <c r="C505" s="2">
        <f t="shared" si="39"/>
        <v>542000</v>
      </c>
      <c r="D505" s="4">
        <f t="shared" si="35"/>
        <v>508</v>
      </c>
      <c r="E505" s="4">
        <f t="shared" si="36"/>
        <v>10292</v>
      </c>
      <c r="F505" s="4">
        <f t="shared" si="37"/>
        <v>22480</v>
      </c>
      <c r="G505" s="4">
        <f t="shared" si="38"/>
        <v>-12188</v>
      </c>
    </row>
    <row r="506" spans="2:7" x14ac:dyDescent="0.3">
      <c r="B506" s="2">
        <v>493</v>
      </c>
      <c r="C506" s="2">
        <f t="shared" si="39"/>
        <v>543000</v>
      </c>
      <c r="D506" s="4">
        <f t="shared" si="35"/>
        <v>507</v>
      </c>
      <c r="E506" s="4">
        <f t="shared" si="36"/>
        <v>10293</v>
      </c>
      <c r="F506" s="4">
        <f t="shared" si="37"/>
        <v>22520</v>
      </c>
      <c r="G506" s="4">
        <f t="shared" si="38"/>
        <v>-12227</v>
      </c>
    </row>
    <row r="507" spans="2:7" x14ac:dyDescent="0.3">
      <c r="B507" s="2">
        <v>494</v>
      </c>
      <c r="C507" s="2">
        <f t="shared" si="39"/>
        <v>544000</v>
      </c>
      <c r="D507" s="4">
        <f t="shared" si="35"/>
        <v>506</v>
      </c>
      <c r="E507" s="4">
        <f t="shared" si="36"/>
        <v>10294</v>
      </c>
      <c r="F507" s="4">
        <f t="shared" si="37"/>
        <v>22560</v>
      </c>
      <c r="G507" s="4">
        <f t="shared" si="38"/>
        <v>-12266</v>
      </c>
    </row>
    <row r="508" spans="2:7" x14ac:dyDescent="0.3">
      <c r="B508" s="2">
        <v>495</v>
      </c>
      <c r="C508" s="2">
        <f t="shared" si="39"/>
        <v>545000</v>
      </c>
      <c r="D508" s="4">
        <f t="shared" si="35"/>
        <v>505</v>
      </c>
      <c r="E508" s="4">
        <f t="shared" si="36"/>
        <v>10295</v>
      </c>
      <c r="F508" s="4">
        <f t="shared" si="37"/>
        <v>22600</v>
      </c>
      <c r="G508" s="4">
        <f t="shared" si="38"/>
        <v>-12305</v>
      </c>
    </row>
    <row r="509" spans="2:7" x14ac:dyDescent="0.3">
      <c r="B509" s="2">
        <v>496</v>
      </c>
      <c r="C509" s="2">
        <f t="shared" si="39"/>
        <v>546000</v>
      </c>
      <c r="D509" s="4">
        <f t="shared" si="35"/>
        <v>504</v>
      </c>
      <c r="E509" s="4">
        <f t="shared" si="36"/>
        <v>10296</v>
      </c>
      <c r="F509" s="4">
        <f t="shared" si="37"/>
        <v>22640</v>
      </c>
      <c r="G509" s="4">
        <f t="shared" si="38"/>
        <v>-12344</v>
      </c>
    </row>
    <row r="510" spans="2:7" x14ac:dyDescent="0.3">
      <c r="B510" s="2">
        <v>497</v>
      </c>
      <c r="C510" s="2">
        <f t="shared" si="39"/>
        <v>547000</v>
      </c>
      <c r="D510" s="4">
        <f t="shared" si="35"/>
        <v>503</v>
      </c>
      <c r="E510" s="4">
        <f t="shared" si="36"/>
        <v>10297</v>
      </c>
      <c r="F510" s="4">
        <f t="shared" si="37"/>
        <v>22680</v>
      </c>
      <c r="G510" s="4">
        <f t="shared" si="38"/>
        <v>-12383</v>
      </c>
    </row>
    <row r="511" spans="2:7" x14ac:dyDescent="0.3">
      <c r="B511" s="2">
        <v>498</v>
      </c>
      <c r="C511" s="2">
        <f t="shared" si="39"/>
        <v>548000</v>
      </c>
      <c r="D511" s="4">
        <f t="shared" si="35"/>
        <v>502</v>
      </c>
      <c r="E511" s="4">
        <f t="shared" si="36"/>
        <v>10298</v>
      </c>
      <c r="F511" s="4">
        <f t="shared" si="37"/>
        <v>22720</v>
      </c>
      <c r="G511" s="4">
        <f t="shared" si="38"/>
        <v>-12422</v>
      </c>
    </row>
    <row r="512" spans="2:7" x14ac:dyDescent="0.3">
      <c r="B512" s="2">
        <v>499</v>
      </c>
      <c r="C512" s="2">
        <f t="shared" si="39"/>
        <v>549000</v>
      </c>
      <c r="D512" s="4">
        <f t="shared" si="35"/>
        <v>501</v>
      </c>
      <c r="E512" s="4">
        <f t="shared" si="36"/>
        <v>10299</v>
      </c>
      <c r="F512" s="4">
        <f t="shared" si="37"/>
        <v>22760</v>
      </c>
      <c r="G512" s="4">
        <f t="shared" si="38"/>
        <v>-12461</v>
      </c>
    </row>
    <row r="513" spans="2:7" x14ac:dyDescent="0.3">
      <c r="B513" s="2">
        <v>500</v>
      </c>
      <c r="C513" s="2">
        <f t="shared" si="39"/>
        <v>550000</v>
      </c>
      <c r="D513" s="4">
        <f t="shared" si="35"/>
        <v>500</v>
      </c>
      <c r="E513" s="4">
        <f t="shared" si="36"/>
        <v>10300</v>
      </c>
      <c r="F513" s="4">
        <f t="shared" si="37"/>
        <v>22800</v>
      </c>
      <c r="G513" s="4">
        <f t="shared" si="38"/>
        <v>-12500</v>
      </c>
    </row>
    <row r="514" spans="2:7" x14ac:dyDescent="0.3">
      <c r="B514" s="2">
        <v>501</v>
      </c>
      <c r="C514" s="2">
        <f t="shared" si="39"/>
        <v>551000</v>
      </c>
      <c r="D514" s="4">
        <f t="shared" si="35"/>
        <v>499</v>
      </c>
      <c r="E514" s="4">
        <f t="shared" si="36"/>
        <v>10301</v>
      </c>
      <c r="F514" s="4">
        <f t="shared" si="37"/>
        <v>22840</v>
      </c>
      <c r="G514" s="4">
        <f t="shared" si="38"/>
        <v>-12539</v>
      </c>
    </row>
    <row r="515" spans="2:7" x14ac:dyDescent="0.3">
      <c r="B515" s="2">
        <v>502</v>
      </c>
      <c r="C515" s="2">
        <f t="shared" si="39"/>
        <v>552000</v>
      </c>
      <c r="D515" s="4">
        <f t="shared" si="35"/>
        <v>498</v>
      </c>
      <c r="E515" s="4">
        <f t="shared" si="36"/>
        <v>10302</v>
      </c>
      <c r="F515" s="4">
        <f t="shared" si="37"/>
        <v>22880</v>
      </c>
      <c r="G515" s="4">
        <f t="shared" si="38"/>
        <v>-12578</v>
      </c>
    </row>
    <row r="516" spans="2:7" x14ac:dyDescent="0.3">
      <c r="B516" s="2">
        <v>503</v>
      </c>
      <c r="C516" s="2">
        <f t="shared" si="39"/>
        <v>553000</v>
      </c>
      <c r="D516" s="4">
        <f t="shared" si="35"/>
        <v>497</v>
      </c>
      <c r="E516" s="4">
        <f t="shared" si="36"/>
        <v>10303</v>
      </c>
      <c r="F516" s="4">
        <f t="shared" si="37"/>
        <v>22920</v>
      </c>
      <c r="G516" s="4">
        <f t="shared" si="38"/>
        <v>-12617</v>
      </c>
    </row>
    <row r="517" spans="2:7" x14ac:dyDescent="0.3">
      <c r="B517" s="2">
        <v>504</v>
      </c>
      <c r="C517" s="2">
        <f t="shared" si="39"/>
        <v>554000</v>
      </c>
      <c r="D517" s="4">
        <f t="shared" si="35"/>
        <v>496</v>
      </c>
      <c r="E517" s="4">
        <f t="shared" si="36"/>
        <v>10304</v>
      </c>
      <c r="F517" s="4">
        <f t="shared" si="37"/>
        <v>22960</v>
      </c>
      <c r="G517" s="4">
        <f t="shared" si="38"/>
        <v>-12656</v>
      </c>
    </row>
    <row r="518" spans="2:7" x14ac:dyDescent="0.3">
      <c r="B518" s="2">
        <v>505</v>
      </c>
      <c r="C518" s="2">
        <f t="shared" si="39"/>
        <v>555000</v>
      </c>
      <c r="D518" s="4">
        <f t="shared" si="35"/>
        <v>495</v>
      </c>
      <c r="E518" s="4">
        <f t="shared" si="36"/>
        <v>10305</v>
      </c>
      <c r="F518" s="4">
        <f t="shared" si="37"/>
        <v>23000</v>
      </c>
      <c r="G518" s="4">
        <f t="shared" si="38"/>
        <v>-12695</v>
      </c>
    </row>
    <row r="519" spans="2:7" x14ac:dyDescent="0.3">
      <c r="B519" s="2">
        <v>506</v>
      </c>
      <c r="C519" s="2">
        <f t="shared" si="39"/>
        <v>556000</v>
      </c>
      <c r="D519" s="4">
        <f t="shared" si="35"/>
        <v>494</v>
      </c>
      <c r="E519" s="4">
        <f t="shared" si="36"/>
        <v>10306</v>
      </c>
      <c r="F519" s="4">
        <f t="shared" si="37"/>
        <v>23040</v>
      </c>
      <c r="G519" s="4">
        <f t="shared" si="38"/>
        <v>-12734</v>
      </c>
    </row>
    <row r="520" spans="2:7" x14ac:dyDescent="0.3">
      <c r="B520" s="2">
        <v>507</v>
      </c>
      <c r="C520" s="2">
        <f t="shared" si="39"/>
        <v>557000</v>
      </c>
      <c r="D520" s="4">
        <f t="shared" si="35"/>
        <v>493</v>
      </c>
      <c r="E520" s="4">
        <f t="shared" si="36"/>
        <v>10307</v>
      </c>
      <c r="F520" s="4">
        <f t="shared" si="37"/>
        <v>23080</v>
      </c>
      <c r="G520" s="4">
        <f t="shared" si="38"/>
        <v>-12773</v>
      </c>
    </row>
    <row r="521" spans="2:7" x14ac:dyDescent="0.3">
      <c r="B521" s="2">
        <v>508</v>
      </c>
      <c r="C521" s="2">
        <f t="shared" si="39"/>
        <v>558000</v>
      </c>
      <c r="D521" s="4">
        <f t="shared" si="35"/>
        <v>492</v>
      </c>
      <c r="E521" s="4">
        <f t="shared" si="36"/>
        <v>10308</v>
      </c>
      <c r="F521" s="4">
        <f t="shared" si="37"/>
        <v>23120</v>
      </c>
      <c r="G521" s="4">
        <f t="shared" si="38"/>
        <v>-12812</v>
      </c>
    </row>
    <row r="522" spans="2:7" x14ac:dyDescent="0.3">
      <c r="B522" s="2">
        <v>509</v>
      </c>
      <c r="C522" s="2">
        <f t="shared" si="39"/>
        <v>559000</v>
      </c>
      <c r="D522" s="4">
        <f t="shared" si="35"/>
        <v>491</v>
      </c>
      <c r="E522" s="4">
        <f t="shared" si="36"/>
        <v>10309</v>
      </c>
      <c r="F522" s="4">
        <f t="shared" si="37"/>
        <v>23160</v>
      </c>
      <c r="G522" s="4">
        <f t="shared" si="38"/>
        <v>-12851</v>
      </c>
    </row>
    <row r="523" spans="2:7" x14ac:dyDescent="0.3">
      <c r="B523" s="2">
        <v>510</v>
      </c>
      <c r="C523" s="2">
        <f t="shared" si="39"/>
        <v>560000</v>
      </c>
      <c r="D523" s="4">
        <f t="shared" si="35"/>
        <v>490</v>
      </c>
      <c r="E523" s="4">
        <f t="shared" si="36"/>
        <v>10310</v>
      </c>
      <c r="F523" s="4">
        <f t="shared" si="37"/>
        <v>23200</v>
      </c>
      <c r="G523" s="4">
        <f t="shared" si="38"/>
        <v>-12890</v>
      </c>
    </row>
    <row r="524" spans="2:7" x14ac:dyDescent="0.3">
      <c r="B524" s="2">
        <v>511</v>
      </c>
      <c r="C524" s="2">
        <f t="shared" si="39"/>
        <v>561000</v>
      </c>
      <c r="D524" s="4">
        <f t="shared" si="35"/>
        <v>489</v>
      </c>
      <c r="E524" s="4">
        <f t="shared" si="36"/>
        <v>10311</v>
      </c>
      <c r="F524" s="4">
        <f t="shared" si="37"/>
        <v>23240</v>
      </c>
      <c r="G524" s="4">
        <f t="shared" si="38"/>
        <v>-12929</v>
      </c>
    </row>
    <row r="525" spans="2:7" x14ac:dyDescent="0.3">
      <c r="B525" s="2">
        <v>512</v>
      </c>
      <c r="C525" s="2">
        <f t="shared" si="39"/>
        <v>562000</v>
      </c>
      <c r="D525" s="4">
        <f t="shared" si="35"/>
        <v>488</v>
      </c>
      <c r="E525" s="4">
        <f t="shared" si="36"/>
        <v>10312</v>
      </c>
      <c r="F525" s="4">
        <f t="shared" si="37"/>
        <v>23280</v>
      </c>
      <c r="G525" s="4">
        <f t="shared" si="38"/>
        <v>-12968</v>
      </c>
    </row>
    <row r="526" spans="2:7" x14ac:dyDescent="0.3">
      <c r="B526" s="2">
        <v>513</v>
      </c>
      <c r="C526" s="2">
        <f t="shared" si="39"/>
        <v>563000</v>
      </c>
      <c r="D526" s="4">
        <f t="shared" ref="D526:D589" si="40">IF(C526&lt;=50000,$C$5,$C$5-((C526-50000)/1000)*$C$7)</f>
        <v>487</v>
      </c>
      <c r="E526" s="4">
        <f t="shared" ref="E526:E589" si="41">$C$3+$C$4*$C$6-D526</f>
        <v>10313</v>
      </c>
      <c r="F526" s="4">
        <f t="shared" ref="F526:F589" si="42">$F$3*$C$7+$F$4*C526</f>
        <v>23320</v>
      </c>
      <c r="G526" s="4">
        <f t="shared" ref="G526:G589" si="43">E526-F526</f>
        <v>-13007</v>
      </c>
    </row>
    <row r="527" spans="2:7" x14ac:dyDescent="0.3">
      <c r="B527" s="2">
        <v>514</v>
      </c>
      <c r="C527" s="2">
        <f t="shared" ref="C527:C590" si="44">$C$8+(B527*1000)</f>
        <v>564000</v>
      </c>
      <c r="D527" s="4">
        <f t="shared" si="40"/>
        <v>486</v>
      </c>
      <c r="E527" s="4">
        <f t="shared" si="41"/>
        <v>10314</v>
      </c>
      <c r="F527" s="4">
        <f t="shared" si="42"/>
        <v>23360</v>
      </c>
      <c r="G527" s="4">
        <f t="shared" si="43"/>
        <v>-13046</v>
      </c>
    </row>
    <row r="528" spans="2:7" x14ac:dyDescent="0.3">
      <c r="B528" s="2">
        <v>515</v>
      </c>
      <c r="C528" s="2">
        <f t="shared" si="44"/>
        <v>565000</v>
      </c>
      <c r="D528" s="4">
        <f t="shared" si="40"/>
        <v>485</v>
      </c>
      <c r="E528" s="4">
        <f t="shared" si="41"/>
        <v>10315</v>
      </c>
      <c r="F528" s="4">
        <f t="shared" si="42"/>
        <v>23400</v>
      </c>
      <c r="G528" s="4">
        <f t="shared" si="43"/>
        <v>-13085</v>
      </c>
    </row>
    <row r="529" spans="2:7" x14ac:dyDescent="0.3">
      <c r="B529" s="2">
        <v>516</v>
      </c>
      <c r="C529" s="2">
        <f t="shared" si="44"/>
        <v>566000</v>
      </c>
      <c r="D529" s="4">
        <f t="shared" si="40"/>
        <v>484</v>
      </c>
      <c r="E529" s="4">
        <f t="shared" si="41"/>
        <v>10316</v>
      </c>
      <c r="F529" s="4">
        <f t="shared" si="42"/>
        <v>23440</v>
      </c>
      <c r="G529" s="4">
        <f t="shared" si="43"/>
        <v>-13124</v>
      </c>
    </row>
    <row r="530" spans="2:7" x14ac:dyDescent="0.3">
      <c r="B530" s="2">
        <v>517</v>
      </c>
      <c r="C530" s="2">
        <f t="shared" si="44"/>
        <v>567000</v>
      </c>
      <c r="D530" s="4">
        <f t="shared" si="40"/>
        <v>483</v>
      </c>
      <c r="E530" s="4">
        <f t="shared" si="41"/>
        <v>10317</v>
      </c>
      <c r="F530" s="4">
        <f t="shared" si="42"/>
        <v>23480</v>
      </c>
      <c r="G530" s="4">
        <f t="shared" si="43"/>
        <v>-13163</v>
      </c>
    </row>
    <row r="531" spans="2:7" x14ac:dyDescent="0.3">
      <c r="B531" s="2">
        <v>518</v>
      </c>
      <c r="C531" s="2">
        <f t="shared" si="44"/>
        <v>568000</v>
      </c>
      <c r="D531" s="4">
        <f t="shared" si="40"/>
        <v>482</v>
      </c>
      <c r="E531" s="4">
        <f t="shared" si="41"/>
        <v>10318</v>
      </c>
      <c r="F531" s="4">
        <f t="shared" si="42"/>
        <v>23520</v>
      </c>
      <c r="G531" s="4">
        <f t="shared" si="43"/>
        <v>-13202</v>
      </c>
    </row>
    <row r="532" spans="2:7" x14ac:dyDescent="0.3">
      <c r="B532" s="2">
        <v>519</v>
      </c>
      <c r="C532" s="2">
        <f t="shared" si="44"/>
        <v>569000</v>
      </c>
      <c r="D532" s="4">
        <f t="shared" si="40"/>
        <v>481</v>
      </c>
      <c r="E532" s="4">
        <f t="shared" si="41"/>
        <v>10319</v>
      </c>
      <c r="F532" s="4">
        <f t="shared" si="42"/>
        <v>23560</v>
      </c>
      <c r="G532" s="4">
        <f t="shared" si="43"/>
        <v>-13241</v>
      </c>
    </row>
    <row r="533" spans="2:7" x14ac:dyDescent="0.3">
      <c r="B533" s="2">
        <v>520</v>
      </c>
      <c r="C533" s="2">
        <f t="shared" si="44"/>
        <v>570000</v>
      </c>
      <c r="D533" s="4">
        <f t="shared" si="40"/>
        <v>480</v>
      </c>
      <c r="E533" s="4">
        <f t="shared" si="41"/>
        <v>10320</v>
      </c>
      <c r="F533" s="4">
        <f t="shared" si="42"/>
        <v>23600</v>
      </c>
      <c r="G533" s="4">
        <f t="shared" si="43"/>
        <v>-13280</v>
      </c>
    </row>
    <row r="534" spans="2:7" x14ac:dyDescent="0.3">
      <c r="B534" s="2">
        <v>521</v>
      </c>
      <c r="C534" s="2">
        <f t="shared" si="44"/>
        <v>571000</v>
      </c>
      <c r="D534" s="4">
        <f t="shared" si="40"/>
        <v>479</v>
      </c>
      <c r="E534" s="4">
        <f t="shared" si="41"/>
        <v>10321</v>
      </c>
      <c r="F534" s="4">
        <f t="shared" si="42"/>
        <v>23640</v>
      </c>
      <c r="G534" s="4">
        <f t="shared" si="43"/>
        <v>-13319</v>
      </c>
    </row>
    <row r="535" spans="2:7" x14ac:dyDescent="0.3">
      <c r="B535" s="2">
        <v>522</v>
      </c>
      <c r="C535" s="2">
        <f t="shared" si="44"/>
        <v>572000</v>
      </c>
      <c r="D535" s="4">
        <f t="shared" si="40"/>
        <v>478</v>
      </c>
      <c r="E535" s="4">
        <f t="shared" si="41"/>
        <v>10322</v>
      </c>
      <c r="F535" s="4">
        <f t="shared" si="42"/>
        <v>23680</v>
      </c>
      <c r="G535" s="4">
        <f t="shared" si="43"/>
        <v>-13358</v>
      </c>
    </row>
    <row r="536" spans="2:7" x14ac:dyDescent="0.3">
      <c r="B536" s="2">
        <v>523</v>
      </c>
      <c r="C536" s="2">
        <f t="shared" si="44"/>
        <v>573000</v>
      </c>
      <c r="D536" s="4">
        <f t="shared" si="40"/>
        <v>477</v>
      </c>
      <c r="E536" s="4">
        <f t="shared" si="41"/>
        <v>10323</v>
      </c>
      <c r="F536" s="4">
        <f t="shared" si="42"/>
        <v>23720</v>
      </c>
      <c r="G536" s="4">
        <f t="shared" si="43"/>
        <v>-13397</v>
      </c>
    </row>
    <row r="537" spans="2:7" x14ac:dyDescent="0.3">
      <c r="B537" s="2">
        <v>524</v>
      </c>
      <c r="C537" s="2">
        <f t="shared" si="44"/>
        <v>574000</v>
      </c>
      <c r="D537" s="4">
        <f t="shared" si="40"/>
        <v>476</v>
      </c>
      <c r="E537" s="4">
        <f t="shared" si="41"/>
        <v>10324</v>
      </c>
      <c r="F537" s="4">
        <f t="shared" si="42"/>
        <v>23760</v>
      </c>
      <c r="G537" s="4">
        <f t="shared" si="43"/>
        <v>-13436</v>
      </c>
    </row>
    <row r="538" spans="2:7" x14ac:dyDescent="0.3">
      <c r="B538" s="2">
        <v>525</v>
      </c>
      <c r="C538" s="2">
        <f t="shared" si="44"/>
        <v>575000</v>
      </c>
      <c r="D538" s="4">
        <f t="shared" si="40"/>
        <v>475</v>
      </c>
      <c r="E538" s="4">
        <f t="shared" si="41"/>
        <v>10325</v>
      </c>
      <c r="F538" s="4">
        <f t="shared" si="42"/>
        <v>23800</v>
      </c>
      <c r="G538" s="4">
        <f t="shared" si="43"/>
        <v>-13475</v>
      </c>
    </row>
    <row r="539" spans="2:7" x14ac:dyDescent="0.3">
      <c r="B539" s="2">
        <v>526</v>
      </c>
      <c r="C539" s="2">
        <f t="shared" si="44"/>
        <v>576000</v>
      </c>
      <c r="D539" s="4">
        <f t="shared" si="40"/>
        <v>474</v>
      </c>
      <c r="E539" s="4">
        <f t="shared" si="41"/>
        <v>10326</v>
      </c>
      <c r="F539" s="4">
        <f t="shared" si="42"/>
        <v>23840</v>
      </c>
      <c r="G539" s="4">
        <f t="shared" si="43"/>
        <v>-13514</v>
      </c>
    </row>
    <row r="540" spans="2:7" x14ac:dyDescent="0.3">
      <c r="B540" s="2">
        <v>527</v>
      </c>
      <c r="C540" s="2">
        <f t="shared" si="44"/>
        <v>577000</v>
      </c>
      <c r="D540" s="4">
        <f t="shared" si="40"/>
        <v>473</v>
      </c>
      <c r="E540" s="4">
        <f t="shared" si="41"/>
        <v>10327</v>
      </c>
      <c r="F540" s="4">
        <f t="shared" si="42"/>
        <v>23880</v>
      </c>
      <c r="G540" s="4">
        <f t="shared" si="43"/>
        <v>-13553</v>
      </c>
    </row>
    <row r="541" spans="2:7" x14ac:dyDescent="0.3">
      <c r="B541" s="2">
        <v>528</v>
      </c>
      <c r="C541" s="2">
        <f t="shared" si="44"/>
        <v>578000</v>
      </c>
      <c r="D541" s="4">
        <f t="shared" si="40"/>
        <v>472</v>
      </c>
      <c r="E541" s="4">
        <f t="shared" si="41"/>
        <v>10328</v>
      </c>
      <c r="F541" s="4">
        <f t="shared" si="42"/>
        <v>23920</v>
      </c>
      <c r="G541" s="4">
        <f t="shared" si="43"/>
        <v>-13592</v>
      </c>
    </row>
    <row r="542" spans="2:7" x14ac:dyDescent="0.3">
      <c r="B542" s="2">
        <v>529</v>
      </c>
      <c r="C542" s="2">
        <f t="shared" si="44"/>
        <v>579000</v>
      </c>
      <c r="D542" s="4">
        <f t="shared" si="40"/>
        <v>471</v>
      </c>
      <c r="E542" s="4">
        <f t="shared" si="41"/>
        <v>10329</v>
      </c>
      <c r="F542" s="4">
        <f t="shared" si="42"/>
        <v>23960</v>
      </c>
      <c r="G542" s="4">
        <f t="shared" si="43"/>
        <v>-13631</v>
      </c>
    </row>
    <row r="543" spans="2:7" x14ac:dyDescent="0.3">
      <c r="B543" s="2">
        <v>530</v>
      </c>
      <c r="C543" s="2">
        <f t="shared" si="44"/>
        <v>580000</v>
      </c>
      <c r="D543" s="4">
        <f t="shared" si="40"/>
        <v>470</v>
      </c>
      <c r="E543" s="4">
        <f t="shared" si="41"/>
        <v>10330</v>
      </c>
      <c r="F543" s="4">
        <f t="shared" si="42"/>
        <v>24000</v>
      </c>
      <c r="G543" s="4">
        <f t="shared" si="43"/>
        <v>-13670</v>
      </c>
    </row>
    <row r="544" spans="2:7" x14ac:dyDescent="0.3">
      <c r="B544" s="2">
        <v>531</v>
      </c>
      <c r="C544" s="2">
        <f t="shared" si="44"/>
        <v>581000</v>
      </c>
      <c r="D544" s="4">
        <f t="shared" si="40"/>
        <v>469</v>
      </c>
      <c r="E544" s="4">
        <f t="shared" si="41"/>
        <v>10331</v>
      </c>
      <c r="F544" s="4">
        <f t="shared" si="42"/>
        <v>24040</v>
      </c>
      <c r="G544" s="4">
        <f t="shared" si="43"/>
        <v>-13709</v>
      </c>
    </row>
    <row r="545" spans="2:7" x14ac:dyDescent="0.3">
      <c r="B545" s="2">
        <v>532</v>
      </c>
      <c r="C545" s="2">
        <f t="shared" si="44"/>
        <v>582000</v>
      </c>
      <c r="D545" s="4">
        <f t="shared" si="40"/>
        <v>468</v>
      </c>
      <c r="E545" s="4">
        <f t="shared" si="41"/>
        <v>10332</v>
      </c>
      <c r="F545" s="4">
        <f t="shared" si="42"/>
        <v>24080</v>
      </c>
      <c r="G545" s="4">
        <f t="shared" si="43"/>
        <v>-13748</v>
      </c>
    </row>
    <row r="546" spans="2:7" x14ac:dyDescent="0.3">
      <c r="B546" s="2">
        <v>533</v>
      </c>
      <c r="C546" s="2">
        <f t="shared" si="44"/>
        <v>583000</v>
      </c>
      <c r="D546" s="4">
        <f t="shared" si="40"/>
        <v>467</v>
      </c>
      <c r="E546" s="4">
        <f t="shared" si="41"/>
        <v>10333</v>
      </c>
      <c r="F546" s="4">
        <f t="shared" si="42"/>
        <v>24120</v>
      </c>
      <c r="G546" s="4">
        <f t="shared" si="43"/>
        <v>-13787</v>
      </c>
    </row>
    <row r="547" spans="2:7" x14ac:dyDescent="0.3">
      <c r="B547" s="2">
        <v>534</v>
      </c>
      <c r="C547" s="2">
        <f t="shared" si="44"/>
        <v>584000</v>
      </c>
      <c r="D547" s="4">
        <f t="shared" si="40"/>
        <v>466</v>
      </c>
      <c r="E547" s="4">
        <f t="shared" si="41"/>
        <v>10334</v>
      </c>
      <c r="F547" s="4">
        <f t="shared" si="42"/>
        <v>24160</v>
      </c>
      <c r="G547" s="4">
        <f t="shared" si="43"/>
        <v>-13826</v>
      </c>
    </row>
    <row r="548" spans="2:7" x14ac:dyDescent="0.3">
      <c r="B548" s="2">
        <v>535</v>
      </c>
      <c r="C548" s="2">
        <f t="shared" si="44"/>
        <v>585000</v>
      </c>
      <c r="D548" s="4">
        <f t="shared" si="40"/>
        <v>465</v>
      </c>
      <c r="E548" s="4">
        <f t="shared" si="41"/>
        <v>10335</v>
      </c>
      <c r="F548" s="4">
        <f t="shared" si="42"/>
        <v>24200</v>
      </c>
      <c r="G548" s="4">
        <f t="shared" si="43"/>
        <v>-13865</v>
      </c>
    </row>
    <row r="549" spans="2:7" x14ac:dyDescent="0.3">
      <c r="B549" s="2">
        <v>536</v>
      </c>
      <c r="C549" s="2">
        <f t="shared" si="44"/>
        <v>586000</v>
      </c>
      <c r="D549" s="4">
        <f t="shared" si="40"/>
        <v>464</v>
      </c>
      <c r="E549" s="4">
        <f t="shared" si="41"/>
        <v>10336</v>
      </c>
      <c r="F549" s="4">
        <f t="shared" si="42"/>
        <v>24240</v>
      </c>
      <c r="G549" s="4">
        <f t="shared" si="43"/>
        <v>-13904</v>
      </c>
    </row>
    <row r="550" spans="2:7" x14ac:dyDescent="0.3">
      <c r="B550" s="2">
        <v>537</v>
      </c>
      <c r="C550" s="2">
        <f t="shared" si="44"/>
        <v>587000</v>
      </c>
      <c r="D550" s="4">
        <f t="shared" si="40"/>
        <v>463</v>
      </c>
      <c r="E550" s="4">
        <f t="shared" si="41"/>
        <v>10337</v>
      </c>
      <c r="F550" s="4">
        <f t="shared" si="42"/>
        <v>24280</v>
      </c>
      <c r="G550" s="4">
        <f t="shared" si="43"/>
        <v>-13943</v>
      </c>
    </row>
    <row r="551" spans="2:7" x14ac:dyDescent="0.3">
      <c r="B551" s="2">
        <v>538</v>
      </c>
      <c r="C551" s="2">
        <f t="shared" si="44"/>
        <v>588000</v>
      </c>
      <c r="D551" s="4">
        <f t="shared" si="40"/>
        <v>462</v>
      </c>
      <c r="E551" s="4">
        <f t="shared" si="41"/>
        <v>10338</v>
      </c>
      <c r="F551" s="4">
        <f t="shared" si="42"/>
        <v>24320</v>
      </c>
      <c r="G551" s="4">
        <f t="shared" si="43"/>
        <v>-13982</v>
      </c>
    </row>
    <row r="552" spans="2:7" x14ac:dyDescent="0.3">
      <c r="B552" s="2">
        <v>539</v>
      </c>
      <c r="C552" s="2">
        <f t="shared" si="44"/>
        <v>589000</v>
      </c>
      <c r="D552" s="4">
        <f t="shared" si="40"/>
        <v>461</v>
      </c>
      <c r="E552" s="4">
        <f t="shared" si="41"/>
        <v>10339</v>
      </c>
      <c r="F552" s="4">
        <f t="shared" si="42"/>
        <v>24360</v>
      </c>
      <c r="G552" s="4">
        <f t="shared" si="43"/>
        <v>-14021</v>
      </c>
    </row>
    <row r="553" spans="2:7" x14ac:dyDescent="0.3">
      <c r="B553" s="2">
        <v>540</v>
      </c>
      <c r="C553" s="2">
        <f t="shared" si="44"/>
        <v>590000</v>
      </c>
      <c r="D553" s="4">
        <f t="shared" si="40"/>
        <v>460</v>
      </c>
      <c r="E553" s="4">
        <f t="shared" si="41"/>
        <v>10340</v>
      </c>
      <c r="F553" s="4">
        <f t="shared" si="42"/>
        <v>24400</v>
      </c>
      <c r="G553" s="4">
        <f t="shared" si="43"/>
        <v>-14060</v>
      </c>
    </row>
    <row r="554" spans="2:7" x14ac:dyDescent="0.3">
      <c r="B554" s="2">
        <v>541</v>
      </c>
      <c r="C554" s="2">
        <f t="shared" si="44"/>
        <v>591000</v>
      </c>
      <c r="D554" s="4">
        <f t="shared" si="40"/>
        <v>459</v>
      </c>
      <c r="E554" s="4">
        <f t="shared" si="41"/>
        <v>10341</v>
      </c>
      <c r="F554" s="4">
        <f t="shared" si="42"/>
        <v>24440</v>
      </c>
      <c r="G554" s="4">
        <f t="shared" si="43"/>
        <v>-14099</v>
      </c>
    </row>
    <row r="555" spans="2:7" x14ac:dyDescent="0.3">
      <c r="B555" s="2">
        <v>542</v>
      </c>
      <c r="C555" s="2">
        <f t="shared" si="44"/>
        <v>592000</v>
      </c>
      <c r="D555" s="4">
        <f t="shared" si="40"/>
        <v>458</v>
      </c>
      <c r="E555" s="4">
        <f t="shared" si="41"/>
        <v>10342</v>
      </c>
      <c r="F555" s="4">
        <f t="shared" si="42"/>
        <v>24480</v>
      </c>
      <c r="G555" s="4">
        <f t="shared" si="43"/>
        <v>-14138</v>
      </c>
    </row>
    <row r="556" spans="2:7" x14ac:dyDescent="0.3">
      <c r="B556" s="2">
        <v>543</v>
      </c>
      <c r="C556" s="2">
        <f t="shared" si="44"/>
        <v>593000</v>
      </c>
      <c r="D556" s="4">
        <f t="shared" si="40"/>
        <v>457</v>
      </c>
      <c r="E556" s="4">
        <f t="shared" si="41"/>
        <v>10343</v>
      </c>
      <c r="F556" s="4">
        <f t="shared" si="42"/>
        <v>24520</v>
      </c>
      <c r="G556" s="4">
        <f t="shared" si="43"/>
        <v>-14177</v>
      </c>
    </row>
    <row r="557" spans="2:7" x14ac:dyDescent="0.3">
      <c r="B557" s="2">
        <v>544</v>
      </c>
      <c r="C557" s="2">
        <f t="shared" si="44"/>
        <v>594000</v>
      </c>
      <c r="D557" s="4">
        <f t="shared" si="40"/>
        <v>456</v>
      </c>
      <c r="E557" s="4">
        <f t="shared" si="41"/>
        <v>10344</v>
      </c>
      <c r="F557" s="4">
        <f t="shared" si="42"/>
        <v>24560</v>
      </c>
      <c r="G557" s="4">
        <f t="shared" si="43"/>
        <v>-14216</v>
      </c>
    </row>
    <row r="558" spans="2:7" x14ac:dyDescent="0.3">
      <c r="B558" s="2">
        <v>545</v>
      </c>
      <c r="C558" s="2">
        <f t="shared" si="44"/>
        <v>595000</v>
      </c>
      <c r="D558" s="4">
        <f t="shared" si="40"/>
        <v>455</v>
      </c>
      <c r="E558" s="4">
        <f t="shared" si="41"/>
        <v>10345</v>
      </c>
      <c r="F558" s="4">
        <f t="shared" si="42"/>
        <v>24600</v>
      </c>
      <c r="G558" s="4">
        <f t="shared" si="43"/>
        <v>-14255</v>
      </c>
    </row>
    <row r="559" spans="2:7" x14ac:dyDescent="0.3">
      <c r="B559" s="2">
        <v>546</v>
      </c>
      <c r="C559" s="2">
        <f t="shared" si="44"/>
        <v>596000</v>
      </c>
      <c r="D559" s="4">
        <f t="shared" si="40"/>
        <v>454</v>
      </c>
      <c r="E559" s="4">
        <f t="shared" si="41"/>
        <v>10346</v>
      </c>
      <c r="F559" s="4">
        <f t="shared" si="42"/>
        <v>24640</v>
      </c>
      <c r="G559" s="4">
        <f t="shared" si="43"/>
        <v>-14294</v>
      </c>
    </row>
    <row r="560" spans="2:7" x14ac:dyDescent="0.3">
      <c r="B560" s="2">
        <v>547</v>
      </c>
      <c r="C560" s="2">
        <f t="shared" si="44"/>
        <v>597000</v>
      </c>
      <c r="D560" s="4">
        <f t="shared" si="40"/>
        <v>453</v>
      </c>
      <c r="E560" s="4">
        <f t="shared" si="41"/>
        <v>10347</v>
      </c>
      <c r="F560" s="4">
        <f t="shared" si="42"/>
        <v>24680</v>
      </c>
      <c r="G560" s="4">
        <f t="shared" si="43"/>
        <v>-14333</v>
      </c>
    </row>
    <row r="561" spans="2:7" x14ac:dyDescent="0.3">
      <c r="B561" s="2">
        <v>548</v>
      </c>
      <c r="C561" s="2">
        <f t="shared" si="44"/>
        <v>598000</v>
      </c>
      <c r="D561" s="4">
        <f t="shared" si="40"/>
        <v>452</v>
      </c>
      <c r="E561" s="4">
        <f t="shared" si="41"/>
        <v>10348</v>
      </c>
      <c r="F561" s="4">
        <f t="shared" si="42"/>
        <v>24720</v>
      </c>
      <c r="G561" s="4">
        <f t="shared" si="43"/>
        <v>-14372</v>
      </c>
    </row>
    <row r="562" spans="2:7" x14ac:dyDescent="0.3">
      <c r="B562" s="2">
        <v>549</v>
      </c>
      <c r="C562" s="2">
        <f t="shared" si="44"/>
        <v>599000</v>
      </c>
      <c r="D562" s="4">
        <f t="shared" si="40"/>
        <v>451</v>
      </c>
      <c r="E562" s="4">
        <f t="shared" si="41"/>
        <v>10349</v>
      </c>
      <c r="F562" s="4">
        <f t="shared" si="42"/>
        <v>24760</v>
      </c>
      <c r="G562" s="4">
        <f t="shared" si="43"/>
        <v>-14411</v>
      </c>
    </row>
    <row r="563" spans="2:7" x14ac:dyDescent="0.3">
      <c r="B563" s="2">
        <v>550</v>
      </c>
      <c r="C563" s="2">
        <f t="shared" si="44"/>
        <v>600000</v>
      </c>
      <c r="D563" s="4">
        <f t="shared" si="40"/>
        <v>450</v>
      </c>
      <c r="E563" s="4">
        <f t="shared" si="41"/>
        <v>10350</v>
      </c>
      <c r="F563" s="4">
        <f t="shared" si="42"/>
        <v>24800</v>
      </c>
      <c r="G563" s="4">
        <f t="shared" si="43"/>
        <v>-14450</v>
      </c>
    </row>
    <row r="564" spans="2:7" x14ac:dyDescent="0.3">
      <c r="B564" s="2">
        <v>551</v>
      </c>
      <c r="C564" s="2">
        <f t="shared" si="44"/>
        <v>601000</v>
      </c>
      <c r="D564" s="4">
        <f t="shared" si="40"/>
        <v>449</v>
      </c>
      <c r="E564" s="4">
        <f t="shared" si="41"/>
        <v>10351</v>
      </c>
      <c r="F564" s="4">
        <f t="shared" si="42"/>
        <v>24840</v>
      </c>
      <c r="G564" s="4">
        <f t="shared" si="43"/>
        <v>-14489</v>
      </c>
    </row>
    <row r="565" spans="2:7" x14ac:dyDescent="0.3">
      <c r="B565" s="2">
        <v>552</v>
      </c>
      <c r="C565" s="2">
        <f t="shared" si="44"/>
        <v>602000</v>
      </c>
      <c r="D565" s="4">
        <f t="shared" si="40"/>
        <v>448</v>
      </c>
      <c r="E565" s="4">
        <f t="shared" si="41"/>
        <v>10352</v>
      </c>
      <c r="F565" s="4">
        <f t="shared" si="42"/>
        <v>24880</v>
      </c>
      <c r="G565" s="4">
        <f t="shared" si="43"/>
        <v>-14528</v>
      </c>
    </row>
    <row r="566" spans="2:7" x14ac:dyDescent="0.3">
      <c r="B566" s="2">
        <v>553</v>
      </c>
      <c r="C566" s="2">
        <f t="shared" si="44"/>
        <v>603000</v>
      </c>
      <c r="D566" s="4">
        <f t="shared" si="40"/>
        <v>447</v>
      </c>
      <c r="E566" s="4">
        <f t="shared" si="41"/>
        <v>10353</v>
      </c>
      <c r="F566" s="4">
        <f t="shared" si="42"/>
        <v>24920</v>
      </c>
      <c r="G566" s="4">
        <f t="shared" si="43"/>
        <v>-14567</v>
      </c>
    </row>
    <row r="567" spans="2:7" x14ac:dyDescent="0.3">
      <c r="B567" s="2">
        <v>554</v>
      </c>
      <c r="C567" s="2">
        <f t="shared" si="44"/>
        <v>604000</v>
      </c>
      <c r="D567" s="4">
        <f t="shared" si="40"/>
        <v>446</v>
      </c>
      <c r="E567" s="4">
        <f t="shared" si="41"/>
        <v>10354</v>
      </c>
      <c r="F567" s="4">
        <f t="shared" si="42"/>
        <v>24960</v>
      </c>
      <c r="G567" s="4">
        <f t="shared" si="43"/>
        <v>-14606</v>
      </c>
    </row>
    <row r="568" spans="2:7" x14ac:dyDescent="0.3">
      <c r="B568" s="2">
        <v>555</v>
      </c>
      <c r="C568" s="2">
        <f t="shared" si="44"/>
        <v>605000</v>
      </c>
      <c r="D568" s="4">
        <f t="shared" si="40"/>
        <v>445</v>
      </c>
      <c r="E568" s="4">
        <f t="shared" si="41"/>
        <v>10355</v>
      </c>
      <c r="F568" s="4">
        <f t="shared" si="42"/>
        <v>25000</v>
      </c>
      <c r="G568" s="4">
        <f t="shared" si="43"/>
        <v>-14645</v>
      </c>
    </row>
    <row r="569" spans="2:7" x14ac:dyDescent="0.3">
      <c r="B569" s="2">
        <v>556</v>
      </c>
      <c r="C569" s="2">
        <f t="shared" si="44"/>
        <v>606000</v>
      </c>
      <c r="D569" s="4">
        <f t="shared" si="40"/>
        <v>444</v>
      </c>
      <c r="E569" s="4">
        <f t="shared" si="41"/>
        <v>10356</v>
      </c>
      <c r="F569" s="4">
        <f t="shared" si="42"/>
        <v>25040</v>
      </c>
      <c r="G569" s="4">
        <f t="shared" si="43"/>
        <v>-14684</v>
      </c>
    </row>
    <row r="570" spans="2:7" x14ac:dyDescent="0.3">
      <c r="B570" s="2">
        <v>557</v>
      </c>
      <c r="C570" s="2">
        <f t="shared" si="44"/>
        <v>607000</v>
      </c>
      <c r="D570" s="4">
        <f t="shared" si="40"/>
        <v>443</v>
      </c>
      <c r="E570" s="4">
        <f t="shared" si="41"/>
        <v>10357</v>
      </c>
      <c r="F570" s="4">
        <f t="shared" si="42"/>
        <v>25080</v>
      </c>
      <c r="G570" s="4">
        <f t="shared" si="43"/>
        <v>-14723</v>
      </c>
    </row>
    <row r="571" spans="2:7" x14ac:dyDescent="0.3">
      <c r="B571" s="2">
        <v>558</v>
      </c>
      <c r="C571" s="2">
        <f t="shared" si="44"/>
        <v>608000</v>
      </c>
      <c r="D571" s="4">
        <f t="shared" si="40"/>
        <v>442</v>
      </c>
      <c r="E571" s="4">
        <f t="shared" si="41"/>
        <v>10358</v>
      </c>
      <c r="F571" s="4">
        <f t="shared" si="42"/>
        <v>25120</v>
      </c>
      <c r="G571" s="4">
        <f t="shared" si="43"/>
        <v>-14762</v>
      </c>
    </row>
    <row r="572" spans="2:7" x14ac:dyDescent="0.3">
      <c r="B572" s="2">
        <v>559</v>
      </c>
      <c r="C572" s="2">
        <f t="shared" si="44"/>
        <v>609000</v>
      </c>
      <c r="D572" s="4">
        <f t="shared" si="40"/>
        <v>441</v>
      </c>
      <c r="E572" s="4">
        <f t="shared" si="41"/>
        <v>10359</v>
      </c>
      <c r="F572" s="4">
        <f t="shared" si="42"/>
        <v>25160</v>
      </c>
      <c r="G572" s="4">
        <f t="shared" si="43"/>
        <v>-14801</v>
      </c>
    </row>
    <row r="573" spans="2:7" x14ac:dyDescent="0.3">
      <c r="B573" s="2">
        <v>560</v>
      </c>
      <c r="C573" s="2">
        <f t="shared" si="44"/>
        <v>610000</v>
      </c>
      <c r="D573" s="4">
        <f t="shared" si="40"/>
        <v>440</v>
      </c>
      <c r="E573" s="4">
        <f t="shared" si="41"/>
        <v>10360</v>
      </c>
      <c r="F573" s="4">
        <f t="shared" si="42"/>
        <v>25200</v>
      </c>
      <c r="G573" s="4">
        <f t="shared" si="43"/>
        <v>-14840</v>
      </c>
    </row>
    <row r="574" spans="2:7" x14ac:dyDescent="0.3">
      <c r="B574" s="2">
        <v>561</v>
      </c>
      <c r="C574" s="2">
        <f t="shared" si="44"/>
        <v>611000</v>
      </c>
      <c r="D574" s="4">
        <f t="shared" si="40"/>
        <v>439</v>
      </c>
      <c r="E574" s="4">
        <f t="shared" si="41"/>
        <v>10361</v>
      </c>
      <c r="F574" s="4">
        <f t="shared" si="42"/>
        <v>25240</v>
      </c>
      <c r="G574" s="4">
        <f t="shared" si="43"/>
        <v>-14879</v>
      </c>
    </row>
    <row r="575" spans="2:7" x14ac:dyDescent="0.3">
      <c r="B575" s="2">
        <v>562</v>
      </c>
      <c r="C575" s="2">
        <f t="shared" si="44"/>
        <v>612000</v>
      </c>
      <c r="D575" s="4">
        <f t="shared" si="40"/>
        <v>438</v>
      </c>
      <c r="E575" s="4">
        <f t="shared" si="41"/>
        <v>10362</v>
      </c>
      <c r="F575" s="4">
        <f t="shared" si="42"/>
        <v>25280</v>
      </c>
      <c r="G575" s="4">
        <f t="shared" si="43"/>
        <v>-14918</v>
      </c>
    </row>
    <row r="576" spans="2:7" x14ac:dyDescent="0.3">
      <c r="B576" s="2">
        <v>563</v>
      </c>
      <c r="C576" s="2">
        <f t="shared" si="44"/>
        <v>613000</v>
      </c>
      <c r="D576" s="4">
        <f t="shared" si="40"/>
        <v>437</v>
      </c>
      <c r="E576" s="4">
        <f t="shared" si="41"/>
        <v>10363</v>
      </c>
      <c r="F576" s="4">
        <f t="shared" si="42"/>
        <v>25320</v>
      </c>
      <c r="G576" s="4">
        <f t="shared" si="43"/>
        <v>-14957</v>
      </c>
    </row>
    <row r="577" spans="2:7" x14ac:dyDescent="0.3">
      <c r="B577" s="2">
        <v>564</v>
      </c>
      <c r="C577" s="2">
        <f t="shared" si="44"/>
        <v>614000</v>
      </c>
      <c r="D577" s="4">
        <f t="shared" si="40"/>
        <v>436</v>
      </c>
      <c r="E577" s="4">
        <f t="shared" si="41"/>
        <v>10364</v>
      </c>
      <c r="F577" s="4">
        <f t="shared" si="42"/>
        <v>25360</v>
      </c>
      <c r="G577" s="4">
        <f t="shared" si="43"/>
        <v>-14996</v>
      </c>
    </row>
    <row r="578" spans="2:7" x14ac:dyDescent="0.3">
      <c r="B578" s="2">
        <v>565</v>
      </c>
      <c r="C578" s="2">
        <f t="shared" si="44"/>
        <v>615000</v>
      </c>
      <c r="D578" s="4">
        <f t="shared" si="40"/>
        <v>435</v>
      </c>
      <c r="E578" s="4">
        <f t="shared" si="41"/>
        <v>10365</v>
      </c>
      <c r="F578" s="4">
        <f t="shared" si="42"/>
        <v>25400</v>
      </c>
      <c r="G578" s="4">
        <f t="shared" si="43"/>
        <v>-15035</v>
      </c>
    </row>
    <row r="579" spans="2:7" x14ac:dyDescent="0.3">
      <c r="B579" s="2">
        <v>566</v>
      </c>
      <c r="C579" s="2">
        <f t="shared" si="44"/>
        <v>616000</v>
      </c>
      <c r="D579" s="4">
        <f t="shared" si="40"/>
        <v>434</v>
      </c>
      <c r="E579" s="4">
        <f t="shared" si="41"/>
        <v>10366</v>
      </c>
      <c r="F579" s="4">
        <f t="shared" si="42"/>
        <v>25440</v>
      </c>
      <c r="G579" s="4">
        <f t="shared" si="43"/>
        <v>-15074</v>
      </c>
    </row>
    <row r="580" spans="2:7" x14ac:dyDescent="0.3">
      <c r="B580" s="2">
        <v>567</v>
      </c>
      <c r="C580" s="2">
        <f t="shared" si="44"/>
        <v>617000</v>
      </c>
      <c r="D580" s="4">
        <f t="shared" si="40"/>
        <v>433</v>
      </c>
      <c r="E580" s="4">
        <f t="shared" si="41"/>
        <v>10367</v>
      </c>
      <c r="F580" s="4">
        <f t="shared" si="42"/>
        <v>25480</v>
      </c>
      <c r="G580" s="4">
        <f t="shared" si="43"/>
        <v>-15113</v>
      </c>
    </row>
    <row r="581" spans="2:7" x14ac:dyDescent="0.3">
      <c r="B581" s="2">
        <v>568</v>
      </c>
      <c r="C581" s="2">
        <f t="shared" si="44"/>
        <v>618000</v>
      </c>
      <c r="D581" s="4">
        <f t="shared" si="40"/>
        <v>432</v>
      </c>
      <c r="E581" s="4">
        <f t="shared" si="41"/>
        <v>10368</v>
      </c>
      <c r="F581" s="4">
        <f t="shared" si="42"/>
        <v>25520</v>
      </c>
      <c r="G581" s="4">
        <f t="shared" si="43"/>
        <v>-15152</v>
      </c>
    </row>
    <row r="582" spans="2:7" x14ac:dyDescent="0.3">
      <c r="B582" s="2">
        <v>569</v>
      </c>
      <c r="C582" s="2">
        <f t="shared" si="44"/>
        <v>619000</v>
      </c>
      <c r="D582" s="4">
        <f t="shared" si="40"/>
        <v>431</v>
      </c>
      <c r="E582" s="4">
        <f t="shared" si="41"/>
        <v>10369</v>
      </c>
      <c r="F582" s="4">
        <f t="shared" si="42"/>
        <v>25560</v>
      </c>
      <c r="G582" s="4">
        <f t="shared" si="43"/>
        <v>-15191</v>
      </c>
    </row>
    <row r="583" spans="2:7" x14ac:dyDescent="0.3">
      <c r="B583" s="2">
        <v>570</v>
      </c>
      <c r="C583" s="2">
        <f t="shared" si="44"/>
        <v>620000</v>
      </c>
      <c r="D583" s="4">
        <f t="shared" si="40"/>
        <v>430</v>
      </c>
      <c r="E583" s="4">
        <f t="shared" si="41"/>
        <v>10370</v>
      </c>
      <c r="F583" s="4">
        <f t="shared" si="42"/>
        <v>25600</v>
      </c>
      <c r="G583" s="4">
        <f t="shared" si="43"/>
        <v>-15230</v>
      </c>
    </row>
    <row r="584" spans="2:7" x14ac:dyDescent="0.3">
      <c r="B584" s="2">
        <v>571</v>
      </c>
      <c r="C584" s="2">
        <f t="shared" si="44"/>
        <v>621000</v>
      </c>
      <c r="D584" s="4">
        <f t="shared" si="40"/>
        <v>429</v>
      </c>
      <c r="E584" s="4">
        <f t="shared" si="41"/>
        <v>10371</v>
      </c>
      <c r="F584" s="4">
        <f t="shared" si="42"/>
        <v>25640</v>
      </c>
      <c r="G584" s="4">
        <f t="shared" si="43"/>
        <v>-15269</v>
      </c>
    </row>
    <row r="585" spans="2:7" x14ac:dyDescent="0.3">
      <c r="B585" s="2">
        <v>572</v>
      </c>
      <c r="C585" s="2">
        <f t="shared" si="44"/>
        <v>622000</v>
      </c>
      <c r="D585" s="4">
        <f t="shared" si="40"/>
        <v>428</v>
      </c>
      <c r="E585" s="4">
        <f t="shared" si="41"/>
        <v>10372</v>
      </c>
      <c r="F585" s="4">
        <f t="shared" si="42"/>
        <v>25680</v>
      </c>
      <c r="G585" s="4">
        <f t="shared" si="43"/>
        <v>-15308</v>
      </c>
    </row>
    <row r="586" spans="2:7" x14ac:dyDescent="0.3">
      <c r="B586" s="2">
        <v>573</v>
      </c>
      <c r="C586" s="2">
        <f t="shared" si="44"/>
        <v>623000</v>
      </c>
      <c r="D586" s="4">
        <f t="shared" si="40"/>
        <v>427</v>
      </c>
      <c r="E586" s="4">
        <f t="shared" si="41"/>
        <v>10373</v>
      </c>
      <c r="F586" s="4">
        <f t="shared" si="42"/>
        <v>25720</v>
      </c>
      <c r="G586" s="4">
        <f t="shared" si="43"/>
        <v>-15347</v>
      </c>
    </row>
    <row r="587" spans="2:7" x14ac:dyDescent="0.3">
      <c r="B587" s="2">
        <v>574</v>
      </c>
      <c r="C587" s="2">
        <f t="shared" si="44"/>
        <v>624000</v>
      </c>
      <c r="D587" s="4">
        <f t="shared" si="40"/>
        <v>426</v>
      </c>
      <c r="E587" s="4">
        <f t="shared" si="41"/>
        <v>10374</v>
      </c>
      <c r="F587" s="4">
        <f t="shared" si="42"/>
        <v>25760</v>
      </c>
      <c r="G587" s="4">
        <f t="shared" si="43"/>
        <v>-15386</v>
      </c>
    </row>
    <row r="588" spans="2:7" x14ac:dyDescent="0.3">
      <c r="B588" s="2">
        <v>575</v>
      </c>
      <c r="C588" s="2">
        <f t="shared" si="44"/>
        <v>625000</v>
      </c>
      <c r="D588" s="4">
        <f t="shared" si="40"/>
        <v>425</v>
      </c>
      <c r="E588" s="4">
        <f t="shared" si="41"/>
        <v>10375</v>
      </c>
      <c r="F588" s="4">
        <f t="shared" si="42"/>
        <v>25800</v>
      </c>
      <c r="G588" s="4">
        <f t="shared" si="43"/>
        <v>-15425</v>
      </c>
    </row>
    <row r="589" spans="2:7" x14ac:dyDescent="0.3">
      <c r="B589" s="2">
        <v>576</v>
      </c>
      <c r="C589" s="2">
        <f t="shared" si="44"/>
        <v>626000</v>
      </c>
      <c r="D589" s="4">
        <f t="shared" si="40"/>
        <v>424</v>
      </c>
      <c r="E589" s="4">
        <f t="shared" si="41"/>
        <v>10376</v>
      </c>
      <c r="F589" s="4">
        <f t="shared" si="42"/>
        <v>25840</v>
      </c>
      <c r="G589" s="4">
        <f t="shared" si="43"/>
        <v>-15464</v>
      </c>
    </row>
    <row r="590" spans="2:7" x14ac:dyDescent="0.3">
      <c r="B590" s="2">
        <v>577</v>
      </c>
      <c r="C590" s="2">
        <f t="shared" si="44"/>
        <v>627000</v>
      </c>
      <c r="D590" s="4">
        <f t="shared" ref="D590:D653" si="45">IF(C590&lt;=50000,$C$5,$C$5-((C590-50000)/1000)*$C$7)</f>
        <v>423</v>
      </c>
      <c r="E590" s="4">
        <f t="shared" ref="E590:E653" si="46">$C$3+$C$4*$C$6-D590</f>
        <v>10377</v>
      </c>
      <c r="F590" s="4">
        <f t="shared" ref="F590:F653" si="47">$F$3*$C$7+$F$4*C590</f>
        <v>25880</v>
      </c>
      <c r="G590" s="4">
        <f t="shared" ref="G590:G653" si="48">E590-F590</f>
        <v>-15503</v>
      </c>
    </row>
    <row r="591" spans="2:7" x14ac:dyDescent="0.3">
      <c r="B591" s="2">
        <v>578</v>
      </c>
      <c r="C591" s="2">
        <f t="shared" ref="C591:C654" si="49">$C$8+(B591*1000)</f>
        <v>628000</v>
      </c>
      <c r="D591" s="4">
        <f t="shared" si="45"/>
        <v>422</v>
      </c>
      <c r="E591" s="4">
        <f t="shared" si="46"/>
        <v>10378</v>
      </c>
      <c r="F591" s="4">
        <f t="shared" si="47"/>
        <v>25920</v>
      </c>
      <c r="G591" s="4">
        <f t="shared" si="48"/>
        <v>-15542</v>
      </c>
    </row>
    <row r="592" spans="2:7" x14ac:dyDescent="0.3">
      <c r="B592" s="2">
        <v>579</v>
      </c>
      <c r="C592" s="2">
        <f t="shared" si="49"/>
        <v>629000</v>
      </c>
      <c r="D592" s="4">
        <f t="shared" si="45"/>
        <v>421</v>
      </c>
      <c r="E592" s="4">
        <f t="shared" si="46"/>
        <v>10379</v>
      </c>
      <c r="F592" s="4">
        <f t="shared" si="47"/>
        <v>25960</v>
      </c>
      <c r="G592" s="4">
        <f t="shared" si="48"/>
        <v>-15581</v>
      </c>
    </row>
    <row r="593" spans="2:7" x14ac:dyDescent="0.3">
      <c r="B593" s="2">
        <v>580</v>
      </c>
      <c r="C593" s="2">
        <f t="shared" si="49"/>
        <v>630000</v>
      </c>
      <c r="D593" s="4">
        <f t="shared" si="45"/>
        <v>420</v>
      </c>
      <c r="E593" s="4">
        <f t="shared" si="46"/>
        <v>10380</v>
      </c>
      <c r="F593" s="4">
        <f t="shared" si="47"/>
        <v>26000</v>
      </c>
      <c r="G593" s="4">
        <f t="shared" si="48"/>
        <v>-15620</v>
      </c>
    </row>
    <row r="594" spans="2:7" x14ac:dyDescent="0.3">
      <c r="B594" s="2">
        <v>581</v>
      </c>
      <c r="C594" s="2">
        <f t="shared" si="49"/>
        <v>631000</v>
      </c>
      <c r="D594" s="4">
        <f t="shared" si="45"/>
        <v>419</v>
      </c>
      <c r="E594" s="4">
        <f t="shared" si="46"/>
        <v>10381</v>
      </c>
      <c r="F594" s="4">
        <f t="shared" si="47"/>
        <v>26040</v>
      </c>
      <c r="G594" s="4">
        <f t="shared" si="48"/>
        <v>-15659</v>
      </c>
    </row>
    <row r="595" spans="2:7" x14ac:dyDescent="0.3">
      <c r="B595" s="2">
        <v>582</v>
      </c>
      <c r="C595" s="2">
        <f t="shared" si="49"/>
        <v>632000</v>
      </c>
      <c r="D595" s="4">
        <f t="shared" si="45"/>
        <v>418</v>
      </c>
      <c r="E595" s="4">
        <f t="shared" si="46"/>
        <v>10382</v>
      </c>
      <c r="F595" s="4">
        <f t="shared" si="47"/>
        <v>26080</v>
      </c>
      <c r="G595" s="4">
        <f t="shared" si="48"/>
        <v>-15698</v>
      </c>
    </row>
    <row r="596" spans="2:7" x14ac:dyDescent="0.3">
      <c r="B596" s="2">
        <v>583</v>
      </c>
      <c r="C596" s="2">
        <f t="shared" si="49"/>
        <v>633000</v>
      </c>
      <c r="D596" s="4">
        <f t="shared" si="45"/>
        <v>417</v>
      </c>
      <c r="E596" s="4">
        <f t="shared" si="46"/>
        <v>10383</v>
      </c>
      <c r="F596" s="4">
        <f t="shared" si="47"/>
        <v>26120</v>
      </c>
      <c r="G596" s="4">
        <f t="shared" si="48"/>
        <v>-15737</v>
      </c>
    </row>
    <row r="597" spans="2:7" x14ac:dyDescent="0.3">
      <c r="B597" s="2">
        <v>584</v>
      </c>
      <c r="C597" s="2">
        <f t="shared" si="49"/>
        <v>634000</v>
      </c>
      <c r="D597" s="4">
        <f t="shared" si="45"/>
        <v>416</v>
      </c>
      <c r="E597" s="4">
        <f t="shared" si="46"/>
        <v>10384</v>
      </c>
      <c r="F597" s="4">
        <f t="shared" si="47"/>
        <v>26160</v>
      </c>
      <c r="G597" s="4">
        <f t="shared" si="48"/>
        <v>-15776</v>
      </c>
    </row>
    <row r="598" spans="2:7" x14ac:dyDescent="0.3">
      <c r="B598" s="2">
        <v>585</v>
      </c>
      <c r="C598" s="2">
        <f t="shared" si="49"/>
        <v>635000</v>
      </c>
      <c r="D598" s="4">
        <f t="shared" si="45"/>
        <v>415</v>
      </c>
      <c r="E598" s="4">
        <f t="shared" si="46"/>
        <v>10385</v>
      </c>
      <c r="F598" s="4">
        <f t="shared" si="47"/>
        <v>26200</v>
      </c>
      <c r="G598" s="4">
        <f t="shared" si="48"/>
        <v>-15815</v>
      </c>
    </row>
    <row r="599" spans="2:7" x14ac:dyDescent="0.3">
      <c r="B599" s="2">
        <v>586</v>
      </c>
      <c r="C599" s="2">
        <f t="shared" si="49"/>
        <v>636000</v>
      </c>
      <c r="D599" s="4">
        <f t="shared" si="45"/>
        <v>414</v>
      </c>
      <c r="E599" s="4">
        <f t="shared" si="46"/>
        <v>10386</v>
      </c>
      <c r="F599" s="4">
        <f t="shared" si="47"/>
        <v>26240</v>
      </c>
      <c r="G599" s="4">
        <f t="shared" si="48"/>
        <v>-15854</v>
      </c>
    </row>
    <row r="600" spans="2:7" x14ac:dyDescent="0.3">
      <c r="B600" s="2">
        <v>587</v>
      </c>
      <c r="C600" s="2">
        <f t="shared" si="49"/>
        <v>637000</v>
      </c>
      <c r="D600" s="4">
        <f t="shared" si="45"/>
        <v>413</v>
      </c>
      <c r="E600" s="4">
        <f t="shared" si="46"/>
        <v>10387</v>
      </c>
      <c r="F600" s="4">
        <f t="shared" si="47"/>
        <v>26280</v>
      </c>
      <c r="G600" s="4">
        <f t="shared" si="48"/>
        <v>-15893</v>
      </c>
    </row>
    <row r="601" spans="2:7" x14ac:dyDescent="0.3">
      <c r="B601" s="2">
        <v>588</v>
      </c>
      <c r="C601" s="2">
        <f t="shared" si="49"/>
        <v>638000</v>
      </c>
      <c r="D601" s="4">
        <f t="shared" si="45"/>
        <v>412</v>
      </c>
      <c r="E601" s="4">
        <f t="shared" si="46"/>
        <v>10388</v>
      </c>
      <c r="F601" s="4">
        <f t="shared" si="47"/>
        <v>26320</v>
      </c>
      <c r="G601" s="4">
        <f t="shared" si="48"/>
        <v>-15932</v>
      </c>
    </row>
    <row r="602" spans="2:7" x14ac:dyDescent="0.3">
      <c r="B602" s="2">
        <v>589</v>
      </c>
      <c r="C602" s="2">
        <f t="shared" si="49"/>
        <v>639000</v>
      </c>
      <c r="D602" s="4">
        <f t="shared" si="45"/>
        <v>411</v>
      </c>
      <c r="E602" s="4">
        <f t="shared" si="46"/>
        <v>10389</v>
      </c>
      <c r="F602" s="4">
        <f t="shared" si="47"/>
        <v>26360</v>
      </c>
      <c r="G602" s="4">
        <f t="shared" si="48"/>
        <v>-15971</v>
      </c>
    </row>
    <row r="603" spans="2:7" x14ac:dyDescent="0.3">
      <c r="B603" s="2">
        <v>590</v>
      </c>
      <c r="C603" s="2">
        <f t="shared" si="49"/>
        <v>640000</v>
      </c>
      <c r="D603" s="4">
        <f t="shared" si="45"/>
        <v>410</v>
      </c>
      <c r="E603" s="4">
        <f t="shared" si="46"/>
        <v>10390</v>
      </c>
      <c r="F603" s="4">
        <f t="shared" si="47"/>
        <v>26400</v>
      </c>
      <c r="G603" s="4">
        <f t="shared" si="48"/>
        <v>-16010</v>
      </c>
    </row>
    <row r="604" spans="2:7" x14ac:dyDescent="0.3">
      <c r="B604" s="2">
        <v>591</v>
      </c>
      <c r="C604" s="2">
        <f t="shared" si="49"/>
        <v>641000</v>
      </c>
      <c r="D604" s="4">
        <f t="shared" si="45"/>
        <v>409</v>
      </c>
      <c r="E604" s="4">
        <f t="shared" si="46"/>
        <v>10391</v>
      </c>
      <c r="F604" s="4">
        <f t="shared" si="47"/>
        <v>26440</v>
      </c>
      <c r="G604" s="4">
        <f t="shared" si="48"/>
        <v>-16049</v>
      </c>
    </row>
    <row r="605" spans="2:7" x14ac:dyDescent="0.3">
      <c r="B605" s="2">
        <v>592</v>
      </c>
      <c r="C605" s="2">
        <f t="shared" si="49"/>
        <v>642000</v>
      </c>
      <c r="D605" s="4">
        <f t="shared" si="45"/>
        <v>408</v>
      </c>
      <c r="E605" s="4">
        <f t="shared" si="46"/>
        <v>10392</v>
      </c>
      <c r="F605" s="4">
        <f t="shared" si="47"/>
        <v>26480</v>
      </c>
      <c r="G605" s="4">
        <f t="shared" si="48"/>
        <v>-16088</v>
      </c>
    </row>
    <row r="606" spans="2:7" x14ac:dyDescent="0.3">
      <c r="B606" s="2">
        <v>593</v>
      </c>
      <c r="C606" s="2">
        <f t="shared" si="49"/>
        <v>643000</v>
      </c>
      <c r="D606" s="4">
        <f t="shared" si="45"/>
        <v>407</v>
      </c>
      <c r="E606" s="4">
        <f t="shared" si="46"/>
        <v>10393</v>
      </c>
      <c r="F606" s="4">
        <f t="shared" si="47"/>
        <v>26520</v>
      </c>
      <c r="G606" s="4">
        <f t="shared" si="48"/>
        <v>-16127</v>
      </c>
    </row>
    <row r="607" spans="2:7" x14ac:dyDescent="0.3">
      <c r="B607" s="2">
        <v>594</v>
      </c>
      <c r="C607" s="2">
        <f t="shared" si="49"/>
        <v>644000</v>
      </c>
      <c r="D607" s="4">
        <f t="shared" si="45"/>
        <v>406</v>
      </c>
      <c r="E607" s="4">
        <f t="shared" si="46"/>
        <v>10394</v>
      </c>
      <c r="F607" s="4">
        <f t="shared" si="47"/>
        <v>26560</v>
      </c>
      <c r="G607" s="4">
        <f t="shared" si="48"/>
        <v>-16166</v>
      </c>
    </row>
    <row r="608" spans="2:7" x14ac:dyDescent="0.3">
      <c r="B608" s="2">
        <v>595</v>
      </c>
      <c r="C608" s="2">
        <f t="shared" si="49"/>
        <v>645000</v>
      </c>
      <c r="D608" s="4">
        <f t="shared" si="45"/>
        <v>405</v>
      </c>
      <c r="E608" s="4">
        <f t="shared" si="46"/>
        <v>10395</v>
      </c>
      <c r="F608" s="4">
        <f t="shared" si="47"/>
        <v>26600</v>
      </c>
      <c r="G608" s="4">
        <f t="shared" si="48"/>
        <v>-16205</v>
      </c>
    </row>
    <row r="609" spans="2:7" x14ac:dyDescent="0.3">
      <c r="B609" s="2">
        <v>596</v>
      </c>
      <c r="C609" s="2">
        <f t="shared" si="49"/>
        <v>646000</v>
      </c>
      <c r="D609" s="4">
        <f t="shared" si="45"/>
        <v>404</v>
      </c>
      <c r="E609" s="4">
        <f t="shared" si="46"/>
        <v>10396</v>
      </c>
      <c r="F609" s="4">
        <f t="shared" si="47"/>
        <v>26640</v>
      </c>
      <c r="G609" s="4">
        <f t="shared" si="48"/>
        <v>-16244</v>
      </c>
    </row>
    <row r="610" spans="2:7" x14ac:dyDescent="0.3">
      <c r="B610" s="2">
        <v>597</v>
      </c>
      <c r="C610" s="2">
        <f t="shared" si="49"/>
        <v>647000</v>
      </c>
      <c r="D610" s="4">
        <f t="shared" si="45"/>
        <v>403</v>
      </c>
      <c r="E610" s="4">
        <f t="shared" si="46"/>
        <v>10397</v>
      </c>
      <c r="F610" s="4">
        <f t="shared" si="47"/>
        <v>26680</v>
      </c>
      <c r="G610" s="4">
        <f t="shared" si="48"/>
        <v>-16283</v>
      </c>
    </row>
    <row r="611" spans="2:7" x14ac:dyDescent="0.3">
      <c r="B611" s="2">
        <v>598</v>
      </c>
      <c r="C611" s="2">
        <f t="shared" si="49"/>
        <v>648000</v>
      </c>
      <c r="D611" s="4">
        <f t="shared" si="45"/>
        <v>402</v>
      </c>
      <c r="E611" s="4">
        <f t="shared" si="46"/>
        <v>10398</v>
      </c>
      <c r="F611" s="4">
        <f t="shared" si="47"/>
        <v>26720</v>
      </c>
      <c r="G611" s="4">
        <f t="shared" si="48"/>
        <v>-16322</v>
      </c>
    </row>
    <row r="612" spans="2:7" x14ac:dyDescent="0.3">
      <c r="B612" s="2">
        <v>599</v>
      </c>
      <c r="C612" s="2">
        <f t="shared" si="49"/>
        <v>649000</v>
      </c>
      <c r="D612" s="4">
        <f t="shared" si="45"/>
        <v>401</v>
      </c>
      <c r="E612" s="4">
        <f t="shared" si="46"/>
        <v>10399</v>
      </c>
      <c r="F612" s="4">
        <f t="shared" si="47"/>
        <v>26760</v>
      </c>
      <c r="G612" s="4">
        <f t="shared" si="48"/>
        <v>-16361</v>
      </c>
    </row>
    <row r="613" spans="2:7" x14ac:dyDescent="0.3">
      <c r="B613" s="2">
        <v>600</v>
      </c>
      <c r="C613" s="2">
        <f t="shared" si="49"/>
        <v>650000</v>
      </c>
      <c r="D613" s="4">
        <f t="shared" si="45"/>
        <v>400</v>
      </c>
      <c r="E613" s="4">
        <f t="shared" si="46"/>
        <v>10400</v>
      </c>
      <c r="F613" s="4">
        <f t="shared" si="47"/>
        <v>26800</v>
      </c>
      <c r="G613" s="4">
        <f t="shared" si="48"/>
        <v>-16400</v>
      </c>
    </row>
    <row r="614" spans="2:7" x14ac:dyDescent="0.3">
      <c r="B614" s="2">
        <v>601</v>
      </c>
      <c r="C614" s="2">
        <f t="shared" si="49"/>
        <v>651000</v>
      </c>
      <c r="D614" s="4">
        <f t="shared" si="45"/>
        <v>399</v>
      </c>
      <c r="E614" s="4">
        <f t="shared" si="46"/>
        <v>10401</v>
      </c>
      <c r="F614" s="4">
        <f t="shared" si="47"/>
        <v>26840</v>
      </c>
      <c r="G614" s="4">
        <f t="shared" si="48"/>
        <v>-16439</v>
      </c>
    </row>
    <row r="615" spans="2:7" x14ac:dyDescent="0.3">
      <c r="B615" s="2">
        <v>602</v>
      </c>
      <c r="C615" s="2">
        <f t="shared" si="49"/>
        <v>652000</v>
      </c>
      <c r="D615" s="4">
        <f t="shared" si="45"/>
        <v>398</v>
      </c>
      <c r="E615" s="4">
        <f t="shared" si="46"/>
        <v>10402</v>
      </c>
      <c r="F615" s="4">
        <f t="shared" si="47"/>
        <v>26880</v>
      </c>
      <c r="G615" s="4">
        <f t="shared" si="48"/>
        <v>-16478</v>
      </c>
    </row>
    <row r="616" spans="2:7" x14ac:dyDescent="0.3">
      <c r="B616" s="2">
        <v>603</v>
      </c>
      <c r="C616" s="2">
        <f t="shared" si="49"/>
        <v>653000</v>
      </c>
      <c r="D616" s="4">
        <f t="shared" si="45"/>
        <v>397</v>
      </c>
      <c r="E616" s="4">
        <f t="shared" si="46"/>
        <v>10403</v>
      </c>
      <c r="F616" s="4">
        <f t="shared" si="47"/>
        <v>26920</v>
      </c>
      <c r="G616" s="4">
        <f t="shared" si="48"/>
        <v>-16517</v>
      </c>
    </row>
    <row r="617" spans="2:7" x14ac:dyDescent="0.3">
      <c r="B617" s="2">
        <v>604</v>
      </c>
      <c r="C617" s="2">
        <f t="shared" si="49"/>
        <v>654000</v>
      </c>
      <c r="D617" s="4">
        <f t="shared" si="45"/>
        <v>396</v>
      </c>
      <c r="E617" s="4">
        <f t="shared" si="46"/>
        <v>10404</v>
      </c>
      <c r="F617" s="4">
        <f t="shared" si="47"/>
        <v>26960</v>
      </c>
      <c r="G617" s="4">
        <f t="shared" si="48"/>
        <v>-16556</v>
      </c>
    </row>
    <row r="618" spans="2:7" x14ac:dyDescent="0.3">
      <c r="B618" s="2">
        <v>605</v>
      </c>
      <c r="C618" s="2">
        <f t="shared" si="49"/>
        <v>655000</v>
      </c>
      <c r="D618" s="4">
        <f t="shared" si="45"/>
        <v>395</v>
      </c>
      <c r="E618" s="4">
        <f t="shared" si="46"/>
        <v>10405</v>
      </c>
      <c r="F618" s="4">
        <f t="shared" si="47"/>
        <v>27000</v>
      </c>
      <c r="G618" s="4">
        <f t="shared" si="48"/>
        <v>-16595</v>
      </c>
    </row>
    <row r="619" spans="2:7" x14ac:dyDescent="0.3">
      <c r="B619" s="2">
        <v>606</v>
      </c>
      <c r="C619" s="2">
        <f t="shared" si="49"/>
        <v>656000</v>
      </c>
      <c r="D619" s="4">
        <f t="shared" si="45"/>
        <v>394</v>
      </c>
      <c r="E619" s="4">
        <f t="shared" si="46"/>
        <v>10406</v>
      </c>
      <c r="F619" s="4">
        <f t="shared" si="47"/>
        <v>27040</v>
      </c>
      <c r="G619" s="4">
        <f t="shared" si="48"/>
        <v>-16634</v>
      </c>
    </row>
    <row r="620" spans="2:7" x14ac:dyDescent="0.3">
      <c r="B620" s="2">
        <v>607</v>
      </c>
      <c r="C620" s="2">
        <f t="shared" si="49"/>
        <v>657000</v>
      </c>
      <c r="D620" s="4">
        <f t="shared" si="45"/>
        <v>393</v>
      </c>
      <c r="E620" s="4">
        <f t="shared" si="46"/>
        <v>10407</v>
      </c>
      <c r="F620" s="4">
        <f t="shared" si="47"/>
        <v>27080</v>
      </c>
      <c r="G620" s="4">
        <f t="shared" si="48"/>
        <v>-16673</v>
      </c>
    </row>
    <row r="621" spans="2:7" x14ac:dyDescent="0.3">
      <c r="B621" s="2">
        <v>608</v>
      </c>
      <c r="C621" s="2">
        <f t="shared" si="49"/>
        <v>658000</v>
      </c>
      <c r="D621" s="4">
        <f t="shared" si="45"/>
        <v>392</v>
      </c>
      <c r="E621" s="4">
        <f t="shared" si="46"/>
        <v>10408</v>
      </c>
      <c r="F621" s="4">
        <f t="shared" si="47"/>
        <v>27120</v>
      </c>
      <c r="G621" s="4">
        <f t="shared" si="48"/>
        <v>-16712</v>
      </c>
    </row>
    <row r="622" spans="2:7" x14ac:dyDescent="0.3">
      <c r="B622" s="2">
        <v>609</v>
      </c>
      <c r="C622" s="2">
        <f t="shared" si="49"/>
        <v>659000</v>
      </c>
      <c r="D622" s="4">
        <f t="shared" si="45"/>
        <v>391</v>
      </c>
      <c r="E622" s="4">
        <f t="shared" si="46"/>
        <v>10409</v>
      </c>
      <c r="F622" s="4">
        <f t="shared" si="47"/>
        <v>27160</v>
      </c>
      <c r="G622" s="4">
        <f t="shared" si="48"/>
        <v>-16751</v>
      </c>
    </row>
    <row r="623" spans="2:7" x14ac:dyDescent="0.3">
      <c r="B623" s="2">
        <v>610</v>
      </c>
      <c r="C623" s="2">
        <f t="shared" si="49"/>
        <v>660000</v>
      </c>
      <c r="D623" s="4">
        <f t="shared" si="45"/>
        <v>390</v>
      </c>
      <c r="E623" s="4">
        <f t="shared" si="46"/>
        <v>10410</v>
      </c>
      <c r="F623" s="4">
        <f t="shared" si="47"/>
        <v>27200</v>
      </c>
      <c r="G623" s="4">
        <f t="shared" si="48"/>
        <v>-16790</v>
      </c>
    </row>
    <row r="624" spans="2:7" x14ac:dyDescent="0.3">
      <c r="B624" s="2">
        <v>611</v>
      </c>
      <c r="C624" s="2">
        <f t="shared" si="49"/>
        <v>661000</v>
      </c>
      <c r="D624" s="4">
        <f t="shared" si="45"/>
        <v>389</v>
      </c>
      <c r="E624" s="4">
        <f t="shared" si="46"/>
        <v>10411</v>
      </c>
      <c r="F624" s="4">
        <f t="shared" si="47"/>
        <v>27240</v>
      </c>
      <c r="G624" s="4">
        <f t="shared" si="48"/>
        <v>-16829</v>
      </c>
    </row>
    <row r="625" spans="2:7" x14ac:dyDescent="0.3">
      <c r="B625" s="2">
        <v>612</v>
      </c>
      <c r="C625" s="2">
        <f t="shared" si="49"/>
        <v>662000</v>
      </c>
      <c r="D625" s="4">
        <f t="shared" si="45"/>
        <v>388</v>
      </c>
      <c r="E625" s="4">
        <f t="shared" si="46"/>
        <v>10412</v>
      </c>
      <c r="F625" s="4">
        <f t="shared" si="47"/>
        <v>27280</v>
      </c>
      <c r="G625" s="4">
        <f t="shared" si="48"/>
        <v>-16868</v>
      </c>
    </row>
    <row r="626" spans="2:7" x14ac:dyDescent="0.3">
      <c r="B626" s="2">
        <v>613</v>
      </c>
      <c r="C626" s="2">
        <f t="shared" si="49"/>
        <v>663000</v>
      </c>
      <c r="D626" s="4">
        <f t="shared" si="45"/>
        <v>387</v>
      </c>
      <c r="E626" s="4">
        <f t="shared" si="46"/>
        <v>10413</v>
      </c>
      <c r="F626" s="4">
        <f t="shared" si="47"/>
        <v>27320</v>
      </c>
      <c r="G626" s="4">
        <f t="shared" si="48"/>
        <v>-16907</v>
      </c>
    </row>
    <row r="627" spans="2:7" x14ac:dyDescent="0.3">
      <c r="B627" s="2">
        <v>614</v>
      </c>
      <c r="C627" s="2">
        <f t="shared" si="49"/>
        <v>664000</v>
      </c>
      <c r="D627" s="4">
        <f t="shared" si="45"/>
        <v>386</v>
      </c>
      <c r="E627" s="4">
        <f t="shared" si="46"/>
        <v>10414</v>
      </c>
      <c r="F627" s="4">
        <f t="shared" si="47"/>
        <v>27360</v>
      </c>
      <c r="G627" s="4">
        <f t="shared" si="48"/>
        <v>-16946</v>
      </c>
    </row>
    <row r="628" spans="2:7" x14ac:dyDescent="0.3">
      <c r="B628" s="2">
        <v>615</v>
      </c>
      <c r="C628" s="2">
        <f t="shared" si="49"/>
        <v>665000</v>
      </c>
      <c r="D628" s="4">
        <f t="shared" si="45"/>
        <v>385</v>
      </c>
      <c r="E628" s="4">
        <f t="shared" si="46"/>
        <v>10415</v>
      </c>
      <c r="F628" s="4">
        <f t="shared" si="47"/>
        <v>27400</v>
      </c>
      <c r="G628" s="4">
        <f t="shared" si="48"/>
        <v>-16985</v>
      </c>
    </row>
    <row r="629" spans="2:7" x14ac:dyDescent="0.3">
      <c r="B629" s="2">
        <v>616</v>
      </c>
      <c r="C629" s="2">
        <f t="shared" si="49"/>
        <v>666000</v>
      </c>
      <c r="D629" s="4">
        <f t="shared" si="45"/>
        <v>384</v>
      </c>
      <c r="E629" s="4">
        <f t="shared" si="46"/>
        <v>10416</v>
      </c>
      <c r="F629" s="4">
        <f t="shared" si="47"/>
        <v>27440</v>
      </c>
      <c r="G629" s="4">
        <f t="shared" si="48"/>
        <v>-17024</v>
      </c>
    </row>
    <row r="630" spans="2:7" x14ac:dyDescent="0.3">
      <c r="B630" s="2">
        <v>617</v>
      </c>
      <c r="C630" s="2">
        <f t="shared" si="49"/>
        <v>667000</v>
      </c>
      <c r="D630" s="4">
        <f t="shared" si="45"/>
        <v>383</v>
      </c>
      <c r="E630" s="4">
        <f t="shared" si="46"/>
        <v>10417</v>
      </c>
      <c r="F630" s="4">
        <f t="shared" si="47"/>
        <v>27480</v>
      </c>
      <c r="G630" s="4">
        <f t="shared" si="48"/>
        <v>-17063</v>
      </c>
    </row>
    <row r="631" spans="2:7" x14ac:dyDescent="0.3">
      <c r="B631" s="2">
        <v>618</v>
      </c>
      <c r="C631" s="2">
        <f t="shared" si="49"/>
        <v>668000</v>
      </c>
      <c r="D631" s="4">
        <f t="shared" si="45"/>
        <v>382</v>
      </c>
      <c r="E631" s="4">
        <f t="shared" si="46"/>
        <v>10418</v>
      </c>
      <c r="F631" s="4">
        <f t="shared" si="47"/>
        <v>27520</v>
      </c>
      <c r="G631" s="4">
        <f t="shared" si="48"/>
        <v>-17102</v>
      </c>
    </row>
    <row r="632" spans="2:7" x14ac:dyDescent="0.3">
      <c r="B632" s="2">
        <v>619</v>
      </c>
      <c r="C632" s="2">
        <f t="shared" si="49"/>
        <v>669000</v>
      </c>
      <c r="D632" s="4">
        <f t="shared" si="45"/>
        <v>381</v>
      </c>
      <c r="E632" s="4">
        <f t="shared" si="46"/>
        <v>10419</v>
      </c>
      <c r="F632" s="4">
        <f t="shared" si="47"/>
        <v>27560</v>
      </c>
      <c r="G632" s="4">
        <f t="shared" si="48"/>
        <v>-17141</v>
      </c>
    </row>
    <row r="633" spans="2:7" x14ac:dyDescent="0.3">
      <c r="B633" s="2">
        <v>620</v>
      </c>
      <c r="C633" s="2">
        <f t="shared" si="49"/>
        <v>670000</v>
      </c>
      <c r="D633" s="4">
        <f t="shared" si="45"/>
        <v>380</v>
      </c>
      <c r="E633" s="4">
        <f t="shared" si="46"/>
        <v>10420</v>
      </c>
      <c r="F633" s="4">
        <f t="shared" si="47"/>
        <v>27600</v>
      </c>
      <c r="G633" s="4">
        <f t="shared" si="48"/>
        <v>-17180</v>
      </c>
    </row>
    <row r="634" spans="2:7" x14ac:dyDescent="0.3">
      <c r="B634" s="2">
        <v>621</v>
      </c>
      <c r="C634" s="2">
        <f t="shared" si="49"/>
        <v>671000</v>
      </c>
      <c r="D634" s="4">
        <f t="shared" si="45"/>
        <v>379</v>
      </c>
      <c r="E634" s="4">
        <f t="shared" si="46"/>
        <v>10421</v>
      </c>
      <c r="F634" s="4">
        <f t="shared" si="47"/>
        <v>27640</v>
      </c>
      <c r="G634" s="4">
        <f t="shared" si="48"/>
        <v>-17219</v>
      </c>
    </row>
    <row r="635" spans="2:7" x14ac:dyDescent="0.3">
      <c r="B635" s="2">
        <v>622</v>
      </c>
      <c r="C635" s="2">
        <f t="shared" si="49"/>
        <v>672000</v>
      </c>
      <c r="D635" s="4">
        <f t="shared" si="45"/>
        <v>378</v>
      </c>
      <c r="E635" s="4">
        <f t="shared" si="46"/>
        <v>10422</v>
      </c>
      <c r="F635" s="4">
        <f t="shared" si="47"/>
        <v>27680</v>
      </c>
      <c r="G635" s="4">
        <f t="shared" si="48"/>
        <v>-17258</v>
      </c>
    </row>
    <row r="636" spans="2:7" x14ac:dyDescent="0.3">
      <c r="B636" s="2">
        <v>623</v>
      </c>
      <c r="C636" s="2">
        <f t="shared" si="49"/>
        <v>673000</v>
      </c>
      <c r="D636" s="4">
        <f t="shared" si="45"/>
        <v>377</v>
      </c>
      <c r="E636" s="4">
        <f t="shared" si="46"/>
        <v>10423</v>
      </c>
      <c r="F636" s="4">
        <f t="shared" si="47"/>
        <v>27720</v>
      </c>
      <c r="G636" s="4">
        <f t="shared" si="48"/>
        <v>-17297</v>
      </c>
    </row>
    <row r="637" spans="2:7" x14ac:dyDescent="0.3">
      <c r="B637" s="2">
        <v>624</v>
      </c>
      <c r="C637" s="2">
        <f t="shared" si="49"/>
        <v>674000</v>
      </c>
      <c r="D637" s="4">
        <f t="shared" si="45"/>
        <v>376</v>
      </c>
      <c r="E637" s="4">
        <f t="shared" si="46"/>
        <v>10424</v>
      </c>
      <c r="F637" s="4">
        <f t="shared" si="47"/>
        <v>27760</v>
      </c>
      <c r="G637" s="4">
        <f t="shared" si="48"/>
        <v>-17336</v>
      </c>
    </row>
    <row r="638" spans="2:7" x14ac:dyDescent="0.3">
      <c r="B638" s="2">
        <v>625</v>
      </c>
      <c r="C638" s="2">
        <f t="shared" si="49"/>
        <v>675000</v>
      </c>
      <c r="D638" s="4">
        <f t="shared" si="45"/>
        <v>375</v>
      </c>
      <c r="E638" s="4">
        <f t="shared" si="46"/>
        <v>10425</v>
      </c>
      <c r="F638" s="4">
        <f t="shared" si="47"/>
        <v>27800</v>
      </c>
      <c r="G638" s="4">
        <f t="shared" si="48"/>
        <v>-17375</v>
      </c>
    </row>
    <row r="639" spans="2:7" x14ac:dyDescent="0.3">
      <c r="B639" s="2">
        <v>626</v>
      </c>
      <c r="C639" s="2">
        <f t="shared" si="49"/>
        <v>676000</v>
      </c>
      <c r="D639" s="4">
        <f t="shared" si="45"/>
        <v>374</v>
      </c>
      <c r="E639" s="4">
        <f t="shared" si="46"/>
        <v>10426</v>
      </c>
      <c r="F639" s="4">
        <f t="shared" si="47"/>
        <v>27840</v>
      </c>
      <c r="G639" s="4">
        <f t="shared" si="48"/>
        <v>-17414</v>
      </c>
    </row>
    <row r="640" spans="2:7" x14ac:dyDescent="0.3">
      <c r="B640" s="2">
        <v>627</v>
      </c>
      <c r="C640" s="2">
        <f t="shared" si="49"/>
        <v>677000</v>
      </c>
      <c r="D640" s="4">
        <f t="shared" si="45"/>
        <v>373</v>
      </c>
      <c r="E640" s="4">
        <f t="shared" si="46"/>
        <v>10427</v>
      </c>
      <c r="F640" s="4">
        <f t="shared" si="47"/>
        <v>27880</v>
      </c>
      <c r="G640" s="4">
        <f t="shared" si="48"/>
        <v>-17453</v>
      </c>
    </row>
    <row r="641" spans="2:7" x14ac:dyDescent="0.3">
      <c r="B641" s="2">
        <v>628</v>
      </c>
      <c r="C641" s="2">
        <f t="shared" si="49"/>
        <v>678000</v>
      </c>
      <c r="D641" s="4">
        <f t="shared" si="45"/>
        <v>372</v>
      </c>
      <c r="E641" s="4">
        <f t="shared" si="46"/>
        <v>10428</v>
      </c>
      <c r="F641" s="4">
        <f t="shared" si="47"/>
        <v>27920</v>
      </c>
      <c r="G641" s="4">
        <f t="shared" si="48"/>
        <v>-17492</v>
      </c>
    </row>
    <row r="642" spans="2:7" x14ac:dyDescent="0.3">
      <c r="B642" s="2">
        <v>629</v>
      </c>
      <c r="C642" s="2">
        <f t="shared" si="49"/>
        <v>679000</v>
      </c>
      <c r="D642" s="4">
        <f t="shared" si="45"/>
        <v>371</v>
      </c>
      <c r="E642" s="4">
        <f t="shared" si="46"/>
        <v>10429</v>
      </c>
      <c r="F642" s="4">
        <f t="shared" si="47"/>
        <v>27960</v>
      </c>
      <c r="G642" s="4">
        <f t="shared" si="48"/>
        <v>-17531</v>
      </c>
    </row>
    <row r="643" spans="2:7" x14ac:dyDescent="0.3">
      <c r="B643" s="2">
        <v>630</v>
      </c>
      <c r="C643" s="2">
        <f t="shared" si="49"/>
        <v>680000</v>
      </c>
      <c r="D643" s="4">
        <f t="shared" si="45"/>
        <v>370</v>
      </c>
      <c r="E643" s="4">
        <f t="shared" si="46"/>
        <v>10430</v>
      </c>
      <c r="F643" s="4">
        <f t="shared" si="47"/>
        <v>28000</v>
      </c>
      <c r="G643" s="4">
        <f t="shared" si="48"/>
        <v>-17570</v>
      </c>
    </row>
    <row r="644" spans="2:7" x14ac:dyDescent="0.3">
      <c r="B644" s="2">
        <v>631</v>
      </c>
      <c r="C644" s="2">
        <f t="shared" si="49"/>
        <v>681000</v>
      </c>
      <c r="D644" s="4">
        <f t="shared" si="45"/>
        <v>369</v>
      </c>
      <c r="E644" s="4">
        <f t="shared" si="46"/>
        <v>10431</v>
      </c>
      <c r="F644" s="4">
        <f t="shared" si="47"/>
        <v>28040</v>
      </c>
      <c r="G644" s="4">
        <f t="shared" si="48"/>
        <v>-17609</v>
      </c>
    </row>
    <row r="645" spans="2:7" x14ac:dyDescent="0.3">
      <c r="B645" s="2">
        <v>632</v>
      </c>
      <c r="C645" s="2">
        <f t="shared" si="49"/>
        <v>682000</v>
      </c>
      <c r="D645" s="4">
        <f t="shared" si="45"/>
        <v>368</v>
      </c>
      <c r="E645" s="4">
        <f t="shared" si="46"/>
        <v>10432</v>
      </c>
      <c r="F645" s="4">
        <f t="shared" si="47"/>
        <v>28080</v>
      </c>
      <c r="G645" s="4">
        <f t="shared" si="48"/>
        <v>-17648</v>
      </c>
    </row>
    <row r="646" spans="2:7" x14ac:dyDescent="0.3">
      <c r="B646" s="2">
        <v>633</v>
      </c>
      <c r="C646" s="2">
        <f t="shared" si="49"/>
        <v>683000</v>
      </c>
      <c r="D646" s="4">
        <f t="shared" si="45"/>
        <v>367</v>
      </c>
      <c r="E646" s="4">
        <f t="shared" si="46"/>
        <v>10433</v>
      </c>
      <c r="F646" s="4">
        <f t="shared" si="47"/>
        <v>28120</v>
      </c>
      <c r="G646" s="4">
        <f t="shared" si="48"/>
        <v>-17687</v>
      </c>
    </row>
    <row r="647" spans="2:7" x14ac:dyDescent="0.3">
      <c r="B647" s="2">
        <v>634</v>
      </c>
      <c r="C647" s="2">
        <f t="shared" si="49"/>
        <v>684000</v>
      </c>
      <c r="D647" s="4">
        <f t="shared" si="45"/>
        <v>366</v>
      </c>
      <c r="E647" s="4">
        <f t="shared" si="46"/>
        <v>10434</v>
      </c>
      <c r="F647" s="4">
        <f t="shared" si="47"/>
        <v>28160</v>
      </c>
      <c r="G647" s="4">
        <f t="shared" si="48"/>
        <v>-17726</v>
      </c>
    </row>
    <row r="648" spans="2:7" x14ac:dyDescent="0.3">
      <c r="B648" s="2">
        <v>635</v>
      </c>
      <c r="C648" s="2">
        <f t="shared" si="49"/>
        <v>685000</v>
      </c>
      <c r="D648" s="4">
        <f t="shared" si="45"/>
        <v>365</v>
      </c>
      <c r="E648" s="4">
        <f t="shared" si="46"/>
        <v>10435</v>
      </c>
      <c r="F648" s="4">
        <f t="shared" si="47"/>
        <v>28200</v>
      </c>
      <c r="G648" s="4">
        <f t="shared" si="48"/>
        <v>-17765</v>
      </c>
    </row>
    <row r="649" spans="2:7" x14ac:dyDescent="0.3">
      <c r="B649" s="2">
        <v>636</v>
      </c>
      <c r="C649" s="2">
        <f t="shared" si="49"/>
        <v>686000</v>
      </c>
      <c r="D649" s="4">
        <f t="shared" si="45"/>
        <v>364</v>
      </c>
      <c r="E649" s="4">
        <f t="shared" si="46"/>
        <v>10436</v>
      </c>
      <c r="F649" s="4">
        <f t="shared" si="47"/>
        <v>28240</v>
      </c>
      <c r="G649" s="4">
        <f t="shared" si="48"/>
        <v>-17804</v>
      </c>
    </row>
    <row r="650" spans="2:7" x14ac:dyDescent="0.3">
      <c r="B650" s="2">
        <v>637</v>
      </c>
      <c r="C650" s="2">
        <f t="shared" si="49"/>
        <v>687000</v>
      </c>
      <c r="D650" s="4">
        <f t="shared" si="45"/>
        <v>363</v>
      </c>
      <c r="E650" s="4">
        <f t="shared" si="46"/>
        <v>10437</v>
      </c>
      <c r="F650" s="4">
        <f t="shared" si="47"/>
        <v>28280</v>
      </c>
      <c r="G650" s="4">
        <f t="shared" si="48"/>
        <v>-17843</v>
      </c>
    </row>
    <row r="651" spans="2:7" x14ac:dyDescent="0.3">
      <c r="B651" s="2">
        <v>638</v>
      </c>
      <c r="C651" s="2">
        <f t="shared" si="49"/>
        <v>688000</v>
      </c>
      <c r="D651" s="4">
        <f t="shared" si="45"/>
        <v>362</v>
      </c>
      <c r="E651" s="4">
        <f t="shared" si="46"/>
        <v>10438</v>
      </c>
      <c r="F651" s="4">
        <f t="shared" si="47"/>
        <v>28320</v>
      </c>
      <c r="G651" s="4">
        <f t="shared" si="48"/>
        <v>-17882</v>
      </c>
    </row>
    <row r="652" spans="2:7" x14ac:dyDescent="0.3">
      <c r="B652" s="2">
        <v>639</v>
      </c>
      <c r="C652" s="2">
        <f t="shared" si="49"/>
        <v>689000</v>
      </c>
      <c r="D652" s="4">
        <f t="shared" si="45"/>
        <v>361</v>
      </c>
      <c r="E652" s="4">
        <f t="shared" si="46"/>
        <v>10439</v>
      </c>
      <c r="F652" s="4">
        <f t="shared" si="47"/>
        <v>28360</v>
      </c>
      <c r="G652" s="4">
        <f t="shared" si="48"/>
        <v>-17921</v>
      </c>
    </row>
    <row r="653" spans="2:7" x14ac:dyDescent="0.3">
      <c r="B653" s="2">
        <v>640</v>
      </c>
      <c r="C653" s="2">
        <f t="shared" si="49"/>
        <v>690000</v>
      </c>
      <c r="D653" s="4">
        <f t="shared" si="45"/>
        <v>360</v>
      </c>
      <c r="E653" s="4">
        <f t="shared" si="46"/>
        <v>10440</v>
      </c>
      <c r="F653" s="4">
        <f t="shared" si="47"/>
        <v>28400</v>
      </c>
      <c r="G653" s="4">
        <f t="shared" si="48"/>
        <v>-17960</v>
      </c>
    </row>
    <row r="654" spans="2:7" x14ac:dyDescent="0.3">
      <c r="B654" s="2">
        <v>641</v>
      </c>
      <c r="C654" s="2">
        <f t="shared" si="49"/>
        <v>691000</v>
      </c>
      <c r="D654" s="4">
        <f t="shared" ref="D654:D717" si="50">IF(C654&lt;=50000,$C$5,$C$5-((C654-50000)/1000)*$C$7)</f>
        <v>359</v>
      </c>
      <c r="E654" s="4">
        <f t="shared" ref="E654:E717" si="51">$C$3+$C$4*$C$6-D654</f>
        <v>10441</v>
      </c>
      <c r="F654" s="4">
        <f t="shared" ref="F654:F717" si="52">$F$3*$C$7+$F$4*C654</f>
        <v>28440</v>
      </c>
      <c r="G654" s="4">
        <f t="shared" ref="G654:G717" si="53">E654-F654</f>
        <v>-17999</v>
      </c>
    </row>
    <row r="655" spans="2:7" x14ac:dyDescent="0.3">
      <c r="B655" s="2">
        <v>642</v>
      </c>
      <c r="C655" s="2">
        <f t="shared" ref="C655:C718" si="54">$C$8+(B655*1000)</f>
        <v>692000</v>
      </c>
      <c r="D655" s="4">
        <f t="shared" si="50"/>
        <v>358</v>
      </c>
      <c r="E655" s="4">
        <f t="shared" si="51"/>
        <v>10442</v>
      </c>
      <c r="F655" s="4">
        <f t="shared" si="52"/>
        <v>28480</v>
      </c>
      <c r="G655" s="4">
        <f t="shared" si="53"/>
        <v>-18038</v>
      </c>
    </row>
    <row r="656" spans="2:7" x14ac:dyDescent="0.3">
      <c r="B656" s="2">
        <v>643</v>
      </c>
      <c r="C656" s="2">
        <f t="shared" si="54"/>
        <v>693000</v>
      </c>
      <c r="D656" s="4">
        <f t="shared" si="50"/>
        <v>357</v>
      </c>
      <c r="E656" s="4">
        <f t="shared" si="51"/>
        <v>10443</v>
      </c>
      <c r="F656" s="4">
        <f t="shared" si="52"/>
        <v>28520</v>
      </c>
      <c r="G656" s="4">
        <f t="shared" si="53"/>
        <v>-18077</v>
      </c>
    </row>
    <row r="657" spans="2:7" x14ac:dyDescent="0.3">
      <c r="B657" s="2">
        <v>644</v>
      </c>
      <c r="C657" s="2">
        <f t="shared" si="54"/>
        <v>694000</v>
      </c>
      <c r="D657" s="4">
        <f t="shared" si="50"/>
        <v>356</v>
      </c>
      <c r="E657" s="4">
        <f t="shared" si="51"/>
        <v>10444</v>
      </c>
      <c r="F657" s="4">
        <f t="shared" si="52"/>
        <v>28560</v>
      </c>
      <c r="G657" s="4">
        <f t="shared" si="53"/>
        <v>-18116</v>
      </c>
    </row>
    <row r="658" spans="2:7" x14ac:dyDescent="0.3">
      <c r="B658" s="2">
        <v>645</v>
      </c>
      <c r="C658" s="2">
        <f t="shared" si="54"/>
        <v>695000</v>
      </c>
      <c r="D658" s="4">
        <f t="shared" si="50"/>
        <v>355</v>
      </c>
      <c r="E658" s="4">
        <f t="shared" si="51"/>
        <v>10445</v>
      </c>
      <c r="F658" s="4">
        <f t="shared" si="52"/>
        <v>28600</v>
      </c>
      <c r="G658" s="4">
        <f t="shared" si="53"/>
        <v>-18155</v>
      </c>
    </row>
    <row r="659" spans="2:7" x14ac:dyDescent="0.3">
      <c r="B659" s="2">
        <v>646</v>
      </c>
      <c r="C659" s="2">
        <f t="shared" si="54"/>
        <v>696000</v>
      </c>
      <c r="D659" s="4">
        <f t="shared" si="50"/>
        <v>354</v>
      </c>
      <c r="E659" s="4">
        <f t="shared" si="51"/>
        <v>10446</v>
      </c>
      <c r="F659" s="4">
        <f t="shared" si="52"/>
        <v>28640</v>
      </c>
      <c r="G659" s="4">
        <f t="shared" si="53"/>
        <v>-18194</v>
      </c>
    </row>
    <row r="660" spans="2:7" x14ac:dyDescent="0.3">
      <c r="B660" s="2">
        <v>647</v>
      </c>
      <c r="C660" s="2">
        <f t="shared" si="54"/>
        <v>697000</v>
      </c>
      <c r="D660" s="4">
        <f t="shared" si="50"/>
        <v>353</v>
      </c>
      <c r="E660" s="4">
        <f t="shared" si="51"/>
        <v>10447</v>
      </c>
      <c r="F660" s="4">
        <f t="shared" si="52"/>
        <v>28680</v>
      </c>
      <c r="G660" s="4">
        <f t="shared" si="53"/>
        <v>-18233</v>
      </c>
    </row>
    <row r="661" spans="2:7" x14ac:dyDescent="0.3">
      <c r="B661" s="2">
        <v>648</v>
      </c>
      <c r="C661" s="2">
        <f t="shared" si="54"/>
        <v>698000</v>
      </c>
      <c r="D661" s="4">
        <f t="shared" si="50"/>
        <v>352</v>
      </c>
      <c r="E661" s="4">
        <f t="shared" si="51"/>
        <v>10448</v>
      </c>
      <c r="F661" s="4">
        <f t="shared" si="52"/>
        <v>28720</v>
      </c>
      <c r="G661" s="4">
        <f t="shared" si="53"/>
        <v>-18272</v>
      </c>
    </row>
    <row r="662" spans="2:7" x14ac:dyDescent="0.3">
      <c r="B662" s="2">
        <v>649</v>
      </c>
      <c r="C662" s="2">
        <f t="shared" si="54"/>
        <v>699000</v>
      </c>
      <c r="D662" s="4">
        <f t="shared" si="50"/>
        <v>351</v>
      </c>
      <c r="E662" s="4">
        <f t="shared" si="51"/>
        <v>10449</v>
      </c>
      <c r="F662" s="4">
        <f t="shared" si="52"/>
        <v>28760</v>
      </c>
      <c r="G662" s="4">
        <f t="shared" si="53"/>
        <v>-18311</v>
      </c>
    </row>
    <row r="663" spans="2:7" x14ac:dyDescent="0.3">
      <c r="B663" s="2">
        <v>650</v>
      </c>
      <c r="C663" s="2">
        <f t="shared" si="54"/>
        <v>700000</v>
      </c>
      <c r="D663" s="4">
        <f t="shared" si="50"/>
        <v>350</v>
      </c>
      <c r="E663" s="4">
        <f t="shared" si="51"/>
        <v>10450</v>
      </c>
      <c r="F663" s="4">
        <f t="shared" si="52"/>
        <v>28800</v>
      </c>
      <c r="G663" s="4">
        <f t="shared" si="53"/>
        <v>-18350</v>
      </c>
    </row>
    <row r="664" spans="2:7" x14ac:dyDescent="0.3">
      <c r="B664" s="2">
        <v>651</v>
      </c>
      <c r="C664" s="2">
        <f t="shared" si="54"/>
        <v>701000</v>
      </c>
      <c r="D664" s="4">
        <f t="shared" si="50"/>
        <v>349</v>
      </c>
      <c r="E664" s="4">
        <f t="shared" si="51"/>
        <v>10451</v>
      </c>
      <c r="F664" s="4">
        <f t="shared" si="52"/>
        <v>28840</v>
      </c>
      <c r="G664" s="4">
        <f t="shared" si="53"/>
        <v>-18389</v>
      </c>
    </row>
    <row r="665" spans="2:7" x14ac:dyDescent="0.3">
      <c r="B665" s="2">
        <v>652</v>
      </c>
      <c r="C665" s="2">
        <f t="shared" si="54"/>
        <v>702000</v>
      </c>
      <c r="D665" s="4">
        <f t="shared" si="50"/>
        <v>348</v>
      </c>
      <c r="E665" s="4">
        <f t="shared" si="51"/>
        <v>10452</v>
      </c>
      <c r="F665" s="4">
        <f t="shared" si="52"/>
        <v>28880</v>
      </c>
      <c r="G665" s="4">
        <f t="shared" si="53"/>
        <v>-18428</v>
      </c>
    </row>
    <row r="666" spans="2:7" x14ac:dyDescent="0.3">
      <c r="B666" s="2">
        <v>653</v>
      </c>
      <c r="C666" s="2">
        <f t="shared" si="54"/>
        <v>703000</v>
      </c>
      <c r="D666" s="4">
        <f t="shared" si="50"/>
        <v>347</v>
      </c>
      <c r="E666" s="4">
        <f t="shared" si="51"/>
        <v>10453</v>
      </c>
      <c r="F666" s="4">
        <f t="shared" si="52"/>
        <v>28920</v>
      </c>
      <c r="G666" s="4">
        <f t="shared" si="53"/>
        <v>-18467</v>
      </c>
    </row>
    <row r="667" spans="2:7" x14ac:dyDescent="0.3">
      <c r="B667" s="2">
        <v>654</v>
      </c>
      <c r="C667" s="2">
        <f t="shared" si="54"/>
        <v>704000</v>
      </c>
      <c r="D667" s="4">
        <f t="shared" si="50"/>
        <v>346</v>
      </c>
      <c r="E667" s="4">
        <f t="shared" si="51"/>
        <v>10454</v>
      </c>
      <c r="F667" s="4">
        <f t="shared" si="52"/>
        <v>28960</v>
      </c>
      <c r="G667" s="4">
        <f t="shared" si="53"/>
        <v>-18506</v>
      </c>
    </row>
    <row r="668" spans="2:7" x14ac:dyDescent="0.3">
      <c r="B668" s="2">
        <v>655</v>
      </c>
      <c r="C668" s="2">
        <f t="shared" si="54"/>
        <v>705000</v>
      </c>
      <c r="D668" s="4">
        <f t="shared" si="50"/>
        <v>345</v>
      </c>
      <c r="E668" s="4">
        <f t="shared" si="51"/>
        <v>10455</v>
      </c>
      <c r="F668" s="4">
        <f t="shared" si="52"/>
        <v>29000</v>
      </c>
      <c r="G668" s="4">
        <f t="shared" si="53"/>
        <v>-18545</v>
      </c>
    </row>
    <row r="669" spans="2:7" x14ac:dyDescent="0.3">
      <c r="B669" s="2">
        <v>656</v>
      </c>
      <c r="C669" s="2">
        <f t="shared" si="54"/>
        <v>706000</v>
      </c>
      <c r="D669" s="4">
        <f t="shared" si="50"/>
        <v>344</v>
      </c>
      <c r="E669" s="4">
        <f t="shared" si="51"/>
        <v>10456</v>
      </c>
      <c r="F669" s="4">
        <f t="shared" si="52"/>
        <v>29040</v>
      </c>
      <c r="G669" s="4">
        <f t="shared" si="53"/>
        <v>-18584</v>
      </c>
    </row>
    <row r="670" spans="2:7" x14ac:dyDescent="0.3">
      <c r="B670" s="2">
        <v>657</v>
      </c>
      <c r="C670" s="2">
        <f t="shared" si="54"/>
        <v>707000</v>
      </c>
      <c r="D670" s="4">
        <f t="shared" si="50"/>
        <v>343</v>
      </c>
      <c r="E670" s="4">
        <f t="shared" si="51"/>
        <v>10457</v>
      </c>
      <c r="F670" s="4">
        <f t="shared" si="52"/>
        <v>29080</v>
      </c>
      <c r="G670" s="4">
        <f t="shared" si="53"/>
        <v>-18623</v>
      </c>
    </row>
    <row r="671" spans="2:7" x14ac:dyDescent="0.3">
      <c r="B671" s="2">
        <v>658</v>
      </c>
      <c r="C671" s="2">
        <f t="shared" si="54"/>
        <v>708000</v>
      </c>
      <c r="D671" s="4">
        <f t="shared" si="50"/>
        <v>342</v>
      </c>
      <c r="E671" s="4">
        <f t="shared" si="51"/>
        <v>10458</v>
      </c>
      <c r="F671" s="4">
        <f t="shared" si="52"/>
        <v>29120</v>
      </c>
      <c r="G671" s="4">
        <f t="shared" si="53"/>
        <v>-18662</v>
      </c>
    </row>
    <row r="672" spans="2:7" x14ac:dyDescent="0.3">
      <c r="B672" s="2">
        <v>659</v>
      </c>
      <c r="C672" s="2">
        <f t="shared" si="54"/>
        <v>709000</v>
      </c>
      <c r="D672" s="4">
        <f t="shared" si="50"/>
        <v>341</v>
      </c>
      <c r="E672" s="4">
        <f t="shared" si="51"/>
        <v>10459</v>
      </c>
      <c r="F672" s="4">
        <f t="shared" si="52"/>
        <v>29160</v>
      </c>
      <c r="G672" s="4">
        <f t="shared" si="53"/>
        <v>-18701</v>
      </c>
    </row>
    <row r="673" spans="2:7" x14ac:dyDescent="0.3">
      <c r="B673" s="2">
        <v>660</v>
      </c>
      <c r="C673" s="2">
        <f t="shared" si="54"/>
        <v>710000</v>
      </c>
      <c r="D673" s="4">
        <f t="shared" si="50"/>
        <v>340</v>
      </c>
      <c r="E673" s="4">
        <f t="shared" si="51"/>
        <v>10460</v>
      </c>
      <c r="F673" s="4">
        <f t="shared" si="52"/>
        <v>29200</v>
      </c>
      <c r="G673" s="4">
        <f t="shared" si="53"/>
        <v>-18740</v>
      </c>
    </row>
    <row r="674" spans="2:7" x14ac:dyDescent="0.3">
      <c r="B674" s="2">
        <v>661</v>
      </c>
      <c r="C674" s="2">
        <f t="shared" si="54"/>
        <v>711000</v>
      </c>
      <c r="D674" s="4">
        <f t="shared" si="50"/>
        <v>339</v>
      </c>
      <c r="E674" s="4">
        <f t="shared" si="51"/>
        <v>10461</v>
      </c>
      <c r="F674" s="4">
        <f t="shared" si="52"/>
        <v>29240</v>
      </c>
      <c r="G674" s="4">
        <f t="shared" si="53"/>
        <v>-18779</v>
      </c>
    </row>
    <row r="675" spans="2:7" x14ac:dyDescent="0.3">
      <c r="B675" s="2">
        <v>662</v>
      </c>
      <c r="C675" s="2">
        <f t="shared" si="54"/>
        <v>712000</v>
      </c>
      <c r="D675" s="4">
        <f t="shared" si="50"/>
        <v>338</v>
      </c>
      <c r="E675" s="4">
        <f t="shared" si="51"/>
        <v>10462</v>
      </c>
      <c r="F675" s="4">
        <f t="shared" si="52"/>
        <v>29280</v>
      </c>
      <c r="G675" s="4">
        <f t="shared" si="53"/>
        <v>-18818</v>
      </c>
    </row>
    <row r="676" spans="2:7" x14ac:dyDescent="0.3">
      <c r="B676" s="2">
        <v>663</v>
      </c>
      <c r="C676" s="2">
        <f t="shared" si="54"/>
        <v>713000</v>
      </c>
      <c r="D676" s="4">
        <f t="shared" si="50"/>
        <v>337</v>
      </c>
      <c r="E676" s="4">
        <f t="shared" si="51"/>
        <v>10463</v>
      </c>
      <c r="F676" s="4">
        <f t="shared" si="52"/>
        <v>29320</v>
      </c>
      <c r="G676" s="4">
        <f t="shared" si="53"/>
        <v>-18857</v>
      </c>
    </row>
    <row r="677" spans="2:7" x14ac:dyDescent="0.3">
      <c r="B677" s="2">
        <v>664</v>
      </c>
      <c r="C677" s="2">
        <f t="shared" si="54"/>
        <v>714000</v>
      </c>
      <c r="D677" s="4">
        <f t="shared" si="50"/>
        <v>336</v>
      </c>
      <c r="E677" s="4">
        <f t="shared" si="51"/>
        <v>10464</v>
      </c>
      <c r="F677" s="4">
        <f t="shared" si="52"/>
        <v>29360</v>
      </c>
      <c r="G677" s="4">
        <f t="shared" si="53"/>
        <v>-18896</v>
      </c>
    </row>
    <row r="678" spans="2:7" x14ac:dyDescent="0.3">
      <c r="B678" s="2">
        <v>665</v>
      </c>
      <c r="C678" s="2">
        <f t="shared" si="54"/>
        <v>715000</v>
      </c>
      <c r="D678" s="4">
        <f t="shared" si="50"/>
        <v>335</v>
      </c>
      <c r="E678" s="4">
        <f t="shared" si="51"/>
        <v>10465</v>
      </c>
      <c r="F678" s="4">
        <f t="shared" si="52"/>
        <v>29400</v>
      </c>
      <c r="G678" s="4">
        <f t="shared" si="53"/>
        <v>-18935</v>
      </c>
    </row>
    <row r="679" spans="2:7" x14ac:dyDescent="0.3">
      <c r="B679" s="2">
        <v>666</v>
      </c>
      <c r="C679" s="2">
        <f t="shared" si="54"/>
        <v>716000</v>
      </c>
      <c r="D679" s="4">
        <f t="shared" si="50"/>
        <v>334</v>
      </c>
      <c r="E679" s="4">
        <f t="shared" si="51"/>
        <v>10466</v>
      </c>
      <c r="F679" s="4">
        <f t="shared" si="52"/>
        <v>29440</v>
      </c>
      <c r="G679" s="4">
        <f t="shared" si="53"/>
        <v>-18974</v>
      </c>
    </row>
    <row r="680" spans="2:7" x14ac:dyDescent="0.3">
      <c r="B680" s="2">
        <v>667</v>
      </c>
      <c r="C680" s="2">
        <f t="shared" si="54"/>
        <v>717000</v>
      </c>
      <c r="D680" s="4">
        <f t="shared" si="50"/>
        <v>333</v>
      </c>
      <c r="E680" s="4">
        <f t="shared" si="51"/>
        <v>10467</v>
      </c>
      <c r="F680" s="4">
        <f t="shared" si="52"/>
        <v>29480</v>
      </c>
      <c r="G680" s="4">
        <f t="shared" si="53"/>
        <v>-19013</v>
      </c>
    </row>
    <row r="681" spans="2:7" x14ac:dyDescent="0.3">
      <c r="B681" s="2">
        <v>668</v>
      </c>
      <c r="C681" s="2">
        <f t="shared" si="54"/>
        <v>718000</v>
      </c>
      <c r="D681" s="4">
        <f t="shared" si="50"/>
        <v>332</v>
      </c>
      <c r="E681" s="4">
        <f t="shared" si="51"/>
        <v>10468</v>
      </c>
      <c r="F681" s="4">
        <f t="shared" si="52"/>
        <v>29520</v>
      </c>
      <c r="G681" s="4">
        <f t="shared" si="53"/>
        <v>-19052</v>
      </c>
    </row>
    <row r="682" spans="2:7" x14ac:dyDescent="0.3">
      <c r="B682" s="2">
        <v>669</v>
      </c>
      <c r="C682" s="2">
        <f t="shared" si="54"/>
        <v>719000</v>
      </c>
      <c r="D682" s="4">
        <f t="shared" si="50"/>
        <v>331</v>
      </c>
      <c r="E682" s="4">
        <f t="shared" si="51"/>
        <v>10469</v>
      </c>
      <c r="F682" s="4">
        <f t="shared" si="52"/>
        <v>29560</v>
      </c>
      <c r="G682" s="4">
        <f t="shared" si="53"/>
        <v>-19091</v>
      </c>
    </row>
    <row r="683" spans="2:7" x14ac:dyDescent="0.3">
      <c r="B683" s="2">
        <v>670</v>
      </c>
      <c r="C683" s="2">
        <f t="shared" si="54"/>
        <v>720000</v>
      </c>
      <c r="D683" s="4">
        <f t="shared" si="50"/>
        <v>330</v>
      </c>
      <c r="E683" s="4">
        <f t="shared" si="51"/>
        <v>10470</v>
      </c>
      <c r="F683" s="4">
        <f t="shared" si="52"/>
        <v>29600</v>
      </c>
      <c r="G683" s="4">
        <f t="shared" si="53"/>
        <v>-19130</v>
      </c>
    </row>
    <row r="684" spans="2:7" x14ac:dyDescent="0.3">
      <c r="B684" s="2">
        <v>671</v>
      </c>
      <c r="C684" s="2">
        <f t="shared" si="54"/>
        <v>721000</v>
      </c>
      <c r="D684" s="4">
        <f t="shared" si="50"/>
        <v>329</v>
      </c>
      <c r="E684" s="4">
        <f t="shared" si="51"/>
        <v>10471</v>
      </c>
      <c r="F684" s="4">
        <f t="shared" si="52"/>
        <v>29640</v>
      </c>
      <c r="G684" s="4">
        <f t="shared" si="53"/>
        <v>-19169</v>
      </c>
    </row>
    <row r="685" spans="2:7" x14ac:dyDescent="0.3">
      <c r="B685" s="2">
        <v>672</v>
      </c>
      <c r="C685" s="2">
        <f t="shared" si="54"/>
        <v>722000</v>
      </c>
      <c r="D685" s="4">
        <f t="shared" si="50"/>
        <v>328</v>
      </c>
      <c r="E685" s="4">
        <f t="shared" si="51"/>
        <v>10472</v>
      </c>
      <c r="F685" s="4">
        <f t="shared" si="52"/>
        <v>29680</v>
      </c>
      <c r="G685" s="4">
        <f t="shared" si="53"/>
        <v>-19208</v>
      </c>
    </row>
    <row r="686" spans="2:7" x14ac:dyDescent="0.3">
      <c r="B686" s="2">
        <v>673</v>
      </c>
      <c r="C686" s="2">
        <f t="shared" si="54"/>
        <v>723000</v>
      </c>
      <c r="D686" s="4">
        <f t="shared" si="50"/>
        <v>327</v>
      </c>
      <c r="E686" s="4">
        <f t="shared" si="51"/>
        <v>10473</v>
      </c>
      <c r="F686" s="4">
        <f t="shared" si="52"/>
        <v>29720</v>
      </c>
      <c r="G686" s="4">
        <f t="shared" si="53"/>
        <v>-19247</v>
      </c>
    </row>
    <row r="687" spans="2:7" x14ac:dyDescent="0.3">
      <c r="B687" s="2">
        <v>674</v>
      </c>
      <c r="C687" s="2">
        <f t="shared" si="54"/>
        <v>724000</v>
      </c>
      <c r="D687" s="4">
        <f t="shared" si="50"/>
        <v>326</v>
      </c>
      <c r="E687" s="4">
        <f t="shared" si="51"/>
        <v>10474</v>
      </c>
      <c r="F687" s="4">
        <f t="shared" si="52"/>
        <v>29760</v>
      </c>
      <c r="G687" s="4">
        <f t="shared" si="53"/>
        <v>-19286</v>
      </c>
    </row>
    <row r="688" spans="2:7" x14ac:dyDescent="0.3">
      <c r="B688" s="2">
        <v>675</v>
      </c>
      <c r="C688" s="2">
        <f t="shared" si="54"/>
        <v>725000</v>
      </c>
      <c r="D688" s="4">
        <f t="shared" si="50"/>
        <v>325</v>
      </c>
      <c r="E688" s="4">
        <f t="shared" si="51"/>
        <v>10475</v>
      </c>
      <c r="F688" s="4">
        <f t="shared" si="52"/>
        <v>29800</v>
      </c>
      <c r="G688" s="4">
        <f t="shared" si="53"/>
        <v>-19325</v>
      </c>
    </row>
    <row r="689" spans="2:7" x14ac:dyDescent="0.3">
      <c r="B689" s="2">
        <v>676</v>
      </c>
      <c r="C689" s="2">
        <f t="shared" si="54"/>
        <v>726000</v>
      </c>
      <c r="D689" s="4">
        <f t="shared" si="50"/>
        <v>324</v>
      </c>
      <c r="E689" s="4">
        <f t="shared" si="51"/>
        <v>10476</v>
      </c>
      <c r="F689" s="4">
        <f t="shared" si="52"/>
        <v>29840</v>
      </c>
      <c r="G689" s="4">
        <f t="shared" si="53"/>
        <v>-19364</v>
      </c>
    </row>
    <row r="690" spans="2:7" x14ac:dyDescent="0.3">
      <c r="B690" s="2">
        <v>677</v>
      </c>
      <c r="C690" s="2">
        <f t="shared" si="54"/>
        <v>727000</v>
      </c>
      <c r="D690" s="4">
        <f t="shared" si="50"/>
        <v>323</v>
      </c>
      <c r="E690" s="4">
        <f t="shared" si="51"/>
        <v>10477</v>
      </c>
      <c r="F690" s="4">
        <f t="shared" si="52"/>
        <v>29880</v>
      </c>
      <c r="G690" s="4">
        <f t="shared" si="53"/>
        <v>-19403</v>
      </c>
    </row>
    <row r="691" spans="2:7" x14ac:dyDescent="0.3">
      <c r="B691" s="2">
        <v>678</v>
      </c>
      <c r="C691" s="2">
        <f t="shared" si="54"/>
        <v>728000</v>
      </c>
      <c r="D691" s="4">
        <f t="shared" si="50"/>
        <v>322</v>
      </c>
      <c r="E691" s="4">
        <f t="shared" si="51"/>
        <v>10478</v>
      </c>
      <c r="F691" s="4">
        <f t="shared" si="52"/>
        <v>29920</v>
      </c>
      <c r="G691" s="4">
        <f t="shared" si="53"/>
        <v>-19442</v>
      </c>
    </row>
    <row r="692" spans="2:7" x14ac:dyDescent="0.3">
      <c r="B692" s="2">
        <v>679</v>
      </c>
      <c r="C692" s="2">
        <f t="shared" si="54"/>
        <v>729000</v>
      </c>
      <c r="D692" s="4">
        <f t="shared" si="50"/>
        <v>321</v>
      </c>
      <c r="E692" s="4">
        <f t="shared" si="51"/>
        <v>10479</v>
      </c>
      <c r="F692" s="4">
        <f t="shared" si="52"/>
        <v>29960</v>
      </c>
      <c r="G692" s="4">
        <f t="shared" si="53"/>
        <v>-19481</v>
      </c>
    </row>
    <row r="693" spans="2:7" x14ac:dyDescent="0.3">
      <c r="B693" s="2">
        <v>680</v>
      </c>
      <c r="C693" s="2">
        <f t="shared" si="54"/>
        <v>730000</v>
      </c>
      <c r="D693" s="4">
        <f t="shared" si="50"/>
        <v>320</v>
      </c>
      <c r="E693" s="4">
        <f t="shared" si="51"/>
        <v>10480</v>
      </c>
      <c r="F693" s="4">
        <f t="shared" si="52"/>
        <v>30000</v>
      </c>
      <c r="G693" s="4">
        <f t="shared" si="53"/>
        <v>-19520</v>
      </c>
    </row>
    <row r="694" spans="2:7" x14ac:dyDescent="0.3">
      <c r="B694" s="2">
        <v>681</v>
      </c>
      <c r="C694" s="2">
        <f t="shared" si="54"/>
        <v>731000</v>
      </c>
      <c r="D694" s="4">
        <f t="shared" si="50"/>
        <v>319</v>
      </c>
      <c r="E694" s="4">
        <f t="shared" si="51"/>
        <v>10481</v>
      </c>
      <c r="F694" s="4">
        <f t="shared" si="52"/>
        <v>30040</v>
      </c>
      <c r="G694" s="4">
        <f t="shared" si="53"/>
        <v>-19559</v>
      </c>
    </row>
    <row r="695" spans="2:7" x14ac:dyDescent="0.3">
      <c r="B695" s="2">
        <v>682</v>
      </c>
      <c r="C695" s="2">
        <f t="shared" si="54"/>
        <v>732000</v>
      </c>
      <c r="D695" s="4">
        <f t="shared" si="50"/>
        <v>318</v>
      </c>
      <c r="E695" s="4">
        <f t="shared" si="51"/>
        <v>10482</v>
      </c>
      <c r="F695" s="4">
        <f t="shared" si="52"/>
        <v>30080</v>
      </c>
      <c r="G695" s="4">
        <f t="shared" si="53"/>
        <v>-19598</v>
      </c>
    </row>
    <row r="696" spans="2:7" x14ac:dyDescent="0.3">
      <c r="B696" s="2">
        <v>683</v>
      </c>
      <c r="C696" s="2">
        <f t="shared" si="54"/>
        <v>733000</v>
      </c>
      <c r="D696" s="4">
        <f t="shared" si="50"/>
        <v>317</v>
      </c>
      <c r="E696" s="4">
        <f t="shared" si="51"/>
        <v>10483</v>
      </c>
      <c r="F696" s="4">
        <f t="shared" si="52"/>
        <v>30120</v>
      </c>
      <c r="G696" s="4">
        <f t="shared" si="53"/>
        <v>-19637</v>
      </c>
    </row>
    <row r="697" spans="2:7" x14ac:dyDescent="0.3">
      <c r="B697" s="2">
        <v>684</v>
      </c>
      <c r="C697" s="2">
        <f t="shared" si="54"/>
        <v>734000</v>
      </c>
      <c r="D697" s="4">
        <f t="shared" si="50"/>
        <v>316</v>
      </c>
      <c r="E697" s="4">
        <f t="shared" si="51"/>
        <v>10484</v>
      </c>
      <c r="F697" s="4">
        <f t="shared" si="52"/>
        <v>30160</v>
      </c>
      <c r="G697" s="4">
        <f t="shared" si="53"/>
        <v>-19676</v>
      </c>
    </row>
    <row r="698" spans="2:7" x14ac:dyDescent="0.3">
      <c r="B698" s="2">
        <v>685</v>
      </c>
      <c r="C698" s="2">
        <f t="shared" si="54"/>
        <v>735000</v>
      </c>
      <c r="D698" s="4">
        <f t="shared" si="50"/>
        <v>315</v>
      </c>
      <c r="E698" s="4">
        <f t="shared" si="51"/>
        <v>10485</v>
      </c>
      <c r="F698" s="4">
        <f t="shared" si="52"/>
        <v>30200</v>
      </c>
      <c r="G698" s="4">
        <f t="shared" si="53"/>
        <v>-19715</v>
      </c>
    </row>
    <row r="699" spans="2:7" x14ac:dyDescent="0.3">
      <c r="B699" s="2">
        <v>686</v>
      </c>
      <c r="C699" s="2">
        <f t="shared" si="54"/>
        <v>736000</v>
      </c>
      <c r="D699" s="4">
        <f t="shared" si="50"/>
        <v>314</v>
      </c>
      <c r="E699" s="4">
        <f t="shared" si="51"/>
        <v>10486</v>
      </c>
      <c r="F699" s="4">
        <f t="shared" si="52"/>
        <v>30240</v>
      </c>
      <c r="G699" s="4">
        <f t="shared" si="53"/>
        <v>-19754</v>
      </c>
    </row>
    <row r="700" spans="2:7" x14ac:dyDescent="0.3">
      <c r="B700" s="2">
        <v>687</v>
      </c>
      <c r="C700" s="2">
        <f t="shared" si="54"/>
        <v>737000</v>
      </c>
      <c r="D700" s="4">
        <f t="shared" si="50"/>
        <v>313</v>
      </c>
      <c r="E700" s="4">
        <f t="shared" si="51"/>
        <v>10487</v>
      </c>
      <c r="F700" s="4">
        <f t="shared" si="52"/>
        <v>30280</v>
      </c>
      <c r="G700" s="4">
        <f t="shared" si="53"/>
        <v>-19793</v>
      </c>
    </row>
    <row r="701" spans="2:7" x14ac:dyDescent="0.3">
      <c r="B701" s="2">
        <v>688</v>
      </c>
      <c r="C701" s="2">
        <f t="shared" si="54"/>
        <v>738000</v>
      </c>
      <c r="D701" s="4">
        <f t="shared" si="50"/>
        <v>312</v>
      </c>
      <c r="E701" s="4">
        <f t="shared" si="51"/>
        <v>10488</v>
      </c>
      <c r="F701" s="4">
        <f t="shared" si="52"/>
        <v>30320</v>
      </c>
      <c r="G701" s="4">
        <f t="shared" si="53"/>
        <v>-19832</v>
      </c>
    </row>
    <row r="702" spans="2:7" x14ac:dyDescent="0.3">
      <c r="B702" s="2">
        <v>689</v>
      </c>
      <c r="C702" s="2">
        <f t="shared" si="54"/>
        <v>739000</v>
      </c>
      <c r="D702" s="4">
        <f t="shared" si="50"/>
        <v>311</v>
      </c>
      <c r="E702" s="4">
        <f t="shared" si="51"/>
        <v>10489</v>
      </c>
      <c r="F702" s="4">
        <f t="shared" si="52"/>
        <v>30360</v>
      </c>
      <c r="G702" s="4">
        <f t="shared" si="53"/>
        <v>-19871</v>
      </c>
    </row>
    <row r="703" spans="2:7" x14ac:dyDescent="0.3">
      <c r="B703" s="2">
        <v>690</v>
      </c>
      <c r="C703" s="2">
        <f t="shared" si="54"/>
        <v>740000</v>
      </c>
      <c r="D703" s="4">
        <f t="shared" si="50"/>
        <v>310</v>
      </c>
      <c r="E703" s="4">
        <f t="shared" si="51"/>
        <v>10490</v>
      </c>
      <c r="F703" s="4">
        <f t="shared" si="52"/>
        <v>30400</v>
      </c>
      <c r="G703" s="4">
        <f t="shared" si="53"/>
        <v>-19910</v>
      </c>
    </row>
    <row r="704" spans="2:7" x14ac:dyDescent="0.3">
      <c r="B704" s="2">
        <v>691</v>
      </c>
      <c r="C704" s="2">
        <f t="shared" si="54"/>
        <v>741000</v>
      </c>
      <c r="D704" s="4">
        <f t="shared" si="50"/>
        <v>309</v>
      </c>
      <c r="E704" s="4">
        <f t="shared" si="51"/>
        <v>10491</v>
      </c>
      <c r="F704" s="4">
        <f t="shared" si="52"/>
        <v>30440</v>
      </c>
      <c r="G704" s="4">
        <f t="shared" si="53"/>
        <v>-19949</v>
      </c>
    </row>
    <row r="705" spans="2:7" x14ac:dyDescent="0.3">
      <c r="B705" s="2">
        <v>692</v>
      </c>
      <c r="C705" s="2">
        <f t="shared" si="54"/>
        <v>742000</v>
      </c>
      <c r="D705" s="4">
        <f t="shared" si="50"/>
        <v>308</v>
      </c>
      <c r="E705" s="4">
        <f t="shared" si="51"/>
        <v>10492</v>
      </c>
      <c r="F705" s="4">
        <f t="shared" si="52"/>
        <v>30480</v>
      </c>
      <c r="G705" s="4">
        <f t="shared" si="53"/>
        <v>-19988</v>
      </c>
    </row>
    <row r="706" spans="2:7" x14ac:dyDescent="0.3">
      <c r="B706" s="2">
        <v>693</v>
      </c>
      <c r="C706" s="2">
        <f t="shared" si="54"/>
        <v>743000</v>
      </c>
      <c r="D706" s="4">
        <f t="shared" si="50"/>
        <v>307</v>
      </c>
      <c r="E706" s="4">
        <f t="shared" si="51"/>
        <v>10493</v>
      </c>
      <c r="F706" s="4">
        <f t="shared" si="52"/>
        <v>30520</v>
      </c>
      <c r="G706" s="4">
        <f t="shared" si="53"/>
        <v>-20027</v>
      </c>
    </row>
    <row r="707" spans="2:7" x14ac:dyDescent="0.3">
      <c r="B707" s="2">
        <v>694</v>
      </c>
      <c r="C707" s="2">
        <f t="shared" si="54"/>
        <v>744000</v>
      </c>
      <c r="D707" s="4">
        <f t="shared" si="50"/>
        <v>306</v>
      </c>
      <c r="E707" s="4">
        <f t="shared" si="51"/>
        <v>10494</v>
      </c>
      <c r="F707" s="4">
        <f t="shared" si="52"/>
        <v>30560</v>
      </c>
      <c r="G707" s="4">
        <f t="shared" si="53"/>
        <v>-20066</v>
      </c>
    </row>
    <row r="708" spans="2:7" x14ac:dyDescent="0.3">
      <c r="B708" s="2">
        <v>695</v>
      </c>
      <c r="C708" s="2">
        <f t="shared" si="54"/>
        <v>745000</v>
      </c>
      <c r="D708" s="4">
        <f t="shared" si="50"/>
        <v>305</v>
      </c>
      <c r="E708" s="4">
        <f t="shared" si="51"/>
        <v>10495</v>
      </c>
      <c r="F708" s="4">
        <f t="shared" si="52"/>
        <v>30600</v>
      </c>
      <c r="G708" s="4">
        <f t="shared" si="53"/>
        <v>-20105</v>
      </c>
    </row>
    <row r="709" spans="2:7" x14ac:dyDescent="0.3">
      <c r="B709" s="2">
        <v>696</v>
      </c>
      <c r="C709" s="2">
        <f t="shared" si="54"/>
        <v>746000</v>
      </c>
      <c r="D709" s="4">
        <f t="shared" si="50"/>
        <v>304</v>
      </c>
      <c r="E709" s="4">
        <f t="shared" si="51"/>
        <v>10496</v>
      </c>
      <c r="F709" s="4">
        <f t="shared" si="52"/>
        <v>30640</v>
      </c>
      <c r="G709" s="4">
        <f t="shared" si="53"/>
        <v>-20144</v>
      </c>
    </row>
    <row r="710" spans="2:7" x14ac:dyDescent="0.3">
      <c r="B710" s="2">
        <v>697</v>
      </c>
      <c r="C710" s="2">
        <f t="shared" si="54"/>
        <v>747000</v>
      </c>
      <c r="D710" s="4">
        <f t="shared" si="50"/>
        <v>303</v>
      </c>
      <c r="E710" s="4">
        <f t="shared" si="51"/>
        <v>10497</v>
      </c>
      <c r="F710" s="4">
        <f t="shared" si="52"/>
        <v>30680</v>
      </c>
      <c r="G710" s="4">
        <f t="shared" si="53"/>
        <v>-20183</v>
      </c>
    </row>
    <row r="711" spans="2:7" x14ac:dyDescent="0.3">
      <c r="B711" s="2">
        <v>698</v>
      </c>
      <c r="C711" s="2">
        <f t="shared" si="54"/>
        <v>748000</v>
      </c>
      <c r="D711" s="4">
        <f t="shared" si="50"/>
        <v>302</v>
      </c>
      <c r="E711" s="4">
        <f t="shared" si="51"/>
        <v>10498</v>
      </c>
      <c r="F711" s="4">
        <f t="shared" si="52"/>
        <v>30720</v>
      </c>
      <c r="G711" s="4">
        <f t="shared" si="53"/>
        <v>-20222</v>
      </c>
    </row>
    <row r="712" spans="2:7" x14ac:dyDescent="0.3">
      <c r="B712" s="2">
        <v>699</v>
      </c>
      <c r="C712" s="2">
        <f t="shared" si="54"/>
        <v>749000</v>
      </c>
      <c r="D712" s="4">
        <f t="shared" si="50"/>
        <v>301</v>
      </c>
      <c r="E712" s="4">
        <f t="shared" si="51"/>
        <v>10499</v>
      </c>
      <c r="F712" s="4">
        <f t="shared" si="52"/>
        <v>30760</v>
      </c>
      <c r="G712" s="4">
        <f t="shared" si="53"/>
        <v>-20261</v>
      </c>
    </row>
    <row r="713" spans="2:7" x14ac:dyDescent="0.3">
      <c r="B713" s="2">
        <v>700</v>
      </c>
      <c r="C713" s="2">
        <f t="shared" si="54"/>
        <v>750000</v>
      </c>
      <c r="D713" s="4">
        <f t="shared" si="50"/>
        <v>300</v>
      </c>
      <c r="E713" s="4">
        <f t="shared" si="51"/>
        <v>10500</v>
      </c>
      <c r="F713" s="4">
        <f t="shared" si="52"/>
        <v>30800</v>
      </c>
      <c r="G713" s="4">
        <f t="shared" si="53"/>
        <v>-20300</v>
      </c>
    </row>
    <row r="714" spans="2:7" x14ac:dyDescent="0.3">
      <c r="B714" s="2">
        <v>701</v>
      </c>
      <c r="C714" s="2">
        <f t="shared" si="54"/>
        <v>751000</v>
      </c>
      <c r="D714" s="4">
        <f t="shared" si="50"/>
        <v>299</v>
      </c>
      <c r="E714" s="4">
        <f t="shared" si="51"/>
        <v>10501</v>
      </c>
      <c r="F714" s="4">
        <f t="shared" si="52"/>
        <v>30840</v>
      </c>
      <c r="G714" s="4">
        <f t="shared" si="53"/>
        <v>-20339</v>
      </c>
    </row>
    <row r="715" spans="2:7" x14ac:dyDescent="0.3">
      <c r="B715" s="2">
        <v>702</v>
      </c>
      <c r="C715" s="2">
        <f t="shared" si="54"/>
        <v>752000</v>
      </c>
      <c r="D715" s="4">
        <f t="shared" si="50"/>
        <v>298</v>
      </c>
      <c r="E715" s="4">
        <f t="shared" si="51"/>
        <v>10502</v>
      </c>
      <c r="F715" s="4">
        <f t="shared" si="52"/>
        <v>30880</v>
      </c>
      <c r="G715" s="4">
        <f t="shared" si="53"/>
        <v>-20378</v>
      </c>
    </row>
    <row r="716" spans="2:7" x14ac:dyDescent="0.3">
      <c r="B716" s="2">
        <v>703</v>
      </c>
      <c r="C716" s="2">
        <f t="shared" si="54"/>
        <v>753000</v>
      </c>
      <c r="D716" s="4">
        <f t="shared" si="50"/>
        <v>297</v>
      </c>
      <c r="E716" s="4">
        <f t="shared" si="51"/>
        <v>10503</v>
      </c>
      <c r="F716" s="4">
        <f t="shared" si="52"/>
        <v>30920</v>
      </c>
      <c r="G716" s="4">
        <f t="shared" si="53"/>
        <v>-20417</v>
      </c>
    </row>
    <row r="717" spans="2:7" x14ac:dyDescent="0.3">
      <c r="B717" s="2">
        <v>704</v>
      </c>
      <c r="C717" s="2">
        <f t="shared" si="54"/>
        <v>754000</v>
      </c>
      <c r="D717" s="4">
        <f t="shared" si="50"/>
        <v>296</v>
      </c>
      <c r="E717" s="4">
        <f t="shared" si="51"/>
        <v>10504</v>
      </c>
      <c r="F717" s="4">
        <f t="shared" si="52"/>
        <v>30960</v>
      </c>
      <c r="G717" s="4">
        <f t="shared" si="53"/>
        <v>-20456</v>
      </c>
    </row>
    <row r="718" spans="2:7" x14ac:dyDescent="0.3">
      <c r="B718" s="2">
        <v>705</v>
      </c>
      <c r="C718" s="2">
        <f t="shared" si="54"/>
        <v>755000</v>
      </c>
      <c r="D718" s="4">
        <f t="shared" ref="D718:D781" si="55">IF(C718&lt;=50000,$C$5,$C$5-((C718-50000)/1000)*$C$7)</f>
        <v>295</v>
      </c>
      <c r="E718" s="4">
        <f t="shared" ref="E718:E781" si="56">$C$3+$C$4*$C$6-D718</f>
        <v>10505</v>
      </c>
      <c r="F718" s="4">
        <f t="shared" ref="F718:F781" si="57">$F$3*$C$7+$F$4*C718</f>
        <v>31000</v>
      </c>
      <c r="G718" s="4">
        <f t="shared" ref="G718:G781" si="58">E718-F718</f>
        <v>-20495</v>
      </c>
    </row>
    <row r="719" spans="2:7" x14ac:dyDescent="0.3">
      <c r="B719" s="2">
        <v>706</v>
      </c>
      <c r="C719" s="2">
        <f t="shared" ref="C719:C782" si="59">$C$8+(B719*1000)</f>
        <v>756000</v>
      </c>
      <c r="D719" s="4">
        <f t="shared" si="55"/>
        <v>294</v>
      </c>
      <c r="E719" s="4">
        <f t="shared" si="56"/>
        <v>10506</v>
      </c>
      <c r="F719" s="4">
        <f t="shared" si="57"/>
        <v>31040</v>
      </c>
      <c r="G719" s="4">
        <f t="shared" si="58"/>
        <v>-20534</v>
      </c>
    </row>
    <row r="720" spans="2:7" x14ac:dyDescent="0.3">
      <c r="B720" s="2">
        <v>707</v>
      </c>
      <c r="C720" s="2">
        <f t="shared" si="59"/>
        <v>757000</v>
      </c>
      <c r="D720" s="4">
        <f t="shared" si="55"/>
        <v>293</v>
      </c>
      <c r="E720" s="4">
        <f t="shared" si="56"/>
        <v>10507</v>
      </c>
      <c r="F720" s="4">
        <f t="shared" si="57"/>
        <v>31080</v>
      </c>
      <c r="G720" s="4">
        <f t="shared" si="58"/>
        <v>-20573</v>
      </c>
    </row>
    <row r="721" spans="2:7" x14ac:dyDescent="0.3">
      <c r="B721" s="2">
        <v>708</v>
      </c>
      <c r="C721" s="2">
        <f t="shared" si="59"/>
        <v>758000</v>
      </c>
      <c r="D721" s="4">
        <f t="shared" si="55"/>
        <v>292</v>
      </c>
      <c r="E721" s="4">
        <f t="shared" si="56"/>
        <v>10508</v>
      </c>
      <c r="F721" s="4">
        <f t="shared" si="57"/>
        <v>31120</v>
      </c>
      <c r="G721" s="4">
        <f t="shared" si="58"/>
        <v>-20612</v>
      </c>
    </row>
    <row r="722" spans="2:7" x14ac:dyDescent="0.3">
      <c r="B722" s="2">
        <v>709</v>
      </c>
      <c r="C722" s="2">
        <f t="shared" si="59"/>
        <v>759000</v>
      </c>
      <c r="D722" s="4">
        <f t="shared" si="55"/>
        <v>291</v>
      </c>
      <c r="E722" s="4">
        <f t="shared" si="56"/>
        <v>10509</v>
      </c>
      <c r="F722" s="4">
        <f t="shared" si="57"/>
        <v>31160</v>
      </c>
      <c r="G722" s="4">
        <f t="shared" si="58"/>
        <v>-20651</v>
      </c>
    </row>
    <row r="723" spans="2:7" x14ac:dyDescent="0.3">
      <c r="B723" s="2">
        <v>710</v>
      </c>
      <c r="C723" s="2">
        <f t="shared" si="59"/>
        <v>760000</v>
      </c>
      <c r="D723" s="4">
        <f t="shared" si="55"/>
        <v>290</v>
      </c>
      <c r="E723" s="4">
        <f t="shared" si="56"/>
        <v>10510</v>
      </c>
      <c r="F723" s="4">
        <f t="shared" si="57"/>
        <v>31200</v>
      </c>
      <c r="G723" s="4">
        <f t="shared" si="58"/>
        <v>-20690</v>
      </c>
    </row>
    <row r="724" spans="2:7" x14ac:dyDescent="0.3">
      <c r="B724" s="2">
        <v>711</v>
      </c>
      <c r="C724" s="2">
        <f t="shared" si="59"/>
        <v>761000</v>
      </c>
      <c r="D724" s="4">
        <f t="shared" si="55"/>
        <v>289</v>
      </c>
      <c r="E724" s="4">
        <f t="shared" si="56"/>
        <v>10511</v>
      </c>
      <c r="F724" s="4">
        <f t="shared" si="57"/>
        <v>31240</v>
      </c>
      <c r="G724" s="4">
        <f t="shared" si="58"/>
        <v>-20729</v>
      </c>
    </row>
    <row r="725" spans="2:7" x14ac:dyDescent="0.3">
      <c r="B725" s="2">
        <v>712</v>
      </c>
      <c r="C725" s="2">
        <f t="shared" si="59"/>
        <v>762000</v>
      </c>
      <c r="D725" s="4">
        <f t="shared" si="55"/>
        <v>288</v>
      </c>
      <c r="E725" s="4">
        <f t="shared" si="56"/>
        <v>10512</v>
      </c>
      <c r="F725" s="4">
        <f t="shared" si="57"/>
        <v>31280</v>
      </c>
      <c r="G725" s="4">
        <f t="shared" si="58"/>
        <v>-20768</v>
      </c>
    </row>
    <row r="726" spans="2:7" x14ac:dyDescent="0.3">
      <c r="B726" s="2">
        <v>713</v>
      </c>
      <c r="C726" s="2">
        <f t="shared" si="59"/>
        <v>763000</v>
      </c>
      <c r="D726" s="4">
        <f t="shared" si="55"/>
        <v>287</v>
      </c>
      <c r="E726" s="4">
        <f t="shared" si="56"/>
        <v>10513</v>
      </c>
      <c r="F726" s="4">
        <f t="shared" si="57"/>
        <v>31320</v>
      </c>
      <c r="G726" s="4">
        <f t="shared" si="58"/>
        <v>-20807</v>
      </c>
    </row>
    <row r="727" spans="2:7" x14ac:dyDescent="0.3">
      <c r="B727" s="2">
        <v>714</v>
      </c>
      <c r="C727" s="2">
        <f t="shared" si="59"/>
        <v>764000</v>
      </c>
      <c r="D727" s="4">
        <f t="shared" si="55"/>
        <v>286</v>
      </c>
      <c r="E727" s="4">
        <f t="shared" si="56"/>
        <v>10514</v>
      </c>
      <c r="F727" s="4">
        <f t="shared" si="57"/>
        <v>31360</v>
      </c>
      <c r="G727" s="4">
        <f t="shared" si="58"/>
        <v>-20846</v>
      </c>
    </row>
    <row r="728" spans="2:7" x14ac:dyDescent="0.3">
      <c r="B728" s="2">
        <v>715</v>
      </c>
      <c r="C728" s="2">
        <f t="shared" si="59"/>
        <v>765000</v>
      </c>
      <c r="D728" s="4">
        <f t="shared" si="55"/>
        <v>285</v>
      </c>
      <c r="E728" s="4">
        <f t="shared" si="56"/>
        <v>10515</v>
      </c>
      <c r="F728" s="4">
        <f t="shared" si="57"/>
        <v>31400</v>
      </c>
      <c r="G728" s="4">
        <f t="shared" si="58"/>
        <v>-20885</v>
      </c>
    </row>
    <row r="729" spans="2:7" x14ac:dyDescent="0.3">
      <c r="B729" s="2">
        <v>716</v>
      </c>
      <c r="C729" s="2">
        <f t="shared" si="59"/>
        <v>766000</v>
      </c>
      <c r="D729" s="4">
        <f t="shared" si="55"/>
        <v>284</v>
      </c>
      <c r="E729" s="4">
        <f t="shared" si="56"/>
        <v>10516</v>
      </c>
      <c r="F729" s="4">
        <f t="shared" si="57"/>
        <v>31440</v>
      </c>
      <c r="G729" s="4">
        <f t="shared" si="58"/>
        <v>-20924</v>
      </c>
    </row>
    <row r="730" spans="2:7" x14ac:dyDescent="0.3">
      <c r="B730" s="2">
        <v>717</v>
      </c>
      <c r="C730" s="2">
        <f t="shared" si="59"/>
        <v>767000</v>
      </c>
      <c r="D730" s="4">
        <f t="shared" si="55"/>
        <v>283</v>
      </c>
      <c r="E730" s="4">
        <f t="shared" si="56"/>
        <v>10517</v>
      </c>
      <c r="F730" s="4">
        <f t="shared" si="57"/>
        <v>31480</v>
      </c>
      <c r="G730" s="4">
        <f t="shared" si="58"/>
        <v>-20963</v>
      </c>
    </row>
    <row r="731" spans="2:7" x14ac:dyDescent="0.3">
      <c r="B731" s="2">
        <v>718</v>
      </c>
      <c r="C731" s="2">
        <f t="shared" si="59"/>
        <v>768000</v>
      </c>
      <c r="D731" s="4">
        <f t="shared" si="55"/>
        <v>282</v>
      </c>
      <c r="E731" s="4">
        <f t="shared" si="56"/>
        <v>10518</v>
      </c>
      <c r="F731" s="4">
        <f t="shared" si="57"/>
        <v>31520</v>
      </c>
      <c r="G731" s="4">
        <f t="shared" si="58"/>
        <v>-21002</v>
      </c>
    </row>
    <row r="732" spans="2:7" x14ac:dyDescent="0.3">
      <c r="B732" s="2">
        <v>719</v>
      </c>
      <c r="C732" s="2">
        <f t="shared" si="59"/>
        <v>769000</v>
      </c>
      <c r="D732" s="4">
        <f t="shared" si="55"/>
        <v>281</v>
      </c>
      <c r="E732" s="4">
        <f t="shared" si="56"/>
        <v>10519</v>
      </c>
      <c r="F732" s="4">
        <f t="shared" si="57"/>
        <v>31560</v>
      </c>
      <c r="G732" s="4">
        <f t="shared" si="58"/>
        <v>-21041</v>
      </c>
    </row>
    <row r="733" spans="2:7" x14ac:dyDescent="0.3">
      <c r="B733" s="2">
        <v>720</v>
      </c>
      <c r="C733" s="2">
        <f t="shared" si="59"/>
        <v>770000</v>
      </c>
      <c r="D733" s="4">
        <f t="shared" si="55"/>
        <v>280</v>
      </c>
      <c r="E733" s="4">
        <f t="shared" si="56"/>
        <v>10520</v>
      </c>
      <c r="F733" s="4">
        <f t="shared" si="57"/>
        <v>31600</v>
      </c>
      <c r="G733" s="4">
        <f t="shared" si="58"/>
        <v>-21080</v>
      </c>
    </row>
    <row r="734" spans="2:7" x14ac:dyDescent="0.3">
      <c r="B734" s="2">
        <v>721</v>
      </c>
      <c r="C734" s="2">
        <f t="shared" si="59"/>
        <v>771000</v>
      </c>
      <c r="D734" s="4">
        <f t="shared" si="55"/>
        <v>279</v>
      </c>
      <c r="E734" s="4">
        <f t="shared" si="56"/>
        <v>10521</v>
      </c>
      <c r="F734" s="4">
        <f t="shared" si="57"/>
        <v>31640</v>
      </c>
      <c r="G734" s="4">
        <f t="shared" si="58"/>
        <v>-21119</v>
      </c>
    </row>
    <row r="735" spans="2:7" x14ac:dyDescent="0.3">
      <c r="B735" s="2">
        <v>722</v>
      </c>
      <c r="C735" s="2">
        <f t="shared" si="59"/>
        <v>772000</v>
      </c>
      <c r="D735" s="4">
        <f t="shared" si="55"/>
        <v>278</v>
      </c>
      <c r="E735" s="4">
        <f t="shared" si="56"/>
        <v>10522</v>
      </c>
      <c r="F735" s="4">
        <f t="shared" si="57"/>
        <v>31680</v>
      </c>
      <c r="G735" s="4">
        <f t="shared" si="58"/>
        <v>-21158</v>
      </c>
    </row>
    <row r="736" spans="2:7" x14ac:dyDescent="0.3">
      <c r="B736" s="2">
        <v>723</v>
      </c>
      <c r="C736" s="2">
        <f t="shared" si="59"/>
        <v>773000</v>
      </c>
      <c r="D736" s="4">
        <f t="shared" si="55"/>
        <v>277</v>
      </c>
      <c r="E736" s="4">
        <f t="shared" si="56"/>
        <v>10523</v>
      </c>
      <c r="F736" s="4">
        <f t="shared" si="57"/>
        <v>31720</v>
      </c>
      <c r="G736" s="4">
        <f t="shared" si="58"/>
        <v>-21197</v>
      </c>
    </row>
    <row r="737" spans="2:7" x14ac:dyDescent="0.3">
      <c r="B737" s="2">
        <v>724</v>
      </c>
      <c r="C737" s="2">
        <f t="shared" si="59"/>
        <v>774000</v>
      </c>
      <c r="D737" s="4">
        <f t="shared" si="55"/>
        <v>276</v>
      </c>
      <c r="E737" s="4">
        <f t="shared" si="56"/>
        <v>10524</v>
      </c>
      <c r="F737" s="4">
        <f t="shared" si="57"/>
        <v>31760</v>
      </c>
      <c r="G737" s="4">
        <f t="shared" si="58"/>
        <v>-21236</v>
      </c>
    </row>
    <row r="738" spans="2:7" x14ac:dyDescent="0.3">
      <c r="B738" s="2">
        <v>725</v>
      </c>
      <c r="C738" s="2">
        <f t="shared" si="59"/>
        <v>775000</v>
      </c>
      <c r="D738" s="4">
        <f t="shared" si="55"/>
        <v>275</v>
      </c>
      <c r="E738" s="4">
        <f t="shared" si="56"/>
        <v>10525</v>
      </c>
      <c r="F738" s="4">
        <f t="shared" si="57"/>
        <v>31800</v>
      </c>
      <c r="G738" s="4">
        <f t="shared" si="58"/>
        <v>-21275</v>
      </c>
    </row>
    <row r="739" spans="2:7" x14ac:dyDescent="0.3">
      <c r="B739" s="2">
        <v>726</v>
      </c>
      <c r="C739" s="2">
        <f t="shared" si="59"/>
        <v>776000</v>
      </c>
      <c r="D739" s="4">
        <f t="shared" si="55"/>
        <v>274</v>
      </c>
      <c r="E739" s="4">
        <f t="shared" si="56"/>
        <v>10526</v>
      </c>
      <c r="F739" s="4">
        <f t="shared" si="57"/>
        <v>31840</v>
      </c>
      <c r="G739" s="4">
        <f t="shared" si="58"/>
        <v>-21314</v>
      </c>
    </row>
    <row r="740" spans="2:7" x14ac:dyDescent="0.3">
      <c r="B740" s="2">
        <v>727</v>
      </c>
      <c r="C740" s="2">
        <f t="shared" si="59"/>
        <v>777000</v>
      </c>
      <c r="D740" s="4">
        <f t="shared" si="55"/>
        <v>273</v>
      </c>
      <c r="E740" s="4">
        <f t="shared" si="56"/>
        <v>10527</v>
      </c>
      <c r="F740" s="4">
        <f t="shared" si="57"/>
        <v>31880</v>
      </c>
      <c r="G740" s="4">
        <f t="shared" si="58"/>
        <v>-21353</v>
      </c>
    </row>
    <row r="741" spans="2:7" x14ac:dyDescent="0.3">
      <c r="B741" s="2">
        <v>728</v>
      </c>
      <c r="C741" s="2">
        <f t="shared" si="59"/>
        <v>778000</v>
      </c>
      <c r="D741" s="4">
        <f t="shared" si="55"/>
        <v>272</v>
      </c>
      <c r="E741" s="4">
        <f t="shared" si="56"/>
        <v>10528</v>
      </c>
      <c r="F741" s="4">
        <f t="shared" si="57"/>
        <v>31920</v>
      </c>
      <c r="G741" s="4">
        <f t="shared" si="58"/>
        <v>-21392</v>
      </c>
    </row>
    <row r="742" spans="2:7" x14ac:dyDescent="0.3">
      <c r="B742" s="2">
        <v>729</v>
      </c>
      <c r="C742" s="2">
        <f t="shared" si="59"/>
        <v>779000</v>
      </c>
      <c r="D742" s="4">
        <f t="shared" si="55"/>
        <v>271</v>
      </c>
      <c r="E742" s="4">
        <f t="shared" si="56"/>
        <v>10529</v>
      </c>
      <c r="F742" s="4">
        <f t="shared" si="57"/>
        <v>31960</v>
      </c>
      <c r="G742" s="4">
        <f t="shared" si="58"/>
        <v>-21431</v>
      </c>
    </row>
    <row r="743" spans="2:7" x14ac:dyDescent="0.3">
      <c r="B743" s="2">
        <v>730</v>
      </c>
      <c r="C743" s="2">
        <f t="shared" si="59"/>
        <v>780000</v>
      </c>
      <c r="D743" s="4">
        <f t="shared" si="55"/>
        <v>270</v>
      </c>
      <c r="E743" s="4">
        <f t="shared" si="56"/>
        <v>10530</v>
      </c>
      <c r="F743" s="4">
        <f t="shared" si="57"/>
        <v>32000</v>
      </c>
      <c r="G743" s="4">
        <f t="shared" si="58"/>
        <v>-21470</v>
      </c>
    </row>
    <row r="744" spans="2:7" x14ac:dyDescent="0.3">
      <c r="B744" s="2">
        <v>731</v>
      </c>
      <c r="C744" s="2">
        <f t="shared" si="59"/>
        <v>781000</v>
      </c>
      <c r="D744" s="4">
        <f t="shared" si="55"/>
        <v>269</v>
      </c>
      <c r="E744" s="4">
        <f t="shared" si="56"/>
        <v>10531</v>
      </c>
      <c r="F744" s="4">
        <f t="shared" si="57"/>
        <v>32040</v>
      </c>
      <c r="G744" s="4">
        <f t="shared" si="58"/>
        <v>-21509</v>
      </c>
    </row>
    <row r="745" spans="2:7" x14ac:dyDescent="0.3">
      <c r="B745" s="2">
        <v>732</v>
      </c>
      <c r="C745" s="2">
        <f t="shared" si="59"/>
        <v>782000</v>
      </c>
      <c r="D745" s="4">
        <f t="shared" si="55"/>
        <v>268</v>
      </c>
      <c r="E745" s="4">
        <f t="shared" si="56"/>
        <v>10532</v>
      </c>
      <c r="F745" s="4">
        <f t="shared" si="57"/>
        <v>32080</v>
      </c>
      <c r="G745" s="4">
        <f t="shared" si="58"/>
        <v>-21548</v>
      </c>
    </row>
    <row r="746" spans="2:7" x14ac:dyDescent="0.3">
      <c r="B746" s="2">
        <v>733</v>
      </c>
      <c r="C746" s="2">
        <f t="shared" si="59"/>
        <v>783000</v>
      </c>
      <c r="D746" s="4">
        <f t="shared" si="55"/>
        <v>267</v>
      </c>
      <c r="E746" s="4">
        <f t="shared" si="56"/>
        <v>10533</v>
      </c>
      <c r="F746" s="4">
        <f t="shared" si="57"/>
        <v>32120</v>
      </c>
      <c r="G746" s="4">
        <f t="shared" si="58"/>
        <v>-21587</v>
      </c>
    </row>
    <row r="747" spans="2:7" x14ac:dyDescent="0.3">
      <c r="B747" s="2">
        <v>734</v>
      </c>
      <c r="C747" s="2">
        <f t="shared" si="59"/>
        <v>784000</v>
      </c>
      <c r="D747" s="4">
        <f t="shared" si="55"/>
        <v>266</v>
      </c>
      <c r="E747" s="4">
        <f t="shared" si="56"/>
        <v>10534</v>
      </c>
      <c r="F747" s="4">
        <f t="shared" si="57"/>
        <v>32160</v>
      </c>
      <c r="G747" s="4">
        <f t="shared" si="58"/>
        <v>-21626</v>
      </c>
    </row>
    <row r="748" spans="2:7" x14ac:dyDescent="0.3">
      <c r="B748" s="2">
        <v>735</v>
      </c>
      <c r="C748" s="2">
        <f t="shared" si="59"/>
        <v>785000</v>
      </c>
      <c r="D748" s="4">
        <f t="shared" si="55"/>
        <v>265</v>
      </c>
      <c r="E748" s="4">
        <f t="shared" si="56"/>
        <v>10535</v>
      </c>
      <c r="F748" s="4">
        <f t="shared" si="57"/>
        <v>32200</v>
      </c>
      <c r="G748" s="4">
        <f t="shared" si="58"/>
        <v>-21665</v>
      </c>
    </row>
    <row r="749" spans="2:7" x14ac:dyDescent="0.3">
      <c r="B749" s="2">
        <v>736</v>
      </c>
      <c r="C749" s="2">
        <f t="shared" si="59"/>
        <v>786000</v>
      </c>
      <c r="D749" s="4">
        <f t="shared" si="55"/>
        <v>264</v>
      </c>
      <c r="E749" s="4">
        <f t="shared" si="56"/>
        <v>10536</v>
      </c>
      <c r="F749" s="4">
        <f t="shared" si="57"/>
        <v>32240</v>
      </c>
      <c r="G749" s="4">
        <f t="shared" si="58"/>
        <v>-21704</v>
      </c>
    </row>
    <row r="750" spans="2:7" x14ac:dyDescent="0.3">
      <c r="B750" s="2">
        <v>737</v>
      </c>
      <c r="C750" s="2">
        <f t="shared" si="59"/>
        <v>787000</v>
      </c>
      <c r="D750" s="4">
        <f t="shared" si="55"/>
        <v>263</v>
      </c>
      <c r="E750" s="4">
        <f t="shared" si="56"/>
        <v>10537</v>
      </c>
      <c r="F750" s="4">
        <f t="shared" si="57"/>
        <v>32280</v>
      </c>
      <c r="G750" s="4">
        <f t="shared" si="58"/>
        <v>-21743</v>
      </c>
    </row>
    <row r="751" spans="2:7" x14ac:dyDescent="0.3">
      <c r="B751" s="2">
        <v>738</v>
      </c>
      <c r="C751" s="2">
        <f t="shared" si="59"/>
        <v>788000</v>
      </c>
      <c r="D751" s="4">
        <f t="shared" si="55"/>
        <v>262</v>
      </c>
      <c r="E751" s="4">
        <f t="shared" si="56"/>
        <v>10538</v>
      </c>
      <c r="F751" s="4">
        <f t="shared" si="57"/>
        <v>32320</v>
      </c>
      <c r="G751" s="4">
        <f t="shared" si="58"/>
        <v>-21782</v>
      </c>
    </row>
    <row r="752" spans="2:7" x14ac:dyDescent="0.3">
      <c r="B752" s="2">
        <v>739</v>
      </c>
      <c r="C752" s="2">
        <f t="shared" si="59"/>
        <v>789000</v>
      </c>
      <c r="D752" s="4">
        <f t="shared" si="55"/>
        <v>261</v>
      </c>
      <c r="E752" s="4">
        <f t="shared" si="56"/>
        <v>10539</v>
      </c>
      <c r="F752" s="4">
        <f t="shared" si="57"/>
        <v>32360</v>
      </c>
      <c r="G752" s="4">
        <f t="shared" si="58"/>
        <v>-21821</v>
      </c>
    </row>
    <row r="753" spans="2:7" x14ac:dyDescent="0.3">
      <c r="B753" s="2">
        <v>740</v>
      </c>
      <c r="C753" s="2">
        <f t="shared" si="59"/>
        <v>790000</v>
      </c>
      <c r="D753" s="4">
        <f t="shared" si="55"/>
        <v>260</v>
      </c>
      <c r="E753" s="4">
        <f t="shared" si="56"/>
        <v>10540</v>
      </c>
      <c r="F753" s="4">
        <f t="shared" si="57"/>
        <v>32400</v>
      </c>
      <c r="G753" s="4">
        <f t="shared" si="58"/>
        <v>-21860</v>
      </c>
    </row>
    <row r="754" spans="2:7" x14ac:dyDescent="0.3">
      <c r="B754" s="2">
        <v>741</v>
      </c>
      <c r="C754" s="2">
        <f t="shared" si="59"/>
        <v>791000</v>
      </c>
      <c r="D754" s="4">
        <f t="shared" si="55"/>
        <v>259</v>
      </c>
      <c r="E754" s="4">
        <f t="shared" si="56"/>
        <v>10541</v>
      </c>
      <c r="F754" s="4">
        <f t="shared" si="57"/>
        <v>32440</v>
      </c>
      <c r="G754" s="4">
        <f t="shared" si="58"/>
        <v>-21899</v>
      </c>
    </row>
    <row r="755" spans="2:7" x14ac:dyDescent="0.3">
      <c r="B755" s="2">
        <v>742</v>
      </c>
      <c r="C755" s="2">
        <f t="shared" si="59"/>
        <v>792000</v>
      </c>
      <c r="D755" s="4">
        <f t="shared" si="55"/>
        <v>258</v>
      </c>
      <c r="E755" s="4">
        <f t="shared" si="56"/>
        <v>10542</v>
      </c>
      <c r="F755" s="4">
        <f t="shared" si="57"/>
        <v>32480</v>
      </c>
      <c r="G755" s="4">
        <f t="shared" si="58"/>
        <v>-21938</v>
      </c>
    </row>
    <row r="756" spans="2:7" x14ac:dyDescent="0.3">
      <c r="B756" s="2">
        <v>743</v>
      </c>
      <c r="C756" s="2">
        <f t="shared" si="59"/>
        <v>793000</v>
      </c>
      <c r="D756" s="4">
        <f t="shared" si="55"/>
        <v>257</v>
      </c>
      <c r="E756" s="4">
        <f t="shared" si="56"/>
        <v>10543</v>
      </c>
      <c r="F756" s="4">
        <f t="shared" si="57"/>
        <v>32520</v>
      </c>
      <c r="G756" s="4">
        <f t="shared" si="58"/>
        <v>-21977</v>
      </c>
    </row>
    <row r="757" spans="2:7" x14ac:dyDescent="0.3">
      <c r="B757" s="2">
        <v>744</v>
      </c>
      <c r="C757" s="2">
        <f t="shared" si="59"/>
        <v>794000</v>
      </c>
      <c r="D757" s="4">
        <f t="shared" si="55"/>
        <v>256</v>
      </c>
      <c r="E757" s="4">
        <f t="shared" si="56"/>
        <v>10544</v>
      </c>
      <c r="F757" s="4">
        <f t="shared" si="57"/>
        <v>32560</v>
      </c>
      <c r="G757" s="4">
        <f t="shared" si="58"/>
        <v>-22016</v>
      </c>
    </row>
    <row r="758" spans="2:7" x14ac:dyDescent="0.3">
      <c r="B758" s="2">
        <v>745</v>
      </c>
      <c r="C758" s="2">
        <f t="shared" si="59"/>
        <v>795000</v>
      </c>
      <c r="D758" s="4">
        <f t="shared" si="55"/>
        <v>255</v>
      </c>
      <c r="E758" s="4">
        <f t="shared" si="56"/>
        <v>10545</v>
      </c>
      <c r="F758" s="4">
        <f t="shared" si="57"/>
        <v>32600</v>
      </c>
      <c r="G758" s="4">
        <f t="shared" si="58"/>
        <v>-22055</v>
      </c>
    </row>
    <row r="759" spans="2:7" x14ac:dyDescent="0.3">
      <c r="B759" s="2">
        <v>746</v>
      </c>
      <c r="C759" s="2">
        <f t="shared" si="59"/>
        <v>796000</v>
      </c>
      <c r="D759" s="4">
        <f t="shared" si="55"/>
        <v>254</v>
      </c>
      <c r="E759" s="4">
        <f t="shared" si="56"/>
        <v>10546</v>
      </c>
      <c r="F759" s="4">
        <f t="shared" si="57"/>
        <v>32640</v>
      </c>
      <c r="G759" s="4">
        <f t="shared" si="58"/>
        <v>-22094</v>
      </c>
    </row>
    <row r="760" spans="2:7" x14ac:dyDescent="0.3">
      <c r="B760" s="2">
        <v>747</v>
      </c>
      <c r="C760" s="2">
        <f t="shared" si="59"/>
        <v>797000</v>
      </c>
      <c r="D760" s="4">
        <f t="shared" si="55"/>
        <v>253</v>
      </c>
      <c r="E760" s="4">
        <f t="shared" si="56"/>
        <v>10547</v>
      </c>
      <c r="F760" s="4">
        <f t="shared" si="57"/>
        <v>32680</v>
      </c>
      <c r="G760" s="4">
        <f t="shared" si="58"/>
        <v>-22133</v>
      </c>
    </row>
    <row r="761" spans="2:7" x14ac:dyDescent="0.3">
      <c r="B761" s="2">
        <v>748</v>
      </c>
      <c r="C761" s="2">
        <f t="shared" si="59"/>
        <v>798000</v>
      </c>
      <c r="D761" s="4">
        <f t="shared" si="55"/>
        <v>252</v>
      </c>
      <c r="E761" s="4">
        <f t="shared" si="56"/>
        <v>10548</v>
      </c>
      <c r="F761" s="4">
        <f t="shared" si="57"/>
        <v>32720</v>
      </c>
      <c r="G761" s="4">
        <f t="shared" si="58"/>
        <v>-22172</v>
      </c>
    </row>
    <row r="762" spans="2:7" x14ac:dyDescent="0.3">
      <c r="B762" s="2">
        <v>749</v>
      </c>
      <c r="C762" s="2">
        <f t="shared" si="59"/>
        <v>799000</v>
      </c>
      <c r="D762" s="4">
        <f t="shared" si="55"/>
        <v>251</v>
      </c>
      <c r="E762" s="4">
        <f t="shared" si="56"/>
        <v>10549</v>
      </c>
      <c r="F762" s="4">
        <f t="shared" si="57"/>
        <v>32760</v>
      </c>
      <c r="G762" s="4">
        <f t="shared" si="58"/>
        <v>-22211</v>
      </c>
    </row>
    <row r="763" spans="2:7" x14ac:dyDescent="0.3">
      <c r="B763" s="2">
        <v>750</v>
      </c>
      <c r="C763" s="2">
        <f t="shared" si="59"/>
        <v>800000</v>
      </c>
      <c r="D763" s="4">
        <f t="shared" si="55"/>
        <v>250</v>
      </c>
      <c r="E763" s="4">
        <f t="shared" si="56"/>
        <v>10550</v>
      </c>
      <c r="F763" s="4">
        <f t="shared" si="57"/>
        <v>32800</v>
      </c>
      <c r="G763" s="4">
        <f t="shared" si="58"/>
        <v>-22250</v>
      </c>
    </row>
    <row r="764" spans="2:7" x14ac:dyDescent="0.3">
      <c r="B764" s="2">
        <v>751</v>
      </c>
      <c r="C764" s="2">
        <f t="shared" si="59"/>
        <v>801000</v>
      </c>
      <c r="D764" s="4">
        <f t="shared" si="55"/>
        <v>249</v>
      </c>
      <c r="E764" s="4">
        <f t="shared" si="56"/>
        <v>10551</v>
      </c>
      <c r="F764" s="4">
        <f t="shared" si="57"/>
        <v>32840</v>
      </c>
      <c r="G764" s="4">
        <f t="shared" si="58"/>
        <v>-22289</v>
      </c>
    </row>
    <row r="765" spans="2:7" x14ac:dyDescent="0.3">
      <c r="B765" s="2">
        <v>752</v>
      </c>
      <c r="C765" s="2">
        <f t="shared" si="59"/>
        <v>802000</v>
      </c>
      <c r="D765" s="4">
        <f t="shared" si="55"/>
        <v>248</v>
      </c>
      <c r="E765" s="4">
        <f t="shared" si="56"/>
        <v>10552</v>
      </c>
      <c r="F765" s="4">
        <f t="shared" si="57"/>
        <v>32880</v>
      </c>
      <c r="G765" s="4">
        <f t="shared" si="58"/>
        <v>-22328</v>
      </c>
    </row>
    <row r="766" spans="2:7" x14ac:dyDescent="0.3">
      <c r="B766" s="2">
        <v>753</v>
      </c>
      <c r="C766" s="2">
        <f t="shared" si="59"/>
        <v>803000</v>
      </c>
      <c r="D766" s="4">
        <f t="shared" si="55"/>
        <v>247</v>
      </c>
      <c r="E766" s="4">
        <f t="shared" si="56"/>
        <v>10553</v>
      </c>
      <c r="F766" s="4">
        <f t="shared" si="57"/>
        <v>32920</v>
      </c>
      <c r="G766" s="4">
        <f t="shared" si="58"/>
        <v>-22367</v>
      </c>
    </row>
    <row r="767" spans="2:7" x14ac:dyDescent="0.3">
      <c r="B767" s="2">
        <v>754</v>
      </c>
      <c r="C767" s="2">
        <f t="shared" si="59"/>
        <v>804000</v>
      </c>
      <c r="D767" s="4">
        <f t="shared" si="55"/>
        <v>246</v>
      </c>
      <c r="E767" s="4">
        <f t="shared" si="56"/>
        <v>10554</v>
      </c>
      <c r="F767" s="4">
        <f t="shared" si="57"/>
        <v>32960</v>
      </c>
      <c r="G767" s="4">
        <f t="shared" si="58"/>
        <v>-22406</v>
      </c>
    </row>
    <row r="768" spans="2:7" x14ac:dyDescent="0.3">
      <c r="B768" s="2">
        <v>755</v>
      </c>
      <c r="C768" s="2">
        <f t="shared" si="59"/>
        <v>805000</v>
      </c>
      <c r="D768" s="4">
        <f t="shared" si="55"/>
        <v>245</v>
      </c>
      <c r="E768" s="4">
        <f t="shared" si="56"/>
        <v>10555</v>
      </c>
      <c r="F768" s="4">
        <f t="shared" si="57"/>
        <v>33000</v>
      </c>
      <c r="G768" s="4">
        <f t="shared" si="58"/>
        <v>-22445</v>
      </c>
    </row>
    <row r="769" spans="2:7" x14ac:dyDescent="0.3">
      <c r="B769" s="2">
        <v>756</v>
      </c>
      <c r="C769" s="2">
        <f t="shared" si="59"/>
        <v>806000</v>
      </c>
      <c r="D769" s="4">
        <f t="shared" si="55"/>
        <v>244</v>
      </c>
      <c r="E769" s="4">
        <f t="shared" si="56"/>
        <v>10556</v>
      </c>
      <c r="F769" s="4">
        <f t="shared" si="57"/>
        <v>33040</v>
      </c>
      <c r="G769" s="4">
        <f t="shared" si="58"/>
        <v>-22484</v>
      </c>
    </row>
    <row r="770" spans="2:7" x14ac:dyDescent="0.3">
      <c r="B770" s="2">
        <v>757</v>
      </c>
      <c r="C770" s="2">
        <f t="shared" si="59"/>
        <v>807000</v>
      </c>
      <c r="D770" s="4">
        <f t="shared" si="55"/>
        <v>243</v>
      </c>
      <c r="E770" s="4">
        <f t="shared" si="56"/>
        <v>10557</v>
      </c>
      <c r="F770" s="4">
        <f t="shared" si="57"/>
        <v>33080</v>
      </c>
      <c r="G770" s="4">
        <f t="shared" si="58"/>
        <v>-22523</v>
      </c>
    </row>
    <row r="771" spans="2:7" x14ac:dyDescent="0.3">
      <c r="B771" s="2">
        <v>758</v>
      </c>
      <c r="C771" s="2">
        <f t="shared" si="59"/>
        <v>808000</v>
      </c>
      <c r="D771" s="4">
        <f t="shared" si="55"/>
        <v>242</v>
      </c>
      <c r="E771" s="4">
        <f t="shared" si="56"/>
        <v>10558</v>
      </c>
      <c r="F771" s="4">
        <f t="shared" si="57"/>
        <v>33120</v>
      </c>
      <c r="G771" s="4">
        <f t="shared" si="58"/>
        <v>-22562</v>
      </c>
    </row>
    <row r="772" spans="2:7" x14ac:dyDescent="0.3">
      <c r="B772" s="2">
        <v>759</v>
      </c>
      <c r="C772" s="2">
        <f t="shared" si="59"/>
        <v>809000</v>
      </c>
      <c r="D772" s="4">
        <f t="shared" si="55"/>
        <v>241</v>
      </c>
      <c r="E772" s="4">
        <f t="shared" si="56"/>
        <v>10559</v>
      </c>
      <c r="F772" s="4">
        <f t="shared" si="57"/>
        <v>33160</v>
      </c>
      <c r="G772" s="4">
        <f t="shared" si="58"/>
        <v>-22601</v>
      </c>
    </row>
    <row r="773" spans="2:7" x14ac:dyDescent="0.3">
      <c r="B773" s="2">
        <v>760</v>
      </c>
      <c r="C773" s="2">
        <f t="shared" si="59"/>
        <v>810000</v>
      </c>
      <c r="D773" s="4">
        <f t="shared" si="55"/>
        <v>240</v>
      </c>
      <c r="E773" s="4">
        <f t="shared" si="56"/>
        <v>10560</v>
      </c>
      <c r="F773" s="4">
        <f t="shared" si="57"/>
        <v>33200</v>
      </c>
      <c r="G773" s="4">
        <f t="shared" si="58"/>
        <v>-22640</v>
      </c>
    </row>
    <row r="774" spans="2:7" x14ac:dyDescent="0.3">
      <c r="B774" s="2">
        <v>761</v>
      </c>
      <c r="C774" s="2">
        <f t="shared" si="59"/>
        <v>811000</v>
      </c>
      <c r="D774" s="4">
        <f t="shared" si="55"/>
        <v>239</v>
      </c>
      <c r="E774" s="4">
        <f t="shared" si="56"/>
        <v>10561</v>
      </c>
      <c r="F774" s="4">
        <f t="shared" si="57"/>
        <v>33240</v>
      </c>
      <c r="G774" s="4">
        <f t="shared" si="58"/>
        <v>-22679</v>
      </c>
    </row>
    <row r="775" spans="2:7" x14ac:dyDescent="0.3">
      <c r="B775" s="2">
        <v>762</v>
      </c>
      <c r="C775" s="2">
        <f t="shared" si="59"/>
        <v>812000</v>
      </c>
      <c r="D775" s="4">
        <f t="shared" si="55"/>
        <v>238</v>
      </c>
      <c r="E775" s="4">
        <f t="shared" si="56"/>
        <v>10562</v>
      </c>
      <c r="F775" s="4">
        <f t="shared" si="57"/>
        <v>33280</v>
      </c>
      <c r="G775" s="4">
        <f t="shared" si="58"/>
        <v>-22718</v>
      </c>
    </row>
    <row r="776" spans="2:7" x14ac:dyDescent="0.3">
      <c r="B776" s="2">
        <v>763</v>
      </c>
      <c r="C776" s="2">
        <f t="shared" si="59"/>
        <v>813000</v>
      </c>
      <c r="D776" s="4">
        <f t="shared" si="55"/>
        <v>237</v>
      </c>
      <c r="E776" s="4">
        <f t="shared" si="56"/>
        <v>10563</v>
      </c>
      <c r="F776" s="4">
        <f t="shared" si="57"/>
        <v>33320</v>
      </c>
      <c r="G776" s="4">
        <f t="shared" si="58"/>
        <v>-22757</v>
      </c>
    </row>
    <row r="777" spans="2:7" x14ac:dyDescent="0.3">
      <c r="B777" s="2">
        <v>764</v>
      </c>
      <c r="C777" s="2">
        <f t="shared" si="59"/>
        <v>814000</v>
      </c>
      <c r="D777" s="4">
        <f t="shared" si="55"/>
        <v>236</v>
      </c>
      <c r="E777" s="4">
        <f t="shared" si="56"/>
        <v>10564</v>
      </c>
      <c r="F777" s="4">
        <f t="shared" si="57"/>
        <v>33360</v>
      </c>
      <c r="G777" s="4">
        <f t="shared" si="58"/>
        <v>-22796</v>
      </c>
    </row>
    <row r="778" spans="2:7" x14ac:dyDescent="0.3">
      <c r="B778" s="2">
        <v>765</v>
      </c>
      <c r="C778" s="2">
        <f t="shared" si="59"/>
        <v>815000</v>
      </c>
      <c r="D778" s="4">
        <f t="shared" si="55"/>
        <v>235</v>
      </c>
      <c r="E778" s="4">
        <f t="shared" si="56"/>
        <v>10565</v>
      </c>
      <c r="F778" s="4">
        <f t="shared" si="57"/>
        <v>33400</v>
      </c>
      <c r="G778" s="4">
        <f t="shared" si="58"/>
        <v>-22835</v>
      </c>
    </row>
    <row r="779" spans="2:7" x14ac:dyDescent="0.3">
      <c r="B779" s="2">
        <v>766</v>
      </c>
      <c r="C779" s="2">
        <f t="shared" si="59"/>
        <v>816000</v>
      </c>
      <c r="D779" s="4">
        <f t="shared" si="55"/>
        <v>234</v>
      </c>
      <c r="E779" s="4">
        <f t="shared" si="56"/>
        <v>10566</v>
      </c>
      <c r="F779" s="4">
        <f t="shared" si="57"/>
        <v>33440</v>
      </c>
      <c r="G779" s="4">
        <f t="shared" si="58"/>
        <v>-22874</v>
      </c>
    </row>
    <row r="780" spans="2:7" x14ac:dyDescent="0.3">
      <c r="B780" s="2">
        <v>767</v>
      </c>
      <c r="C780" s="2">
        <f t="shared" si="59"/>
        <v>817000</v>
      </c>
      <c r="D780" s="4">
        <f t="shared" si="55"/>
        <v>233</v>
      </c>
      <c r="E780" s="4">
        <f t="shared" si="56"/>
        <v>10567</v>
      </c>
      <c r="F780" s="4">
        <f t="shared" si="57"/>
        <v>33480</v>
      </c>
      <c r="G780" s="4">
        <f t="shared" si="58"/>
        <v>-22913</v>
      </c>
    </row>
    <row r="781" spans="2:7" x14ac:dyDescent="0.3">
      <c r="B781" s="2">
        <v>768</v>
      </c>
      <c r="C781" s="2">
        <f t="shared" si="59"/>
        <v>818000</v>
      </c>
      <c r="D781" s="4">
        <f t="shared" si="55"/>
        <v>232</v>
      </c>
      <c r="E781" s="4">
        <f t="shared" si="56"/>
        <v>10568</v>
      </c>
      <c r="F781" s="4">
        <f t="shared" si="57"/>
        <v>33520</v>
      </c>
      <c r="G781" s="4">
        <f t="shared" si="58"/>
        <v>-22952</v>
      </c>
    </row>
    <row r="782" spans="2:7" x14ac:dyDescent="0.3">
      <c r="B782" s="2">
        <v>769</v>
      </c>
      <c r="C782" s="2">
        <f t="shared" si="59"/>
        <v>819000</v>
      </c>
      <c r="D782" s="4">
        <f t="shared" ref="D782:D813" si="60">IF(C782&lt;=50000,$C$5,$C$5-((C782-50000)/1000)*$C$7)</f>
        <v>231</v>
      </c>
      <c r="E782" s="4">
        <f t="shared" ref="E782:E845" si="61">$C$3+$C$4*$C$6-D782</f>
        <v>10569</v>
      </c>
      <c r="F782" s="4">
        <f t="shared" ref="F782:F845" si="62">$F$3*$C$7+$F$4*C782</f>
        <v>33560</v>
      </c>
      <c r="G782" s="4">
        <f t="shared" ref="G782:G845" si="63">E782-F782</f>
        <v>-22991</v>
      </c>
    </row>
    <row r="783" spans="2:7" x14ac:dyDescent="0.3">
      <c r="B783" s="2">
        <v>770</v>
      </c>
      <c r="C783" s="2">
        <f t="shared" ref="C783:C846" si="64">$C$8+(B783*1000)</f>
        <v>820000</v>
      </c>
      <c r="D783" s="4">
        <f t="shared" si="60"/>
        <v>230</v>
      </c>
      <c r="E783" s="4">
        <f t="shared" si="61"/>
        <v>10570</v>
      </c>
      <c r="F783" s="4">
        <f t="shared" si="62"/>
        <v>33600</v>
      </c>
      <c r="G783" s="4">
        <f t="shared" si="63"/>
        <v>-23030</v>
      </c>
    </row>
    <row r="784" spans="2:7" x14ac:dyDescent="0.3">
      <c r="B784" s="2">
        <v>771</v>
      </c>
      <c r="C784" s="2">
        <f t="shared" si="64"/>
        <v>821000</v>
      </c>
      <c r="D784" s="4">
        <f t="shared" si="60"/>
        <v>229</v>
      </c>
      <c r="E784" s="4">
        <f t="shared" si="61"/>
        <v>10571</v>
      </c>
      <c r="F784" s="4">
        <f t="shared" si="62"/>
        <v>33640</v>
      </c>
      <c r="G784" s="4">
        <f t="shared" si="63"/>
        <v>-23069</v>
      </c>
    </row>
    <row r="785" spans="2:7" x14ac:dyDescent="0.3">
      <c r="B785" s="2">
        <v>772</v>
      </c>
      <c r="C785" s="2">
        <f t="shared" si="64"/>
        <v>822000</v>
      </c>
      <c r="D785" s="4">
        <f t="shared" si="60"/>
        <v>228</v>
      </c>
      <c r="E785" s="4">
        <f t="shared" si="61"/>
        <v>10572</v>
      </c>
      <c r="F785" s="4">
        <f t="shared" si="62"/>
        <v>33680</v>
      </c>
      <c r="G785" s="4">
        <f t="shared" si="63"/>
        <v>-23108</v>
      </c>
    </row>
    <row r="786" spans="2:7" x14ac:dyDescent="0.3">
      <c r="B786" s="2">
        <v>773</v>
      </c>
      <c r="C786" s="2">
        <f t="shared" si="64"/>
        <v>823000</v>
      </c>
      <c r="D786" s="4">
        <f t="shared" si="60"/>
        <v>227</v>
      </c>
      <c r="E786" s="4">
        <f t="shared" si="61"/>
        <v>10573</v>
      </c>
      <c r="F786" s="4">
        <f t="shared" si="62"/>
        <v>33720</v>
      </c>
      <c r="G786" s="4">
        <f t="shared" si="63"/>
        <v>-23147</v>
      </c>
    </row>
    <row r="787" spans="2:7" x14ac:dyDescent="0.3">
      <c r="B787" s="2">
        <v>774</v>
      </c>
      <c r="C787" s="2">
        <f t="shared" si="64"/>
        <v>824000</v>
      </c>
      <c r="D787" s="4">
        <f t="shared" si="60"/>
        <v>226</v>
      </c>
      <c r="E787" s="4">
        <f t="shared" si="61"/>
        <v>10574</v>
      </c>
      <c r="F787" s="4">
        <f t="shared" si="62"/>
        <v>33760</v>
      </c>
      <c r="G787" s="4">
        <f t="shared" si="63"/>
        <v>-23186</v>
      </c>
    </row>
    <row r="788" spans="2:7" x14ac:dyDescent="0.3">
      <c r="B788" s="2">
        <v>775</v>
      </c>
      <c r="C788" s="2">
        <f t="shared" si="64"/>
        <v>825000</v>
      </c>
      <c r="D788" s="4">
        <f t="shared" si="60"/>
        <v>225</v>
      </c>
      <c r="E788" s="4">
        <f t="shared" si="61"/>
        <v>10575</v>
      </c>
      <c r="F788" s="4">
        <f t="shared" si="62"/>
        <v>33800</v>
      </c>
      <c r="G788" s="4">
        <f t="shared" si="63"/>
        <v>-23225</v>
      </c>
    </row>
    <row r="789" spans="2:7" x14ac:dyDescent="0.3">
      <c r="B789" s="2">
        <v>776</v>
      </c>
      <c r="C789" s="2">
        <f t="shared" si="64"/>
        <v>826000</v>
      </c>
      <c r="D789" s="4">
        <f t="shared" si="60"/>
        <v>224</v>
      </c>
      <c r="E789" s="4">
        <f t="shared" si="61"/>
        <v>10576</v>
      </c>
      <c r="F789" s="4">
        <f t="shared" si="62"/>
        <v>33840</v>
      </c>
      <c r="G789" s="4">
        <f t="shared" si="63"/>
        <v>-23264</v>
      </c>
    </row>
    <row r="790" spans="2:7" x14ac:dyDescent="0.3">
      <c r="B790" s="2">
        <v>777</v>
      </c>
      <c r="C790" s="2">
        <f t="shared" si="64"/>
        <v>827000</v>
      </c>
      <c r="D790" s="4">
        <f t="shared" si="60"/>
        <v>223</v>
      </c>
      <c r="E790" s="4">
        <f t="shared" si="61"/>
        <v>10577</v>
      </c>
      <c r="F790" s="4">
        <f t="shared" si="62"/>
        <v>33880</v>
      </c>
      <c r="G790" s="4">
        <f t="shared" si="63"/>
        <v>-23303</v>
      </c>
    </row>
    <row r="791" spans="2:7" x14ac:dyDescent="0.3">
      <c r="B791" s="2">
        <v>778</v>
      </c>
      <c r="C791" s="2">
        <f t="shared" si="64"/>
        <v>828000</v>
      </c>
      <c r="D791" s="4">
        <f t="shared" si="60"/>
        <v>222</v>
      </c>
      <c r="E791" s="4">
        <f t="shared" si="61"/>
        <v>10578</v>
      </c>
      <c r="F791" s="4">
        <f t="shared" si="62"/>
        <v>33920</v>
      </c>
      <c r="G791" s="4">
        <f t="shared" si="63"/>
        <v>-23342</v>
      </c>
    </row>
    <row r="792" spans="2:7" x14ac:dyDescent="0.3">
      <c r="B792" s="2">
        <v>779</v>
      </c>
      <c r="C792" s="2">
        <f t="shared" si="64"/>
        <v>829000</v>
      </c>
      <c r="D792" s="4">
        <f t="shared" si="60"/>
        <v>221</v>
      </c>
      <c r="E792" s="4">
        <f t="shared" si="61"/>
        <v>10579</v>
      </c>
      <c r="F792" s="4">
        <f t="shared" si="62"/>
        <v>33960</v>
      </c>
      <c r="G792" s="4">
        <f t="shared" si="63"/>
        <v>-23381</v>
      </c>
    </row>
    <row r="793" spans="2:7" x14ac:dyDescent="0.3">
      <c r="B793" s="2">
        <v>780</v>
      </c>
      <c r="C793" s="2">
        <f t="shared" si="64"/>
        <v>830000</v>
      </c>
      <c r="D793" s="4">
        <f t="shared" si="60"/>
        <v>220</v>
      </c>
      <c r="E793" s="4">
        <f t="shared" si="61"/>
        <v>10580</v>
      </c>
      <c r="F793" s="4">
        <f t="shared" si="62"/>
        <v>34000</v>
      </c>
      <c r="G793" s="4">
        <f t="shared" si="63"/>
        <v>-23420</v>
      </c>
    </row>
    <row r="794" spans="2:7" x14ac:dyDescent="0.3">
      <c r="B794" s="2">
        <v>781</v>
      </c>
      <c r="C794" s="2">
        <f t="shared" si="64"/>
        <v>831000</v>
      </c>
      <c r="D794" s="4">
        <f t="shared" si="60"/>
        <v>219</v>
      </c>
      <c r="E794" s="4">
        <f t="shared" si="61"/>
        <v>10581</v>
      </c>
      <c r="F794" s="4">
        <f t="shared" si="62"/>
        <v>34040</v>
      </c>
      <c r="G794" s="4">
        <f t="shared" si="63"/>
        <v>-23459</v>
      </c>
    </row>
    <row r="795" spans="2:7" x14ac:dyDescent="0.3">
      <c r="B795" s="2">
        <v>782</v>
      </c>
      <c r="C795" s="2">
        <f t="shared" si="64"/>
        <v>832000</v>
      </c>
      <c r="D795" s="4">
        <f t="shared" si="60"/>
        <v>218</v>
      </c>
      <c r="E795" s="4">
        <f t="shared" si="61"/>
        <v>10582</v>
      </c>
      <c r="F795" s="4">
        <f t="shared" si="62"/>
        <v>34080</v>
      </c>
      <c r="G795" s="4">
        <f t="shared" si="63"/>
        <v>-23498</v>
      </c>
    </row>
    <row r="796" spans="2:7" x14ac:dyDescent="0.3">
      <c r="B796" s="2">
        <v>783</v>
      </c>
      <c r="C796" s="2">
        <f t="shared" si="64"/>
        <v>833000</v>
      </c>
      <c r="D796" s="4">
        <f t="shared" si="60"/>
        <v>217</v>
      </c>
      <c r="E796" s="4">
        <f t="shared" si="61"/>
        <v>10583</v>
      </c>
      <c r="F796" s="4">
        <f t="shared" si="62"/>
        <v>34120</v>
      </c>
      <c r="G796" s="4">
        <f t="shared" si="63"/>
        <v>-23537</v>
      </c>
    </row>
    <row r="797" spans="2:7" x14ac:dyDescent="0.3">
      <c r="B797" s="2">
        <v>784</v>
      </c>
      <c r="C797" s="2">
        <f t="shared" si="64"/>
        <v>834000</v>
      </c>
      <c r="D797" s="4">
        <f t="shared" si="60"/>
        <v>216</v>
      </c>
      <c r="E797" s="4">
        <f t="shared" si="61"/>
        <v>10584</v>
      </c>
      <c r="F797" s="4">
        <f t="shared" si="62"/>
        <v>34160</v>
      </c>
      <c r="G797" s="4">
        <f t="shared" si="63"/>
        <v>-23576</v>
      </c>
    </row>
    <row r="798" spans="2:7" x14ac:dyDescent="0.3">
      <c r="B798" s="2">
        <v>785</v>
      </c>
      <c r="C798" s="2">
        <f t="shared" si="64"/>
        <v>835000</v>
      </c>
      <c r="D798" s="4">
        <f t="shared" si="60"/>
        <v>215</v>
      </c>
      <c r="E798" s="4">
        <f t="shared" si="61"/>
        <v>10585</v>
      </c>
      <c r="F798" s="4">
        <f t="shared" si="62"/>
        <v>34200</v>
      </c>
      <c r="G798" s="4">
        <f t="shared" si="63"/>
        <v>-23615</v>
      </c>
    </row>
    <row r="799" spans="2:7" x14ac:dyDescent="0.3">
      <c r="B799" s="2">
        <v>786</v>
      </c>
      <c r="C799" s="2">
        <f t="shared" si="64"/>
        <v>836000</v>
      </c>
      <c r="D799" s="4">
        <f t="shared" si="60"/>
        <v>214</v>
      </c>
      <c r="E799" s="4">
        <f t="shared" si="61"/>
        <v>10586</v>
      </c>
      <c r="F799" s="4">
        <f t="shared" si="62"/>
        <v>34240</v>
      </c>
      <c r="G799" s="4">
        <f t="shared" si="63"/>
        <v>-23654</v>
      </c>
    </row>
    <row r="800" spans="2:7" x14ac:dyDescent="0.3">
      <c r="B800" s="2">
        <v>787</v>
      </c>
      <c r="C800" s="2">
        <f t="shared" si="64"/>
        <v>837000</v>
      </c>
      <c r="D800" s="4">
        <f t="shared" si="60"/>
        <v>213</v>
      </c>
      <c r="E800" s="4">
        <f t="shared" si="61"/>
        <v>10587</v>
      </c>
      <c r="F800" s="4">
        <f t="shared" si="62"/>
        <v>34280</v>
      </c>
      <c r="G800" s="4">
        <f t="shared" si="63"/>
        <v>-23693</v>
      </c>
    </row>
    <row r="801" spans="2:7" x14ac:dyDescent="0.3">
      <c r="B801" s="2">
        <v>788</v>
      </c>
      <c r="C801" s="2">
        <f t="shared" si="64"/>
        <v>838000</v>
      </c>
      <c r="D801" s="4">
        <f t="shared" si="60"/>
        <v>212</v>
      </c>
      <c r="E801" s="4">
        <f t="shared" si="61"/>
        <v>10588</v>
      </c>
      <c r="F801" s="4">
        <f t="shared" si="62"/>
        <v>34320</v>
      </c>
      <c r="G801" s="4">
        <f t="shared" si="63"/>
        <v>-23732</v>
      </c>
    </row>
    <row r="802" spans="2:7" x14ac:dyDescent="0.3">
      <c r="B802" s="2">
        <v>789</v>
      </c>
      <c r="C802" s="2">
        <f t="shared" si="64"/>
        <v>839000</v>
      </c>
      <c r="D802" s="4">
        <f t="shared" si="60"/>
        <v>211</v>
      </c>
      <c r="E802" s="4">
        <f t="shared" si="61"/>
        <v>10589</v>
      </c>
      <c r="F802" s="4">
        <f t="shared" si="62"/>
        <v>34360</v>
      </c>
      <c r="G802" s="4">
        <f t="shared" si="63"/>
        <v>-23771</v>
      </c>
    </row>
    <row r="803" spans="2:7" x14ac:dyDescent="0.3">
      <c r="B803" s="2">
        <v>790</v>
      </c>
      <c r="C803" s="2">
        <f t="shared" si="64"/>
        <v>840000</v>
      </c>
      <c r="D803" s="4">
        <f t="shared" si="60"/>
        <v>210</v>
      </c>
      <c r="E803" s="4">
        <f t="shared" si="61"/>
        <v>10590</v>
      </c>
      <c r="F803" s="4">
        <f t="shared" si="62"/>
        <v>34400</v>
      </c>
      <c r="G803" s="4">
        <f t="shared" si="63"/>
        <v>-23810</v>
      </c>
    </row>
    <row r="804" spans="2:7" x14ac:dyDescent="0.3">
      <c r="B804" s="2">
        <v>791</v>
      </c>
      <c r="C804" s="2">
        <f t="shared" si="64"/>
        <v>841000</v>
      </c>
      <c r="D804" s="4">
        <f t="shared" si="60"/>
        <v>209</v>
      </c>
      <c r="E804" s="4">
        <f t="shared" si="61"/>
        <v>10591</v>
      </c>
      <c r="F804" s="4">
        <f t="shared" si="62"/>
        <v>34440</v>
      </c>
      <c r="G804" s="4">
        <f t="shared" si="63"/>
        <v>-23849</v>
      </c>
    </row>
    <row r="805" spans="2:7" x14ac:dyDescent="0.3">
      <c r="B805" s="2">
        <v>792</v>
      </c>
      <c r="C805" s="2">
        <f t="shared" si="64"/>
        <v>842000</v>
      </c>
      <c r="D805" s="4">
        <f t="shared" si="60"/>
        <v>208</v>
      </c>
      <c r="E805" s="4">
        <f t="shared" si="61"/>
        <v>10592</v>
      </c>
      <c r="F805" s="4">
        <f t="shared" si="62"/>
        <v>34480</v>
      </c>
      <c r="G805" s="4">
        <f t="shared" si="63"/>
        <v>-23888</v>
      </c>
    </row>
    <row r="806" spans="2:7" x14ac:dyDescent="0.3">
      <c r="B806" s="2">
        <v>793</v>
      </c>
      <c r="C806" s="2">
        <f t="shared" si="64"/>
        <v>843000</v>
      </c>
      <c r="D806" s="4">
        <f t="shared" si="60"/>
        <v>207</v>
      </c>
      <c r="E806" s="4">
        <f t="shared" si="61"/>
        <v>10593</v>
      </c>
      <c r="F806" s="4">
        <f t="shared" si="62"/>
        <v>34520</v>
      </c>
      <c r="G806" s="4">
        <f t="shared" si="63"/>
        <v>-23927</v>
      </c>
    </row>
    <row r="807" spans="2:7" x14ac:dyDescent="0.3">
      <c r="B807" s="2">
        <v>794</v>
      </c>
      <c r="C807" s="2">
        <f t="shared" si="64"/>
        <v>844000</v>
      </c>
      <c r="D807" s="4">
        <f t="shared" si="60"/>
        <v>206</v>
      </c>
      <c r="E807" s="4">
        <f t="shared" si="61"/>
        <v>10594</v>
      </c>
      <c r="F807" s="4">
        <f t="shared" si="62"/>
        <v>34560</v>
      </c>
      <c r="G807" s="4">
        <f t="shared" si="63"/>
        <v>-23966</v>
      </c>
    </row>
    <row r="808" spans="2:7" x14ac:dyDescent="0.3">
      <c r="B808" s="2">
        <v>795</v>
      </c>
      <c r="C808" s="2">
        <f t="shared" si="64"/>
        <v>845000</v>
      </c>
      <c r="D808" s="4">
        <f t="shared" si="60"/>
        <v>205</v>
      </c>
      <c r="E808" s="4">
        <f t="shared" si="61"/>
        <v>10595</v>
      </c>
      <c r="F808" s="4">
        <f t="shared" si="62"/>
        <v>34600</v>
      </c>
      <c r="G808" s="4">
        <f t="shared" si="63"/>
        <v>-24005</v>
      </c>
    </row>
    <row r="809" spans="2:7" x14ac:dyDescent="0.3">
      <c r="B809" s="2">
        <v>796</v>
      </c>
      <c r="C809" s="2">
        <f t="shared" si="64"/>
        <v>846000</v>
      </c>
      <c r="D809" s="4">
        <f t="shared" si="60"/>
        <v>204</v>
      </c>
      <c r="E809" s="4">
        <f t="shared" si="61"/>
        <v>10596</v>
      </c>
      <c r="F809" s="4">
        <f t="shared" si="62"/>
        <v>34640</v>
      </c>
      <c r="G809" s="4">
        <f t="shared" si="63"/>
        <v>-24044</v>
      </c>
    </row>
    <row r="810" spans="2:7" x14ac:dyDescent="0.3">
      <c r="B810" s="2">
        <v>797</v>
      </c>
      <c r="C810" s="2">
        <f t="shared" si="64"/>
        <v>847000</v>
      </c>
      <c r="D810" s="4">
        <f t="shared" si="60"/>
        <v>203</v>
      </c>
      <c r="E810" s="4">
        <f t="shared" si="61"/>
        <v>10597</v>
      </c>
      <c r="F810" s="4">
        <f t="shared" si="62"/>
        <v>34680</v>
      </c>
      <c r="G810" s="4">
        <f t="shared" si="63"/>
        <v>-24083</v>
      </c>
    </row>
    <row r="811" spans="2:7" x14ac:dyDescent="0.3">
      <c r="B811" s="2">
        <v>798</v>
      </c>
      <c r="C811" s="2">
        <f t="shared" si="64"/>
        <v>848000</v>
      </c>
      <c r="D811" s="4">
        <f t="shared" si="60"/>
        <v>202</v>
      </c>
      <c r="E811" s="4">
        <f t="shared" si="61"/>
        <v>10598</v>
      </c>
      <c r="F811" s="4">
        <f t="shared" si="62"/>
        <v>34720</v>
      </c>
      <c r="G811" s="4">
        <f t="shared" si="63"/>
        <v>-24122</v>
      </c>
    </row>
    <row r="812" spans="2:7" x14ac:dyDescent="0.3">
      <c r="B812" s="2">
        <v>799</v>
      </c>
      <c r="C812" s="2">
        <f t="shared" si="64"/>
        <v>849000</v>
      </c>
      <c r="D812" s="4">
        <f t="shared" si="60"/>
        <v>201</v>
      </c>
      <c r="E812" s="4">
        <f t="shared" si="61"/>
        <v>10599</v>
      </c>
      <c r="F812" s="4">
        <f t="shared" si="62"/>
        <v>34760</v>
      </c>
      <c r="G812" s="4">
        <f t="shared" si="63"/>
        <v>-24161</v>
      </c>
    </row>
    <row r="813" spans="2:7" x14ac:dyDescent="0.3">
      <c r="B813" s="2">
        <v>800</v>
      </c>
      <c r="C813" s="2">
        <f t="shared" si="64"/>
        <v>850000</v>
      </c>
      <c r="D813" s="4">
        <f t="shared" si="60"/>
        <v>200</v>
      </c>
      <c r="E813" s="4">
        <f t="shared" si="61"/>
        <v>10600</v>
      </c>
      <c r="F813" s="4">
        <f t="shared" si="62"/>
        <v>34800</v>
      </c>
      <c r="G813" s="4">
        <f t="shared" si="63"/>
        <v>-24200</v>
      </c>
    </row>
    <row r="814" spans="2:7" x14ac:dyDescent="0.3">
      <c r="B814" s="2">
        <v>801</v>
      </c>
      <c r="C814" s="2">
        <f t="shared" si="64"/>
        <v>851000</v>
      </c>
      <c r="D814" s="4">
        <v>0</v>
      </c>
      <c r="E814" s="4">
        <f t="shared" si="61"/>
        <v>10800</v>
      </c>
      <c r="F814" s="4">
        <f t="shared" si="62"/>
        <v>34840</v>
      </c>
      <c r="G814" s="4">
        <f t="shared" si="63"/>
        <v>-24040</v>
      </c>
    </row>
    <row r="815" spans="2:7" x14ac:dyDescent="0.3">
      <c r="B815" s="2">
        <v>802</v>
      </c>
      <c r="C815" s="2">
        <f t="shared" si="64"/>
        <v>852000</v>
      </c>
      <c r="D815" s="4">
        <v>0</v>
      </c>
      <c r="E815" s="4">
        <f t="shared" si="61"/>
        <v>10800</v>
      </c>
      <c r="F815" s="4">
        <f t="shared" si="62"/>
        <v>34880</v>
      </c>
      <c r="G815" s="4">
        <f t="shared" si="63"/>
        <v>-24080</v>
      </c>
    </row>
    <row r="816" spans="2:7" x14ac:dyDescent="0.3">
      <c r="B816" s="2">
        <v>803</v>
      </c>
      <c r="C816" s="2">
        <f t="shared" si="64"/>
        <v>853000</v>
      </c>
      <c r="D816" s="4">
        <v>0</v>
      </c>
      <c r="E816" s="4">
        <f t="shared" si="61"/>
        <v>10800</v>
      </c>
      <c r="F816" s="4">
        <f t="shared" si="62"/>
        <v>34920</v>
      </c>
      <c r="G816" s="4">
        <f t="shared" si="63"/>
        <v>-24120</v>
      </c>
    </row>
    <row r="817" spans="2:7" x14ac:dyDescent="0.3">
      <c r="B817" s="2">
        <v>804</v>
      </c>
      <c r="C817" s="2">
        <f t="shared" si="64"/>
        <v>854000</v>
      </c>
      <c r="D817" s="4">
        <v>0</v>
      </c>
      <c r="E817" s="4">
        <f t="shared" si="61"/>
        <v>10800</v>
      </c>
      <c r="F817" s="4">
        <f t="shared" si="62"/>
        <v>34960</v>
      </c>
      <c r="G817" s="4">
        <f t="shared" si="63"/>
        <v>-24160</v>
      </c>
    </row>
    <row r="818" spans="2:7" x14ac:dyDescent="0.3">
      <c r="B818" s="2">
        <v>805</v>
      </c>
      <c r="C818" s="2">
        <f t="shared" si="64"/>
        <v>855000</v>
      </c>
      <c r="D818" s="4">
        <v>0</v>
      </c>
      <c r="E818" s="4">
        <f t="shared" si="61"/>
        <v>10800</v>
      </c>
      <c r="F818" s="4">
        <f t="shared" si="62"/>
        <v>35000</v>
      </c>
      <c r="G818" s="4">
        <f t="shared" si="63"/>
        <v>-24200</v>
      </c>
    </row>
    <row r="819" spans="2:7" x14ac:dyDescent="0.3">
      <c r="B819" s="2">
        <v>806</v>
      </c>
      <c r="C819" s="2">
        <f t="shared" si="64"/>
        <v>856000</v>
      </c>
      <c r="D819" s="4">
        <v>0</v>
      </c>
      <c r="E819" s="4">
        <f t="shared" si="61"/>
        <v>10800</v>
      </c>
      <c r="F819" s="4">
        <f t="shared" si="62"/>
        <v>35040</v>
      </c>
      <c r="G819" s="4">
        <f t="shared" si="63"/>
        <v>-24240</v>
      </c>
    </row>
    <row r="820" spans="2:7" x14ac:dyDescent="0.3">
      <c r="B820" s="2">
        <v>807</v>
      </c>
      <c r="C820" s="2">
        <f t="shared" si="64"/>
        <v>857000</v>
      </c>
      <c r="D820" s="4">
        <v>0</v>
      </c>
      <c r="E820" s="4">
        <f t="shared" si="61"/>
        <v>10800</v>
      </c>
      <c r="F820" s="4">
        <f t="shared" si="62"/>
        <v>35080</v>
      </c>
      <c r="G820" s="4">
        <f t="shared" si="63"/>
        <v>-24280</v>
      </c>
    </row>
    <row r="821" spans="2:7" x14ac:dyDescent="0.3">
      <c r="B821" s="2">
        <v>808</v>
      </c>
      <c r="C821" s="2">
        <f t="shared" si="64"/>
        <v>858000</v>
      </c>
      <c r="D821" s="4">
        <v>0</v>
      </c>
      <c r="E821" s="4">
        <f t="shared" si="61"/>
        <v>10800</v>
      </c>
      <c r="F821" s="4">
        <f t="shared" si="62"/>
        <v>35120</v>
      </c>
      <c r="G821" s="4">
        <f t="shared" si="63"/>
        <v>-24320</v>
      </c>
    </row>
    <row r="822" spans="2:7" x14ac:dyDescent="0.3">
      <c r="B822" s="2">
        <v>809</v>
      </c>
      <c r="C822" s="2">
        <f t="shared" si="64"/>
        <v>859000</v>
      </c>
      <c r="D822" s="4">
        <v>0</v>
      </c>
      <c r="E822" s="4">
        <f t="shared" si="61"/>
        <v>10800</v>
      </c>
      <c r="F822" s="4">
        <f t="shared" si="62"/>
        <v>35160</v>
      </c>
      <c r="G822" s="4">
        <f t="shared" si="63"/>
        <v>-24360</v>
      </c>
    </row>
    <row r="823" spans="2:7" x14ac:dyDescent="0.3">
      <c r="B823" s="2">
        <v>810</v>
      </c>
      <c r="C823" s="2">
        <f t="shared" si="64"/>
        <v>860000</v>
      </c>
      <c r="D823" s="4">
        <v>0</v>
      </c>
      <c r="E823" s="4">
        <f t="shared" si="61"/>
        <v>10800</v>
      </c>
      <c r="F823" s="4">
        <f t="shared" si="62"/>
        <v>35200</v>
      </c>
      <c r="G823" s="4">
        <f t="shared" si="63"/>
        <v>-24400</v>
      </c>
    </row>
    <row r="824" spans="2:7" x14ac:dyDescent="0.3">
      <c r="B824" s="2">
        <v>811</v>
      </c>
      <c r="C824" s="2">
        <f t="shared" si="64"/>
        <v>861000</v>
      </c>
      <c r="D824" s="4">
        <v>0</v>
      </c>
      <c r="E824" s="4">
        <f t="shared" si="61"/>
        <v>10800</v>
      </c>
      <c r="F824" s="4">
        <f t="shared" si="62"/>
        <v>35240</v>
      </c>
      <c r="G824" s="4">
        <f t="shared" si="63"/>
        <v>-24440</v>
      </c>
    </row>
    <row r="825" spans="2:7" x14ac:dyDescent="0.3">
      <c r="B825" s="2">
        <v>812</v>
      </c>
      <c r="C825" s="2">
        <f t="shared" si="64"/>
        <v>862000</v>
      </c>
      <c r="D825" s="4">
        <v>0</v>
      </c>
      <c r="E825" s="4">
        <f t="shared" si="61"/>
        <v>10800</v>
      </c>
      <c r="F825" s="4">
        <f t="shared" si="62"/>
        <v>35280</v>
      </c>
      <c r="G825" s="4">
        <f t="shared" si="63"/>
        <v>-24480</v>
      </c>
    </row>
    <row r="826" spans="2:7" x14ac:dyDescent="0.3">
      <c r="B826" s="2">
        <v>813</v>
      </c>
      <c r="C826" s="2">
        <f t="shared" si="64"/>
        <v>863000</v>
      </c>
      <c r="D826" s="4">
        <v>0</v>
      </c>
      <c r="E826" s="4">
        <f t="shared" si="61"/>
        <v>10800</v>
      </c>
      <c r="F826" s="4">
        <f t="shared" si="62"/>
        <v>35320</v>
      </c>
      <c r="G826" s="4">
        <f t="shared" si="63"/>
        <v>-24520</v>
      </c>
    </row>
    <row r="827" spans="2:7" x14ac:dyDescent="0.3">
      <c r="B827" s="2">
        <v>814</v>
      </c>
      <c r="C827" s="2">
        <f t="shared" si="64"/>
        <v>864000</v>
      </c>
      <c r="D827" s="4">
        <v>0</v>
      </c>
      <c r="E827" s="4">
        <f t="shared" si="61"/>
        <v>10800</v>
      </c>
      <c r="F827" s="4">
        <f t="shared" si="62"/>
        <v>35360</v>
      </c>
      <c r="G827" s="4">
        <f t="shared" si="63"/>
        <v>-24560</v>
      </c>
    </row>
    <row r="828" spans="2:7" x14ac:dyDescent="0.3">
      <c r="B828" s="2">
        <v>815</v>
      </c>
      <c r="C828" s="2">
        <f t="shared" si="64"/>
        <v>865000</v>
      </c>
      <c r="D828" s="4">
        <v>0</v>
      </c>
      <c r="E828" s="4">
        <f t="shared" si="61"/>
        <v>10800</v>
      </c>
      <c r="F828" s="4">
        <f t="shared" si="62"/>
        <v>35400</v>
      </c>
      <c r="G828" s="4">
        <f t="shared" si="63"/>
        <v>-24600</v>
      </c>
    </row>
    <row r="829" spans="2:7" x14ac:dyDescent="0.3">
      <c r="B829" s="2">
        <v>816</v>
      </c>
      <c r="C829" s="2">
        <f t="shared" si="64"/>
        <v>866000</v>
      </c>
      <c r="D829" s="4">
        <v>0</v>
      </c>
      <c r="E829" s="4">
        <f t="shared" si="61"/>
        <v>10800</v>
      </c>
      <c r="F829" s="4">
        <f t="shared" si="62"/>
        <v>35440</v>
      </c>
      <c r="G829" s="4">
        <f t="shared" si="63"/>
        <v>-24640</v>
      </c>
    </row>
    <row r="830" spans="2:7" x14ac:dyDescent="0.3">
      <c r="B830" s="2">
        <v>817</v>
      </c>
      <c r="C830" s="2">
        <f t="shared" si="64"/>
        <v>867000</v>
      </c>
      <c r="D830" s="4">
        <v>0</v>
      </c>
      <c r="E830" s="4">
        <f t="shared" si="61"/>
        <v>10800</v>
      </c>
      <c r="F830" s="4">
        <f t="shared" si="62"/>
        <v>35480</v>
      </c>
      <c r="G830" s="4">
        <f t="shared" si="63"/>
        <v>-24680</v>
      </c>
    </row>
    <row r="831" spans="2:7" x14ac:dyDescent="0.3">
      <c r="B831" s="2">
        <v>818</v>
      </c>
      <c r="C831" s="2">
        <f t="shared" si="64"/>
        <v>868000</v>
      </c>
      <c r="D831" s="4">
        <v>0</v>
      </c>
      <c r="E831" s="4">
        <f t="shared" si="61"/>
        <v>10800</v>
      </c>
      <c r="F831" s="4">
        <f t="shared" si="62"/>
        <v>35520</v>
      </c>
      <c r="G831" s="4">
        <f t="shared" si="63"/>
        <v>-24720</v>
      </c>
    </row>
    <row r="832" spans="2:7" x14ac:dyDescent="0.3">
      <c r="B832" s="2">
        <v>819</v>
      </c>
      <c r="C832" s="2">
        <f t="shared" si="64"/>
        <v>869000</v>
      </c>
      <c r="D832" s="4">
        <v>0</v>
      </c>
      <c r="E832" s="4">
        <f t="shared" si="61"/>
        <v>10800</v>
      </c>
      <c r="F832" s="4">
        <f t="shared" si="62"/>
        <v>35560</v>
      </c>
      <c r="G832" s="4">
        <f t="shared" si="63"/>
        <v>-24760</v>
      </c>
    </row>
    <row r="833" spans="2:7" x14ac:dyDescent="0.3">
      <c r="B833" s="2">
        <v>820</v>
      </c>
      <c r="C833" s="2">
        <f t="shared" si="64"/>
        <v>870000</v>
      </c>
      <c r="D833" s="4">
        <v>0</v>
      </c>
      <c r="E833" s="4">
        <f t="shared" si="61"/>
        <v>10800</v>
      </c>
      <c r="F833" s="4">
        <f t="shared" si="62"/>
        <v>35600</v>
      </c>
      <c r="G833" s="4">
        <f t="shared" si="63"/>
        <v>-24800</v>
      </c>
    </row>
    <row r="834" spans="2:7" x14ac:dyDescent="0.3">
      <c r="B834" s="2">
        <v>821</v>
      </c>
      <c r="C834" s="2">
        <f t="shared" si="64"/>
        <v>871000</v>
      </c>
      <c r="D834" s="4">
        <v>0</v>
      </c>
      <c r="E834" s="4">
        <f t="shared" si="61"/>
        <v>10800</v>
      </c>
      <c r="F834" s="4">
        <f t="shared" si="62"/>
        <v>35640</v>
      </c>
      <c r="G834" s="4">
        <f t="shared" si="63"/>
        <v>-24840</v>
      </c>
    </row>
    <row r="835" spans="2:7" x14ac:dyDescent="0.3">
      <c r="B835" s="2">
        <v>822</v>
      </c>
      <c r="C835" s="2">
        <f t="shared" si="64"/>
        <v>872000</v>
      </c>
      <c r="D835" s="4">
        <v>0</v>
      </c>
      <c r="E835" s="4">
        <f t="shared" si="61"/>
        <v>10800</v>
      </c>
      <c r="F835" s="4">
        <f t="shared" si="62"/>
        <v>35680</v>
      </c>
      <c r="G835" s="4">
        <f t="shared" si="63"/>
        <v>-24880</v>
      </c>
    </row>
    <row r="836" spans="2:7" x14ac:dyDescent="0.3">
      <c r="B836" s="2">
        <v>823</v>
      </c>
      <c r="C836" s="2">
        <f t="shared" si="64"/>
        <v>873000</v>
      </c>
      <c r="D836" s="4">
        <v>0</v>
      </c>
      <c r="E836" s="4">
        <f t="shared" si="61"/>
        <v>10800</v>
      </c>
      <c r="F836" s="4">
        <f t="shared" si="62"/>
        <v>35720</v>
      </c>
      <c r="G836" s="4">
        <f t="shared" si="63"/>
        <v>-24920</v>
      </c>
    </row>
    <row r="837" spans="2:7" x14ac:dyDescent="0.3">
      <c r="B837" s="2">
        <v>824</v>
      </c>
      <c r="C837" s="2">
        <f t="shared" si="64"/>
        <v>874000</v>
      </c>
      <c r="D837" s="4">
        <v>0</v>
      </c>
      <c r="E837" s="4">
        <f t="shared" si="61"/>
        <v>10800</v>
      </c>
      <c r="F837" s="4">
        <f t="shared" si="62"/>
        <v>35760</v>
      </c>
      <c r="G837" s="4">
        <f t="shared" si="63"/>
        <v>-24960</v>
      </c>
    </row>
    <row r="838" spans="2:7" x14ac:dyDescent="0.3">
      <c r="B838" s="2">
        <v>825</v>
      </c>
      <c r="C838" s="2">
        <f t="shared" si="64"/>
        <v>875000</v>
      </c>
      <c r="D838" s="4">
        <v>0</v>
      </c>
      <c r="E838" s="4">
        <f t="shared" si="61"/>
        <v>10800</v>
      </c>
      <c r="F838" s="4">
        <f t="shared" si="62"/>
        <v>35800</v>
      </c>
      <c r="G838" s="4">
        <f t="shared" si="63"/>
        <v>-25000</v>
      </c>
    </row>
    <row r="839" spans="2:7" x14ac:dyDescent="0.3">
      <c r="B839" s="2">
        <v>826</v>
      </c>
      <c r="C839" s="2">
        <f t="shared" si="64"/>
        <v>876000</v>
      </c>
      <c r="D839" s="4">
        <v>0</v>
      </c>
      <c r="E839" s="4">
        <f t="shared" si="61"/>
        <v>10800</v>
      </c>
      <c r="F839" s="4">
        <f t="shared" si="62"/>
        <v>35840</v>
      </c>
      <c r="G839" s="4">
        <f t="shared" si="63"/>
        <v>-25040</v>
      </c>
    </row>
    <row r="840" spans="2:7" x14ac:dyDescent="0.3">
      <c r="B840" s="2">
        <v>827</v>
      </c>
      <c r="C840" s="2">
        <f t="shared" si="64"/>
        <v>877000</v>
      </c>
      <c r="D840" s="4">
        <v>0</v>
      </c>
      <c r="E840" s="4">
        <f t="shared" si="61"/>
        <v>10800</v>
      </c>
      <c r="F840" s="4">
        <f t="shared" si="62"/>
        <v>35880</v>
      </c>
      <c r="G840" s="4">
        <f t="shared" si="63"/>
        <v>-25080</v>
      </c>
    </row>
    <row r="841" spans="2:7" x14ac:dyDescent="0.3">
      <c r="B841" s="2">
        <v>828</v>
      </c>
      <c r="C841" s="2">
        <f t="shared" si="64"/>
        <v>878000</v>
      </c>
      <c r="D841" s="4">
        <v>0</v>
      </c>
      <c r="E841" s="4">
        <f t="shared" si="61"/>
        <v>10800</v>
      </c>
      <c r="F841" s="4">
        <f t="shared" si="62"/>
        <v>35920</v>
      </c>
      <c r="G841" s="4">
        <f t="shared" si="63"/>
        <v>-25120</v>
      </c>
    </row>
    <row r="842" spans="2:7" x14ac:dyDescent="0.3">
      <c r="B842" s="2">
        <v>829</v>
      </c>
      <c r="C842" s="2">
        <f t="shared" si="64"/>
        <v>879000</v>
      </c>
      <c r="D842" s="4">
        <v>0</v>
      </c>
      <c r="E842" s="4">
        <f t="shared" si="61"/>
        <v>10800</v>
      </c>
      <c r="F842" s="4">
        <f t="shared" si="62"/>
        <v>35960</v>
      </c>
      <c r="G842" s="4">
        <f t="shared" si="63"/>
        <v>-25160</v>
      </c>
    </row>
    <row r="843" spans="2:7" x14ac:dyDescent="0.3">
      <c r="B843" s="2">
        <v>830</v>
      </c>
      <c r="C843" s="2">
        <f t="shared" si="64"/>
        <v>880000</v>
      </c>
      <c r="D843" s="4">
        <v>0</v>
      </c>
      <c r="E843" s="4">
        <f t="shared" si="61"/>
        <v>10800</v>
      </c>
      <c r="F843" s="4">
        <f t="shared" si="62"/>
        <v>36000</v>
      </c>
      <c r="G843" s="4">
        <f t="shared" si="63"/>
        <v>-25200</v>
      </c>
    </row>
    <row r="844" spans="2:7" x14ac:dyDescent="0.3">
      <c r="B844" s="2">
        <v>831</v>
      </c>
      <c r="C844" s="2">
        <f t="shared" si="64"/>
        <v>881000</v>
      </c>
      <c r="D844" s="4">
        <v>0</v>
      </c>
      <c r="E844" s="4">
        <f t="shared" si="61"/>
        <v>10800</v>
      </c>
      <c r="F844" s="4">
        <f t="shared" si="62"/>
        <v>36040</v>
      </c>
      <c r="G844" s="4">
        <f t="shared" si="63"/>
        <v>-25240</v>
      </c>
    </row>
    <row r="845" spans="2:7" x14ac:dyDescent="0.3">
      <c r="B845" s="2">
        <v>832</v>
      </c>
      <c r="C845" s="2">
        <f t="shared" si="64"/>
        <v>882000</v>
      </c>
      <c r="D845" s="4">
        <v>0</v>
      </c>
      <c r="E845" s="4">
        <f t="shared" si="61"/>
        <v>10800</v>
      </c>
      <c r="F845" s="4">
        <f t="shared" si="62"/>
        <v>36080</v>
      </c>
      <c r="G845" s="4">
        <f t="shared" si="63"/>
        <v>-25280</v>
      </c>
    </row>
    <row r="846" spans="2:7" x14ac:dyDescent="0.3">
      <c r="B846" s="2">
        <v>833</v>
      </c>
      <c r="C846" s="2">
        <f t="shared" si="64"/>
        <v>883000</v>
      </c>
      <c r="D846" s="4">
        <v>0</v>
      </c>
      <c r="E846" s="4">
        <f t="shared" ref="E846:E909" si="65">$C$3+$C$4*$C$6-D846</f>
        <v>10800</v>
      </c>
      <c r="F846" s="4">
        <f t="shared" ref="F846:F909" si="66">$F$3*$C$7+$F$4*C846</f>
        <v>36120</v>
      </c>
      <c r="G846" s="4">
        <f t="shared" ref="G846:G909" si="67">E846-F846</f>
        <v>-25320</v>
      </c>
    </row>
    <row r="847" spans="2:7" x14ac:dyDescent="0.3">
      <c r="B847" s="2">
        <v>834</v>
      </c>
      <c r="C847" s="2">
        <f t="shared" ref="C847:C910" si="68">$C$8+(B847*1000)</f>
        <v>884000</v>
      </c>
      <c r="D847" s="4">
        <v>0</v>
      </c>
      <c r="E847" s="4">
        <f t="shared" si="65"/>
        <v>10800</v>
      </c>
      <c r="F847" s="4">
        <f t="shared" si="66"/>
        <v>36160</v>
      </c>
      <c r="G847" s="4">
        <f t="shared" si="67"/>
        <v>-25360</v>
      </c>
    </row>
    <row r="848" spans="2:7" x14ac:dyDescent="0.3">
      <c r="B848" s="2">
        <v>835</v>
      </c>
      <c r="C848" s="2">
        <f t="shared" si="68"/>
        <v>885000</v>
      </c>
      <c r="D848" s="4">
        <v>0</v>
      </c>
      <c r="E848" s="4">
        <f t="shared" si="65"/>
        <v>10800</v>
      </c>
      <c r="F848" s="4">
        <f t="shared" si="66"/>
        <v>36200</v>
      </c>
      <c r="G848" s="4">
        <f t="shared" si="67"/>
        <v>-25400</v>
      </c>
    </row>
    <row r="849" spans="2:7" x14ac:dyDescent="0.3">
      <c r="B849" s="2">
        <v>836</v>
      </c>
      <c r="C849" s="2">
        <f t="shared" si="68"/>
        <v>886000</v>
      </c>
      <c r="D849" s="4">
        <v>0</v>
      </c>
      <c r="E849" s="4">
        <f t="shared" si="65"/>
        <v>10800</v>
      </c>
      <c r="F849" s="4">
        <f t="shared" si="66"/>
        <v>36240</v>
      </c>
      <c r="G849" s="4">
        <f t="shared" si="67"/>
        <v>-25440</v>
      </c>
    </row>
    <row r="850" spans="2:7" x14ac:dyDescent="0.3">
      <c r="B850" s="2">
        <v>837</v>
      </c>
      <c r="C850" s="2">
        <f t="shared" si="68"/>
        <v>887000</v>
      </c>
      <c r="D850" s="4">
        <v>0</v>
      </c>
      <c r="E850" s="4">
        <f t="shared" si="65"/>
        <v>10800</v>
      </c>
      <c r="F850" s="4">
        <f t="shared" si="66"/>
        <v>36280</v>
      </c>
      <c r="G850" s="4">
        <f t="shared" si="67"/>
        <v>-25480</v>
      </c>
    </row>
    <row r="851" spans="2:7" x14ac:dyDescent="0.3">
      <c r="B851" s="2">
        <v>838</v>
      </c>
      <c r="C851" s="2">
        <f t="shared" si="68"/>
        <v>888000</v>
      </c>
      <c r="D851" s="4">
        <v>0</v>
      </c>
      <c r="E851" s="4">
        <f t="shared" si="65"/>
        <v>10800</v>
      </c>
      <c r="F851" s="4">
        <f t="shared" si="66"/>
        <v>36320</v>
      </c>
      <c r="G851" s="4">
        <f t="shared" si="67"/>
        <v>-25520</v>
      </c>
    </row>
    <row r="852" spans="2:7" x14ac:dyDescent="0.3">
      <c r="B852" s="2">
        <v>839</v>
      </c>
      <c r="C852" s="2">
        <f t="shared" si="68"/>
        <v>889000</v>
      </c>
      <c r="D852" s="4">
        <v>0</v>
      </c>
      <c r="E852" s="4">
        <f t="shared" si="65"/>
        <v>10800</v>
      </c>
      <c r="F852" s="4">
        <f t="shared" si="66"/>
        <v>36360</v>
      </c>
      <c r="G852" s="4">
        <f t="shared" si="67"/>
        <v>-25560</v>
      </c>
    </row>
    <row r="853" spans="2:7" x14ac:dyDescent="0.3">
      <c r="B853" s="2">
        <v>840</v>
      </c>
      <c r="C853" s="2">
        <f t="shared" si="68"/>
        <v>890000</v>
      </c>
      <c r="D853" s="4">
        <v>0</v>
      </c>
      <c r="E853" s="4">
        <f t="shared" si="65"/>
        <v>10800</v>
      </c>
      <c r="F853" s="4">
        <f t="shared" si="66"/>
        <v>36400</v>
      </c>
      <c r="G853" s="4">
        <f t="shared" si="67"/>
        <v>-25600</v>
      </c>
    </row>
    <row r="854" spans="2:7" x14ac:dyDescent="0.3">
      <c r="B854" s="2">
        <v>841</v>
      </c>
      <c r="C854" s="2">
        <f t="shared" si="68"/>
        <v>891000</v>
      </c>
      <c r="D854" s="4">
        <v>0</v>
      </c>
      <c r="E854" s="4">
        <f t="shared" si="65"/>
        <v>10800</v>
      </c>
      <c r="F854" s="4">
        <f t="shared" si="66"/>
        <v>36440</v>
      </c>
      <c r="G854" s="4">
        <f t="shared" si="67"/>
        <v>-25640</v>
      </c>
    </row>
    <row r="855" spans="2:7" x14ac:dyDescent="0.3">
      <c r="B855" s="2">
        <v>842</v>
      </c>
      <c r="C855" s="2">
        <f t="shared" si="68"/>
        <v>892000</v>
      </c>
      <c r="D855" s="4">
        <v>0</v>
      </c>
      <c r="E855" s="4">
        <f t="shared" si="65"/>
        <v>10800</v>
      </c>
      <c r="F855" s="4">
        <f t="shared" si="66"/>
        <v>36480</v>
      </c>
      <c r="G855" s="4">
        <f t="shared" si="67"/>
        <v>-25680</v>
      </c>
    </row>
    <row r="856" spans="2:7" x14ac:dyDescent="0.3">
      <c r="B856" s="2">
        <v>843</v>
      </c>
      <c r="C856" s="2">
        <f t="shared" si="68"/>
        <v>893000</v>
      </c>
      <c r="D856" s="4">
        <v>0</v>
      </c>
      <c r="E856" s="4">
        <f t="shared" si="65"/>
        <v>10800</v>
      </c>
      <c r="F856" s="4">
        <f t="shared" si="66"/>
        <v>36520</v>
      </c>
      <c r="G856" s="4">
        <f t="shared" si="67"/>
        <v>-25720</v>
      </c>
    </row>
    <row r="857" spans="2:7" x14ac:dyDescent="0.3">
      <c r="B857" s="2">
        <v>844</v>
      </c>
      <c r="C857" s="2">
        <f t="shared" si="68"/>
        <v>894000</v>
      </c>
      <c r="D857" s="4">
        <v>0</v>
      </c>
      <c r="E857" s="4">
        <f t="shared" si="65"/>
        <v>10800</v>
      </c>
      <c r="F857" s="4">
        <f t="shared" si="66"/>
        <v>36560</v>
      </c>
      <c r="G857" s="4">
        <f t="shared" si="67"/>
        <v>-25760</v>
      </c>
    </row>
    <row r="858" spans="2:7" x14ac:dyDescent="0.3">
      <c r="B858" s="2">
        <v>845</v>
      </c>
      <c r="C858" s="2">
        <f t="shared" si="68"/>
        <v>895000</v>
      </c>
      <c r="D858" s="4">
        <v>0</v>
      </c>
      <c r="E858" s="4">
        <f t="shared" si="65"/>
        <v>10800</v>
      </c>
      <c r="F858" s="4">
        <f t="shared" si="66"/>
        <v>36600</v>
      </c>
      <c r="G858" s="4">
        <f t="shared" si="67"/>
        <v>-25800</v>
      </c>
    </row>
    <row r="859" spans="2:7" x14ac:dyDescent="0.3">
      <c r="B859" s="2">
        <v>846</v>
      </c>
      <c r="C859" s="2">
        <f t="shared" si="68"/>
        <v>896000</v>
      </c>
      <c r="D859" s="4">
        <v>0</v>
      </c>
      <c r="E859" s="4">
        <f t="shared" si="65"/>
        <v>10800</v>
      </c>
      <c r="F859" s="4">
        <f t="shared" si="66"/>
        <v>36640</v>
      </c>
      <c r="G859" s="4">
        <f t="shared" si="67"/>
        <v>-25840</v>
      </c>
    </row>
    <row r="860" spans="2:7" x14ac:dyDescent="0.3">
      <c r="B860" s="2">
        <v>847</v>
      </c>
      <c r="C860" s="2">
        <f t="shared" si="68"/>
        <v>897000</v>
      </c>
      <c r="D860" s="4">
        <v>0</v>
      </c>
      <c r="E860" s="4">
        <f t="shared" si="65"/>
        <v>10800</v>
      </c>
      <c r="F860" s="4">
        <f t="shared" si="66"/>
        <v>36680</v>
      </c>
      <c r="G860" s="4">
        <f t="shared" si="67"/>
        <v>-25880</v>
      </c>
    </row>
    <row r="861" spans="2:7" x14ac:dyDescent="0.3">
      <c r="B861" s="2">
        <v>848</v>
      </c>
      <c r="C861" s="2">
        <f t="shared" si="68"/>
        <v>898000</v>
      </c>
      <c r="D861" s="4">
        <v>0</v>
      </c>
      <c r="E861" s="4">
        <f t="shared" si="65"/>
        <v>10800</v>
      </c>
      <c r="F861" s="4">
        <f t="shared" si="66"/>
        <v>36720</v>
      </c>
      <c r="G861" s="4">
        <f t="shared" si="67"/>
        <v>-25920</v>
      </c>
    </row>
    <row r="862" spans="2:7" x14ac:dyDescent="0.3">
      <c r="B862" s="2">
        <v>849</v>
      </c>
      <c r="C862" s="2">
        <f t="shared" si="68"/>
        <v>899000</v>
      </c>
      <c r="D862" s="4">
        <v>0</v>
      </c>
      <c r="E862" s="4">
        <f t="shared" si="65"/>
        <v>10800</v>
      </c>
      <c r="F862" s="4">
        <f t="shared" si="66"/>
        <v>36760</v>
      </c>
      <c r="G862" s="4">
        <f t="shared" si="67"/>
        <v>-25960</v>
      </c>
    </row>
    <row r="863" spans="2:7" x14ac:dyDescent="0.3">
      <c r="B863" s="2">
        <v>850</v>
      </c>
      <c r="C863" s="2">
        <f t="shared" si="68"/>
        <v>900000</v>
      </c>
      <c r="D863" s="4">
        <v>0</v>
      </c>
      <c r="E863" s="4">
        <f t="shared" si="65"/>
        <v>10800</v>
      </c>
      <c r="F863" s="4">
        <f t="shared" si="66"/>
        <v>36800</v>
      </c>
      <c r="G863" s="4">
        <f t="shared" si="67"/>
        <v>-26000</v>
      </c>
    </row>
    <row r="864" spans="2:7" x14ac:dyDescent="0.3">
      <c r="B864" s="2">
        <v>851</v>
      </c>
      <c r="C864" s="2">
        <f t="shared" si="68"/>
        <v>901000</v>
      </c>
      <c r="D864" s="4">
        <v>0</v>
      </c>
      <c r="E864" s="4">
        <f t="shared" si="65"/>
        <v>10800</v>
      </c>
      <c r="F864" s="4">
        <f t="shared" si="66"/>
        <v>36840</v>
      </c>
      <c r="G864" s="4">
        <f t="shared" si="67"/>
        <v>-26040</v>
      </c>
    </row>
    <row r="865" spans="2:7" x14ac:dyDescent="0.3">
      <c r="B865" s="2">
        <v>852</v>
      </c>
      <c r="C865" s="2">
        <f t="shared" si="68"/>
        <v>902000</v>
      </c>
      <c r="D865" s="4">
        <v>0</v>
      </c>
      <c r="E865" s="4">
        <f t="shared" si="65"/>
        <v>10800</v>
      </c>
      <c r="F865" s="4">
        <f t="shared" si="66"/>
        <v>36880</v>
      </c>
      <c r="G865" s="4">
        <f t="shared" si="67"/>
        <v>-26080</v>
      </c>
    </row>
    <row r="866" spans="2:7" x14ac:dyDescent="0.3">
      <c r="B866" s="2">
        <v>853</v>
      </c>
      <c r="C866" s="2">
        <f t="shared" si="68"/>
        <v>903000</v>
      </c>
      <c r="D866" s="4">
        <v>0</v>
      </c>
      <c r="E866" s="4">
        <f t="shared" si="65"/>
        <v>10800</v>
      </c>
      <c r="F866" s="4">
        <f t="shared" si="66"/>
        <v>36920</v>
      </c>
      <c r="G866" s="4">
        <f t="shared" si="67"/>
        <v>-26120</v>
      </c>
    </row>
    <row r="867" spans="2:7" x14ac:dyDescent="0.3">
      <c r="B867" s="2">
        <v>854</v>
      </c>
      <c r="C867" s="2">
        <f t="shared" si="68"/>
        <v>904000</v>
      </c>
      <c r="D867" s="4">
        <v>0</v>
      </c>
      <c r="E867" s="4">
        <f t="shared" si="65"/>
        <v>10800</v>
      </c>
      <c r="F867" s="4">
        <f t="shared" si="66"/>
        <v>36960</v>
      </c>
      <c r="G867" s="4">
        <f t="shared" si="67"/>
        <v>-26160</v>
      </c>
    </row>
    <row r="868" spans="2:7" x14ac:dyDescent="0.3">
      <c r="B868" s="2">
        <v>855</v>
      </c>
      <c r="C868" s="2">
        <f t="shared" si="68"/>
        <v>905000</v>
      </c>
      <c r="D868" s="4">
        <v>0</v>
      </c>
      <c r="E868" s="4">
        <f t="shared" si="65"/>
        <v>10800</v>
      </c>
      <c r="F868" s="4">
        <f t="shared" si="66"/>
        <v>37000</v>
      </c>
      <c r="G868" s="4">
        <f t="shared" si="67"/>
        <v>-26200</v>
      </c>
    </row>
    <row r="869" spans="2:7" x14ac:dyDescent="0.3">
      <c r="B869" s="2">
        <v>856</v>
      </c>
      <c r="C869" s="2">
        <f t="shared" si="68"/>
        <v>906000</v>
      </c>
      <c r="D869" s="4">
        <v>0</v>
      </c>
      <c r="E869" s="4">
        <f t="shared" si="65"/>
        <v>10800</v>
      </c>
      <c r="F869" s="4">
        <f t="shared" si="66"/>
        <v>37040</v>
      </c>
      <c r="G869" s="4">
        <f t="shared" si="67"/>
        <v>-26240</v>
      </c>
    </row>
    <row r="870" spans="2:7" x14ac:dyDescent="0.3">
      <c r="B870" s="2">
        <v>857</v>
      </c>
      <c r="C870" s="2">
        <f t="shared" si="68"/>
        <v>907000</v>
      </c>
      <c r="D870" s="4">
        <v>0</v>
      </c>
      <c r="E870" s="4">
        <f t="shared" si="65"/>
        <v>10800</v>
      </c>
      <c r="F870" s="4">
        <f t="shared" si="66"/>
        <v>37080</v>
      </c>
      <c r="G870" s="4">
        <f t="shared" si="67"/>
        <v>-26280</v>
      </c>
    </row>
    <row r="871" spans="2:7" x14ac:dyDescent="0.3">
      <c r="B871" s="2">
        <v>858</v>
      </c>
      <c r="C871" s="2">
        <f t="shared" si="68"/>
        <v>908000</v>
      </c>
      <c r="D871" s="4">
        <v>0</v>
      </c>
      <c r="E871" s="4">
        <f t="shared" si="65"/>
        <v>10800</v>
      </c>
      <c r="F871" s="4">
        <f t="shared" si="66"/>
        <v>37120</v>
      </c>
      <c r="G871" s="4">
        <f t="shared" si="67"/>
        <v>-26320</v>
      </c>
    </row>
    <row r="872" spans="2:7" x14ac:dyDescent="0.3">
      <c r="B872" s="2">
        <v>859</v>
      </c>
      <c r="C872" s="2">
        <f t="shared" si="68"/>
        <v>909000</v>
      </c>
      <c r="D872" s="4">
        <v>0</v>
      </c>
      <c r="E872" s="4">
        <f t="shared" si="65"/>
        <v>10800</v>
      </c>
      <c r="F872" s="4">
        <f t="shared" si="66"/>
        <v>37160</v>
      </c>
      <c r="G872" s="4">
        <f t="shared" si="67"/>
        <v>-26360</v>
      </c>
    </row>
    <row r="873" spans="2:7" x14ac:dyDescent="0.3">
      <c r="B873" s="2">
        <v>860</v>
      </c>
      <c r="C873" s="2">
        <f t="shared" si="68"/>
        <v>910000</v>
      </c>
      <c r="D873" s="4">
        <v>0</v>
      </c>
      <c r="E873" s="4">
        <f t="shared" si="65"/>
        <v>10800</v>
      </c>
      <c r="F873" s="4">
        <f t="shared" si="66"/>
        <v>37200</v>
      </c>
      <c r="G873" s="4">
        <f t="shared" si="67"/>
        <v>-26400</v>
      </c>
    </row>
    <row r="874" spans="2:7" x14ac:dyDescent="0.3">
      <c r="B874" s="2">
        <v>861</v>
      </c>
      <c r="C874" s="2">
        <f t="shared" si="68"/>
        <v>911000</v>
      </c>
      <c r="D874" s="4">
        <v>0</v>
      </c>
      <c r="E874" s="4">
        <f t="shared" si="65"/>
        <v>10800</v>
      </c>
      <c r="F874" s="4">
        <f t="shared" si="66"/>
        <v>37240</v>
      </c>
      <c r="G874" s="4">
        <f t="shared" si="67"/>
        <v>-26440</v>
      </c>
    </row>
    <row r="875" spans="2:7" x14ac:dyDescent="0.3">
      <c r="B875" s="2">
        <v>862</v>
      </c>
      <c r="C875" s="2">
        <f t="shared" si="68"/>
        <v>912000</v>
      </c>
      <c r="D875" s="4">
        <v>0</v>
      </c>
      <c r="E875" s="4">
        <f t="shared" si="65"/>
        <v>10800</v>
      </c>
      <c r="F875" s="4">
        <f t="shared" si="66"/>
        <v>37280</v>
      </c>
      <c r="G875" s="4">
        <f t="shared" si="67"/>
        <v>-26480</v>
      </c>
    </row>
    <row r="876" spans="2:7" x14ac:dyDescent="0.3">
      <c r="B876" s="2">
        <v>863</v>
      </c>
      <c r="C876" s="2">
        <f t="shared" si="68"/>
        <v>913000</v>
      </c>
      <c r="D876" s="4">
        <v>0</v>
      </c>
      <c r="E876" s="4">
        <f t="shared" si="65"/>
        <v>10800</v>
      </c>
      <c r="F876" s="4">
        <f t="shared" si="66"/>
        <v>37320</v>
      </c>
      <c r="G876" s="4">
        <f t="shared" si="67"/>
        <v>-26520</v>
      </c>
    </row>
    <row r="877" spans="2:7" x14ac:dyDescent="0.3">
      <c r="B877" s="2">
        <v>864</v>
      </c>
      <c r="C877" s="2">
        <f t="shared" si="68"/>
        <v>914000</v>
      </c>
      <c r="D877" s="4">
        <v>0</v>
      </c>
      <c r="E877" s="4">
        <f t="shared" si="65"/>
        <v>10800</v>
      </c>
      <c r="F877" s="4">
        <f t="shared" si="66"/>
        <v>37360</v>
      </c>
      <c r="G877" s="4">
        <f t="shared" si="67"/>
        <v>-26560</v>
      </c>
    </row>
    <row r="878" spans="2:7" x14ac:dyDescent="0.3">
      <c r="B878" s="2">
        <v>865</v>
      </c>
      <c r="C878" s="2">
        <f t="shared" si="68"/>
        <v>915000</v>
      </c>
      <c r="D878" s="4">
        <v>0</v>
      </c>
      <c r="E878" s="4">
        <f t="shared" si="65"/>
        <v>10800</v>
      </c>
      <c r="F878" s="4">
        <f t="shared" si="66"/>
        <v>37400</v>
      </c>
      <c r="G878" s="4">
        <f t="shared" si="67"/>
        <v>-26600</v>
      </c>
    </row>
    <row r="879" spans="2:7" x14ac:dyDescent="0.3">
      <c r="B879" s="2">
        <v>866</v>
      </c>
      <c r="C879" s="2">
        <f t="shared" si="68"/>
        <v>916000</v>
      </c>
      <c r="D879" s="4">
        <v>0</v>
      </c>
      <c r="E879" s="4">
        <f t="shared" si="65"/>
        <v>10800</v>
      </c>
      <c r="F879" s="4">
        <f t="shared" si="66"/>
        <v>37440</v>
      </c>
      <c r="G879" s="4">
        <f t="shared" si="67"/>
        <v>-26640</v>
      </c>
    </row>
    <row r="880" spans="2:7" x14ac:dyDescent="0.3">
      <c r="B880" s="2">
        <v>867</v>
      </c>
      <c r="C880" s="2">
        <f t="shared" si="68"/>
        <v>917000</v>
      </c>
      <c r="D880" s="4">
        <v>0</v>
      </c>
      <c r="E880" s="4">
        <f t="shared" si="65"/>
        <v>10800</v>
      </c>
      <c r="F880" s="4">
        <f t="shared" si="66"/>
        <v>37480</v>
      </c>
      <c r="G880" s="4">
        <f t="shared" si="67"/>
        <v>-26680</v>
      </c>
    </row>
    <row r="881" spans="2:7" x14ac:dyDescent="0.3">
      <c r="B881" s="2">
        <v>868</v>
      </c>
      <c r="C881" s="2">
        <f t="shared" si="68"/>
        <v>918000</v>
      </c>
      <c r="D881" s="4">
        <v>0</v>
      </c>
      <c r="E881" s="4">
        <f t="shared" si="65"/>
        <v>10800</v>
      </c>
      <c r="F881" s="4">
        <f t="shared" si="66"/>
        <v>37520</v>
      </c>
      <c r="G881" s="4">
        <f t="shared" si="67"/>
        <v>-26720</v>
      </c>
    </row>
    <row r="882" spans="2:7" x14ac:dyDescent="0.3">
      <c r="B882" s="2">
        <v>869</v>
      </c>
      <c r="C882" s="2">
        <f t="shared" si="68"/>
        <v>919000</v>
      </c>
      <c r="D882" s="4">
        <v>0</v>
      </c>
      <c r="E882" s="4">
        <f t="shared" si="65"/>
        <v>10800</v>
      </c>
      <c r="F882" s="4">
        <f t="shared" si="66"/>
        <v>37560</v>
      </c>
      <c r="G882" s="4">
        <f t="shared" si="67"/>
        <v>-26760</v>
      </c>
    </row>
    <row r="883" spans="2:7" x14ac:dyDescent="0.3">
      <c r="B883" s="2">
        <v>870</v>
      </c>
      <c r="C883" s="2">
        <f t="shared" si="68"/>
        <v>920000</v>
      </c>
      <c r="D883" s="4">
        <v>0</v>
      </c>
      <c r="E883" s="4">
        <f t="shared" si="65"/>
        <v>10800</v>
      </c>
      <c r="F883" s="4">
        <f t="shared" si="66"/>
        <v>37600</v>
      </c>
      <c r="G883" s="4">
        <f t="shared" si="67"/>
        <v>-26800</v>
      </c>
    </row>
    <row r="884" spans="2:7" x14ac:dyDescent="0.3">
      <c r="B884" s="2">
        <v>871</v>
      </c>
      <c r="C884" s="2">
        <f t="shared" si="68"/>
        <v>921000</v>
      </c>
      <c r="D884" s="4">
        <v>0</v>
      </c>
      <c r="E884" s="4">
        <f t="shared" si="65"/>
        <v>10800</v>
      </c>
      <c r="F884" s="4">
        <f t="shared" si="66"/>
        <v>37640</v>
      </c>
      <c r="G884" s="4">
        <f t="shared" si="67"/>
        <v>-26840</v>
      </c>
    </row>
    <row r="885" spans="2:7" x14ac:dyDescent="0.3">
      <c r="B885" s="2">
        <v>872</v>
      </c>
      <c r="C885" s="2">
        <f t="shared" si="68"/>
        <v>922000</v>
      </c>
      <c r="D885" s="4">
        <v>0</v>
      </c>
      <c r="E885" s="4">
        <f t="shared" si="65"/>
        <v>10800</v>
      </c>
      <c r="F885" s="4">
        <f t="shared" si="66"/>
        <v>37680</v>
      </c>
      <c r="G885" s="4">
        <f t="shared" si="67"/>
        <v>-26880</v>
      </c>
    </row>
    <row r="886" spans="2:7" x14ac:dyDescent="0.3">
      <c r="B886" s="2">
        <v>873</v>
      </c>
      <c r="C886" s="2">
        <f t="shared" si="68"/>
        <v>923000</v>
      </c>
      <c r="D886" s="4">
        <v>0</v>
      </c>
      <c r="E886" s="4">
        <f t="shared" si="65"/>
        <v>10800</v>
      </c>
      <c r="F886" s="4">
        <f t="shared" si="66"/>
        <v>37720</v>
      </c>
      <c r="G886" s="4">
        <f t="shared" si="67"/>
        <v>-26920</v>
      </c>
    </row>
    <row r="887" spans="2:7" x14ac:dyDescent="0.3">
      <c r="B887" s="2">
        <v>874</v>
      </c>
      <c r="C887" s="2">
        <f t="shared" si="68"/>
        <v>924000</v>
      </c>
      <c r="D887" s="4">
        <v>0</v>
      </c>
      <c r="E887" s="4">
        <f t="shared" si="65"/>
        <v>10800</v>
      </c>
      <c r="F887" s="4">
        <f t="shared" si="66"/>
        <v>37760</v>
      </c>
      <c r="G887" s="4">
        <f t="shared" si="67"/>
        <v>-26960</v>
      </c>
    </row>
    <row r="888" spans="2:7" x14ac:dyDescent="0.3">
      <c r="B888" s="2">
        <v>875</v>
      </c>
      <c r="C888" s="2">
        <f t="shared" si="68"/>
        <v>925000</v>
      </c>
      <c r="D888" s="4">
        <v>0</v>
      </c>
      <c r="E888" s="4">
        <f t="shared" si="65"/>
        <v>10800</v>
      </c>
      <c r="F888" s="4">
        <f t="shared" si="66"/>
        <v>37800</v>
      </c>
      <c r="G888" s="4">
        <f t="shared" si="67"/>
        <v>-27000</v>
      </c>
    </row>
    <row r="889" spans="2:7" x14ac:dyDescent="0.3">
      <c r="B889" s="2">
        <v>876</v>
      </c>
      <c r="C889" s="2">
        <f t="shared" si="68"/>
        <v>926000</v>
      </c>
      <c r="D889" s="4">
        <v>0</v>
      </c>
      <c r="E889" s="4">
        <f t="shared" si="65"/>
        <v>10800</v>
      </c>
      <c r="F889" s="4">
        <f t="shared" si="66"/>
        <v>37840</v>
      </c>
      <c r="G889" s="4">
        <f t="shared" si="67"/>
        <v>-27040</v>
      </c>
    </row>
    <row r="890" spans="2:7" x14ac:dyDescent="0.3">
      <c r="B890" s="2">
        <v>877</v>
      </c>
      <c r="C890" s="2">
        <f t="shared" si="68"/>
        <v>927000</v>
      </c>
      <c r="D890" s="4">
        <v>0</v>
      </c>
      <c r="E890" s="4">
        <f t="shared" si="65"/>
        <v>10800</v>
      </c>
      <c r="F890" s="4">
        <f t="shared" si="66"/>
        <v>37880</v>
      </c>
      <c r="G890" s="4">
        <f t="shared" si="67"/>
        <v>-27080</v>
      </c>
    </row>
    <row r="891" spans="2:7" x14ac:dyDescent="0.3">
      <c r="B891" s="2">
        <v>878</v>
      </c>
      <c r="C891" s="2">
        <f t="shared" si="68"/>
        <v>928000</v>
      </c>
      <c r="D891" s="4">
        <v>0</v>
      </c>
      <c r="E891" s="4">
        <f t="shared" si="65"/>
        <v>10800</v>
      </c>
      <c r="F891" s="4">
        <f t="shared" si="66"/>
        <v>37920</v>
      </c>
      <c r="G891" s="4">
        <f t="shared" si="67"/>
        <v>-27120</v>
      </c>
    </row>
    <row r="892" spans="2:7" x14ac:dyDescent="0.3">
      <c r="B892" s="2">
        <v>879</v>
      </c>
      <c r="C892" s="2">
        <f t="shared" si="68"/>
        <v>929000</v>
      </c>
      <c r="D892" s="4">
        <v>0</v>
      </c>
      <c r="E892" s="4">
        <f t="shared" si="65"/>
        <v>10800</v>
      </c>
      <c r="F892" s="4">
        <f t="shared" si="66"/>
        <v>37960</v>
      </c>
      <c r="G892" s="4">
        <f t="shared" si="67"/>
        <v>-27160</v>
      </c>
    </row>
    <row r="893" spans="2:7" x14ac:dyDescent="0.3">
      <c r="B893" s="2">
        <v>880</v>
      </c>
      <c r="C893" s="2">
        <f t="shared" si="68"/>
        <v>930000</v>
      </c>
      <c r="D893" s="4">
        <v>0</v>
      </c>
      <c r="E893" s="4">
        <f t="shared" si="65"/>
        <v>10800</v>
      </c>
      <c r="F893" s="4">
        <f t="shared" si="66"/>
        <v>38000</v>
      </c>
      <c r="G893" s="4">
        <f t="shared" si="67"/>
        <v>-27200</v>
      </c>
    </row>
    <row r="894" spans="2:7" x14ac:dyDescent="0.3">
      <c r="B894" s="2">
        <v>881</v>
      </c>
      <c r="C894" s="2">
        <f t="shared" si="68"/>
        <v>931000</v>
      </c>
      <c r="D894" s="4">
        <v>0</v>
      </c>
      <c r="E894" s="4">
        <f t="shared" si="65"/>
        <v>10800</v>
      </c>
      <c r="F894" s="4">
        <f t="shared" si="66"/>
        <v>38040</v>
      </c>
      <c r="G894" s="4">
        <f t="shared" si="67"/>
        <v>-27240</v>
      </c>
    </row>
    <row r="895" spans="2:7" x14ac:dyDescent="0.3">
      <c r="B895" s="2">
        <v>882</v>
      </c>
      <c r="C895" s="2">
        <f t="shared" si="68"/>
        <v>932000</v>
      </c>
      <c r="D895" s="4">
        <v>0</v>
      </c>
      <c r="E895" s="4">
        <f t="shared" si="65"/>
        <v>10800</v>
      </c>
      <c r="F895" s="4">
        <f t="shared" si="66"/>
        <v>38080</v>
      </c>
      <c r="G895" s="4">
        <f t="shared" si="67"/>
        <v>-27280</v>
      </c>
    </row>
    <row r="896" spans="2:7" x14ac:dyDescent="0.3">
      <c r="B896" s="2">
        <v>883</v>
      </c>
      <c r="C896" s="2">
        <f t="shared" si="68"/>
        <v>933000</v>
      </c>
      <c r="D896" s="4">
        <v>0</v>
      </c>
      <c r="E896" s="4">
        <f t="shared" si="65"/>
        <v>10800</v>
      </c>
      <c r="F896" s="4">
        <f t="shared" si="66"/>
        <v>38120</v>
      </c>
      <c r="G896" s="4">
        <f t="shared" si="67"/>
        <v>-27320</v>
      </c>
    </row>
    <row r="897" spans="2:7" x14ac:dyDescent="0.3">
      <c r="B897" s="2">
        <v>884</v>
      </c>
      <c r="C897" s="2">
        <f t="shared" si="68"/>
        <v>934000</v>
      </c>
      <c r="D897" s="4">
        <v>0</v>
      </c>
      <c r="E897" s="4">
        <f t="shared" si="65"/>
        <v>10800</v>
      </c>
      <c r="F897" s="4">
        <f t="shared" si="66"/>
        <v>38160</v>
      </c>
      <c r="G897" s="4">
        <f t="shared" si="67"/>
        <v>-27360</v>
      </c>
    </row>
    <row r="898" spans="2:7" x14ac:dyDescent="0.3">
      <c r="B898" s="2">
        <v>885</v>
      </c>
      <c r="C898" s="2">
        <f t="shared" si="68"/>
        <v>935000</v>
      </c>
      <c r="D898" s="4">
        <v>0</v>
      </c>
      <c r="E898" s="4">
        <f t="shared" si="65"/>
        <v>10800</v>
      </c>
      <c r="F898" s="4">
        <f t="shared" si="66"/>
        <v>38200</v>
      </c>
      <c r="G898" s="4">
        <f t="shared" si="67"/>
        <v>-27400</v>
      </c>
    </row>
    <row r="899" spans="2:7" x14ac:dyDescent="0.3">
      <c r="B899" s="2">
        <v>886</v>
      </c>
      <c r="C899" s="2">
        <f t="shared" si="68"/>
        <v>936000</v>
      </c>
      <c r="D899" s="4">
        <v>0</v>
      </c>
      <c r="E899" s="4">
        <f t="shared" si="65"/>
        <v>10800</v>
      </c>
      <c r="F899" s="4">
        <f t="shared" si="66"/>
        <v>38240</v>
      </c>
      <c r="G899" s="4">
        <f t="shared" si="67"/>
        <v>-27440</v>
      </c>
    </row>
    <row r="900" spans="2:7" x14ac:dyDescent="0.3">
      <c r="B900" s="2">
        <v>887</v>
      </c>
      <c r="C900" s="2">
        <f t="shared" si="68"/>
        <v>937000</v>
      </c>
      <c r="D900" s="4">
        <v>0</v>
      </c>
      <c r="E900" s="4">
        <f t="shared" si="65"/>
        <v>10800</v>
      </c>
      <c r="F900" s="4">
        <f t="shared" si="66"/>
        <v>38280</v>
      </c>
      <c r="G900" s="4">
        <f t="shared" si="67"/>
        <v>-27480</v>
      </c>
    </row>
    <row r="901" spans="2:7" x14ac:dyDescent="0.3">
      <c r="B901" s="2">
        <v>888</v>
      </c>
      <c r="C901" s="2">
        <f t="shared" si="68"/>
        <v>938000</v>
      </c>
      <c r="D901" s="4">
        <v>0</v>
      </c>
      <c r="E901" s="4">
        <f t="shared" si="65"/>
        <v>10800</v>
      </c>
      <c r="F901" s="4">
        <f t="shared" si="66"/>
        <v>38320</v>
      </c>
      <c r="G901" s="4">
        <f t="shared" si="67"/>
        <v>-27520</v>
      </c>
    </row>
    <row r="902" spans="2:7" x14ac:dyDescent="0.3">
      <c r="B902" s="2">
        <v>889</v>
      </c>
      <c r="C902" s="2">
        <f t="shared" si="68"/>
        <v>939000</v>
      </c>
      <c r="D902" s="4">
        <v>0</v>
      </c>
      <c r="E902" s="4">
        <f t="shared" si="65"/>
        <v>10800</v>
      </c>
      <c r="F902" s="4">
        <f t="shared" si="66"/>
        <v>38360</v>
      </c>
      <c r="G902" s="4">
        <f t="shared" si="67"/>
        <v>-27560</v>
      </c>
    </row>
    <row r="903" spans="2:7" x14ac:dyDescent="0.3">
      <c r="B903" s="2">
        <v>890</v>
      </c>
      <c r="C903" s="2">
        <f t="shared" si="68"/>
        <v>940000</v>
      </c>
      <c r="D903" s="4">
        <v>0</v>
      </c>
      <c r="E903" s="4">
        <f t="shared" si="65"/>
        <v>10800</v>
      </c>
      <c r="F903" s="4">
        <f t="shared" si="66"/>
        <v>38400</v>
      </c>
      <c r="G903" s="4">
        <f t="shared" si="67"/>
        <v>-27600</v>
      </c>
    </row>
    <row r="904" spans="2:7" x14ac:dyDescent="0.3">
      <c r="B904" s="2">
        <v>891</v>
      </c>
      <c r="C904" s="2">
        <f t="shared" si="68"/>
        <v>941000</v>
      </c>
      <c r="D904" s="4">
        <v>0</v>
      </c>
      <c r="E904" s="4">
        <f t="shared" si="65"/>
        <v>10800</v>
      </c>
      <c r="F904" s="4">
        <f t="shared" si="66"/>
        <v>38440</v>
      </c>
      <c r="G904" s="4">
        <f t="shared" si="67"/>
        <v>-27640</v>
      </c>
    </row>
    <row r="905" spans="2:7" x14ac:dyDescent="0.3">
      <c r="B905" s="2">
        <v>892</v>
      </c>
      <c r="C905" s="2">
        <f t="shared" si="68"/>
        <v>942000</v>
      </c>
      <c r="D905" s="4">
        <v>0</v>
      </c>
      <c r="E905" s="4">
        <f t="shared" si="65"/>
        <v>10800</v>
      </c>
      <c r="F905" s="4">
        <f t="shared" si="66"/>
        <v>38480</v>
      </c>
      <c r="G905" s="4">
        <f t="shared" si="67"/>
        <v>-27680</v>
      </c>
    </row>
    <row r="906" spans="2:7" x14ac:dyDescent="0.3">
      <c r="B906" s="2">
        <v>893</v>
      </c>
      <c r="C906" s="2">
        <f t="shared" si="68"/>
        <v>943000</v>
      </c>
      <c r="D906" s="4">
        <v>0</v>
      </c>
      <c r="E906" s="4">
        <f t="shared" si="65"/>
        <v>10800</v>
      </c>
      <c r="F906" s="4">
        <f t="shared" si="66"/>
        <v>38520</v>
      </c>
      <c r="G906" s="4">
        <f t="shared" si="67"/>
        <v>-27720</v>
      </c>
    </row>
    <row r="907" spans="2:7" x14ac:dyDescent="0.3">
      <c r="B907" s="2">
        <v>894</v>
      </c>
      <c r="C907" s="2">
        <f t="shared" si="68"/>
        <v>944000</v>
      </c>
      <c r="D907" s="4">
        <v>0</v>
      </c>
      <c r="E907" s="4">
        <f t="shared" si="65"/>
        <v>10800</v>
      </c>
      <c r="F907" s="4">
        <f t="shared" si="66"/>
        <v>38560</v>
      </c>
      <c r="G907" s="4">
        <f t="shared" si="67"/>
        <v>-27760</v>
      </c>
    </row>
    <row r="908" spans="2:7" x14ac:dyDescent="0.3">
      <c r="B908" s="2">
        <v>895</v>
      </c>
      <c r="C908" s="2">
        <f t="shared" si="68"/>
        <v>945000</v>
      </c>
      <c r="D908" s="4">
        <v>0</v>
      </c>
      <c r="E908" s="4">
        <f t="shared" si="65"/>
        <v>10800</v>
      </c>
      <c r="F908" s="4">
        <f t="shared" si="66"/>
        <v>38600</v>
      </c>
      <c r="G908" s="4">
        <f t="shared" si="67"/>
        <v>-27800</v>
      </c>
    </row>
    <row r="909" spans="2:7" x14ac:dyDescent="0.3">
      <c r="B909" s="2">
        <v>896</v>
      </c>
      <c r="C909" s="2">
        <f t="shared" si="68"/>
        <v>946000</v>
      </c>
      <c r="D909" s="4">
        <v>0</v>
      </c>
      <c r="E909" s="4">
        <f t="shared" si="65"/>
        <v>10800</v>
      </c>
      <c r="F909" s="4">
        <f t="shared" si="66"/>
        <v>38640</v>
      </c>
      <c r="G909" s="4">
        <f t="shared" si="67"/>
        <v>-27840</v>
      </c>
    </row>
    <row r="910" spans="2:7" x14ac:dyDescent="0.3">
      <c r="B910" s="2">
        <v>897</v>
      </c>
      <c r="C910" s="2">
        <f t="shared" si="68"/>
        <v>947000</v>
      </c>
      <c r="D910" s="4">
        <v>0</v>
      </c>
      <c r="E910" s="4">
        <f t="shared" ref="E910:E973" si="69">$C$3+$C$4*$C$6-D910</f>
        <v>10800</v>
      </c>
      <c r="F910" s="4">
        <f t="shared" ref="F910:F973" si="70">$F$3*$C$7+$F$4*C910</f>
        <v>38680</v>
      </c>
      <c r="G910" s="4">
        <f t="shared" ref="G910:G973" si="71">E910-F910</f>
        <v>-27880</v>
      </c>
    </row>
    <row r="911" spans="2:7" x14ac:dyDescent="0.3">
      <c r="B911" s="2">
        <v>898</v>
      </c>
      <c r="C911" s="2">
        <f t="shared" ref="C911:C974" si="72">$C$8+(B911*1000)</f>
        <v>948000</v>
      </c>
      <c r="D911" s="4">
        <v>0</v>
      </c>
      <c r="E911" s="4">
        <f t="shared" si="69"/>
        <v>10800</v>
      </c>
      <c r="F911" s="4">
        <f t="shared" si="70"/>
        <v>38720</v>
      </c>
      <c r="G911" s="4">
        <f t="shared" si="71"/>
        <v>-27920</v>
      </c>
    </row>
    <row r="912" spans="2:7" x14ac:dyDescent="0.3">
      <c r="B912" s="2">
        <v>899</v>
      </c>
      <c r="C912" s="2">
        <f t="shared" si="72"/>
        <v>949000</v>
      </c>
      <c r="D912" s="4">
        <v>0</v>
      </c>
      <c r="E912" s="4">
        <f t="shared" si="69"/>
        <v>10800</v>
      </c>
      <c r="F912" s="4">
        <f t="shared" si="70"/>
        <v>38760</v>
      </c>
      <c r="G912" s="4">
        <f t="shared" si="71"/>
        <v>-27960</v>
      </c>
    </row>
    <row r="913" spans="2:7" x14ac:dyDescent="0.3">
      <c r="B913" s="2">
        <v>900</v>
      </c>
      <c r="C913" s="2">
        <f t="shared" si="72"/>
        <v>950000</v>
      </c>
      <c r="D913" s="4">
        <v>0</v>
      </c>
      <c r="E913" s="4">
        <f t="shared" si="69"/>
        <v>10800</v>
      </c>
      <c r="F913" s="4">
        <f t="shared" si="70"/>
        <v>38800</v>
      </c>
      <c r="G913" s="4">
        <f t="shared" si="71"/>
        <v>-28000</v>
      </c>
    </row>
    <row r="914" spans="2:7" x14ac:dyDescent="0.3">
      <c r="B914" s="2">
        <v>901</v>
      </c>
      <c r="C914" s="2">
        <f t="shared" si="72"/>
        <v>951000</v>
      </c>
      <c r="D914" s="4">
        <v>0</v>
      </c>
      <c r="E914" s="4">
        <f t="shared" si="69"/>
        <v>10800</v>
      </c>
      <c r="F914" s="4">
        <f t="shared" si="70"/>
        <v>38840</v>
      </c>
      <c r="G914" s="4">
        <f t="shared" si="71"/>
        <v>-28040</v>
      </c>
    </row>
    <row r="915" spans="2:7" x14ac:dyDescent="0.3">
      <c r="B915" s="2">
        <v>902</v>
      </c>
      <c r="C915" s="2">
        <f t="shared" si="72"/>
        <v>952000</v>
      </c>
      <c r="D915" s="4">
        <v>0</v>
      </c>
      <c r="E915" s="4">
        <f t="shared" si="69"/>
        <v>10800</v>
      </c>
      <c r="F915" s="4">
        <f t="shared" si="70"/>
        <v>38880</v>
      </c>
      <c r="G915" s="4">
        <f t="shared" si="71"/>
        <v>-28080</v>
      </c>
    </row>
    <row r="916" spans="2:7" x14ac:dyDescent="0.3">
      <c r="B916" s="2">
        <v>903</v>
      </c>
      <c r="C916" s="2">
        <f t="shared" si="72"/>
        <v>953000</v>
      </c>
      <c r="D916" s="4">
        <v>0</v>
      </c>
      <c r="E916" s="4">
        <f t="shared" si="69"/>
        <v>10800</v>
      </c>
      <c r="F916" s="4">
        <f t="shared" si="70"/>
        <v>38920</v>
      </c>
      <c r="G916" s="4">
        <f t="shared" si="71"/>
        <v>-28120</v>
      </c>
    </row>
    <row r="917" spans="2:7" x14ac:dyDescent="0.3">
      <c r="B917" s="2">
        <v>904</v>
      </c>
      <c r="C917" s="2">
        <f t="shared" si="72"/>
        <v>954000</v>
      </c>
      <c r="D917" s="4">
        <v>0</v>
      </c>
      <c r="E917" s="4">
        <f t="shared" si="69"/>
        <v>10800</v>
      </c>
      <c r="F917" s="4">
        <f t="shared" si="70"/>
        <v>38960</v>
      </c>
      <c r="G917" s="4">
        <f t="shared" si="71"/>
        <v>-28160</v>
      </c>
    </row>
    <row r="918" spans="2:7" x14ac:dyDescent="0.3">
      <c r="B918" s="2">
        <v>905</v>
      </c>
      <c r="C918" s="2">
        <f t="shared" si="72"/>
        <v>955000</v>
      </c>
      <c r="D918" s="4">
        <v>0</v>
      </c>
      <c r="E918" s="4">
        <f t="shared" si="69"/>
        <v>10800</v>
      </c>
      <c r="F918" s="4">
        <f t="shared" si="70"/>
        <v>39000</v>
      </c>
      <c r="G918" s="4">
        <f t="shared" si="71"/>
        <v>-28200</v>
      </c>
    </row>
    <row r="919" spans="2:7" x14ac:dyDescent="0.3">
      <c r="B919" s="2">
        <v>906</v>
      </c>
      <c r="C919" s="2">
        <f t="shared" si="72"/>
        <v>956000</v>
      </c>
      <c r="D919" s="4">
        <v>0</v>
      </c>
      <c r="E919" s="4">
        <f t="shared" si="69"/>
        <v>10800</v>
      </c>
      <c r="F919" s="4">
        <f t="shared" si="70"/>
        <v>39040</v>
      </c>
      <c r="G919" s="4">
        <f t="shared" si="71"/>
        <v>-28240</v>
      </c>
    </row>
    <row r="920" spans="2:7" x14ac:dyDescent="0.3">
      <c r="B920" s="2">
        <v>907</v>
      </c>
      <c r="C920" s="2">
        <f t="shared" si="72"/>
        <v>957000</v>
      </c>
      <c r="D920" s="4">
        <v>0</v>
      </c>
      <c r="E920" s="4">
        <f t="shared" si="69"/>
        <v>10800</v>
      </c>
      <c r="F920" s="4">
        <f t="shared" si="70"/>
        <v>39080</v>
      </c>
      <c r="G920" s="4">
        <f t="shared" si="71"/>
        <v>-28280</v>
      </c>
    </row>
    <row r="921" spans="2:7" x14ac:dyDescent="0.3">
      <c r="B921" s="2">
        <v>908</v>
      </c>
      <c r="C921" s="2">
        <f t="shared" si="72"/>
        <v>958000</v>
      </c>
      <c r="D921" s="4">
        <v>0</v>
      </c>
      <c r="E921" s="4">
        <f t="shared" si="69"/>
        <v>10800</v>
      </c>
      <c r="F921" s="4">
        <f t="shared" si="70"/>
        <v>39120</v>
      </c>
      <c r="G921" s="4">
        <f t="shared" si="71"/>
        <v>-28320</v>
      </c>
    </row>
    <row r="922" spans="2:7" x14ac:dyDescent="0.3">
      <c r="B922" s="2">
        <v>909</v>
      </c>
      <c r="C922" s="2">
        <f t="shared" si="72"/>
        <v>959000</v>
      </c>
      <c r="D922" s="4">
        <v>0</v>
      </c>
      <c r="E922" s="4">
        <f t="shared" si="69"/>
        <v>10800</v>
      </c>
      <c r="F922" s="4">
        <f t="shared" si="70"/>
        <v>39160</v>
      </c>
      <c r="G922" s="4">
        <f t="shared" si="71"/>
        <v>-28360</v>
      </c>
    </row>
    <row r="923" spans="2:7" x14ac:dyDescent="0.3">
      <c r="B923" s="2">
        <v>910</v>
      </c>
      <c r="C923" s="2">
        <f t="shared" si="72"/>
        <v>960000</v>
      </c>
      <c r="D923" s="4">
        <v>0</v>
      </c>
      <c r="E923" s="4">
        <f t="shared" si="69"/>
        <v>10800</v>
      </c>
      <c r="F923" s="4">
        <f t="shared" si="70"/>
        <v>39200</v>
      </c>
      <c r="G923" s="4">
        <f t="shared" si="71"/>
        <v>-28400</v>
      </c>
    </row>
    <row r="924" spans="2:7" x14ac:dyDescent="0.3">
      <c r="B924" s="2">
        <v>911</v>
      </c>
      <c r="C924" s="2">
        <f t="shared" si="72"/>
        <v>961000</v>
      </c>
      <c r="D924" s="4">
        <v>0</v>
      </c>
      <c r="E924" s="4">
        <f t="shared" si="69"/>
        <v>10800</v>
      </c>
      <c r="F924" s="4">
        <f t="shared" si="70"/>
        <v>39240</v>
      </c>
      <c r="G924" s="4">
        <f t="shared" si="71"/>
        <v>-28440</v>
      </c>
    </row>
    <row r="925" spans="2:7" x14ac:dyDescent="0.3">
      <c r="B925" s="2">
        <v>912</v>
      </c>
      <c r="C925" s="2">
        <f t="shared" si="72"/>
        <v>962000</v>
      </c>
      <c r="D925" s="4">
        <v>0</v>
      </c>
      <c r="E925" s="4">
        <f t="shared" si="69"/>
        <v>10800</v>
      </c>
      <c r="F925" s="4">
        <f t="shared" si="70"/>
        <v>39280</v>
      </c>
      <c r="G925" s="4">
        <f t="shared" si="71"/>
        <v>-28480</v>
      </c>
    </row>
    <row r="926" spans="2:7" x14ac:dyDescent="0.3">
      <c r="B926" s="2">
        <v>913</v>
      </c>
      <c r="C926" s="2">
        <f t="shared" si="72"/>
        <v>963000</v>
      </c>
      <c r="D926" s="4">
        <v>0</v>
      </c>
      <c r="E926" s="4">
        <f t="shared" si="69"/>
        <v>10800</v>
      </c>
      <c r="F926" s="4">
        <f t="shared" si="70"/>
        <v>39320</v>
      </c>
      <c r="G926" s="4">
        <f t="shared" si="71"/>
        <v>-28520</v>
      </c>
    </row>
    <row r="927" spans="2:7" x14ac:dyDescent="0.3">
      <c r="B927" s="2">
        <v>914</v>
      </c>
      <c r="C927" s="2">
        <f t="shared" si="72"/>
        <v>964000</v>
      </c>
      <c r="D927" s="4">
        <v>0</v>
      </c>
      <c r="E927" s="4">
        <f t="shared" si="69"/>
        <v>10800</v>
      </c>
      <c r="F927" s="4">
        <f t="shared" si="70"/>
        <v>39360</v>
      </c>
      <c r="G927" s="4">
        <f t="shared" si="71"/>
        <v>-28560</v>
      </c>
    </row>
    <row r="928" spans="2:7" x14ac:dyDescent="0.3">
      <c r="B928" s="2">
        <v>915</v>
      </c>
      <c r="C928" s="2">
        <f t="shared" si="72"/>
        <v>965000</v>
      </c>
      <c r="D928" s="4">
        <v>0</v>
      </c>
      <c r="E928" s="4">
        <f t="shared" si="69"/>
        <v>10800</v>
      </c>
      <c r="F928" s="4">
        <f t="shared" si="70"/>
        <v>39400</v>
      </c>
      <c r="G928" s="4">
        <f t="shared" si="71"/>
        <v>-28600</v>
      </c>
    </row>
    <row r="929" spans="2:7" x14ac:dyDescent="0.3">
      <c r="B929" s="2">
        <v>916</v>
      </c>
      <c r="C929" s="2">
        <f t="shared" si="72"/>
        <v>966000</v>
      </c>
      <c r="D929" s="4">
        <v>0</v>
      </c>
      <c r="E929" s="4">
        <f t="shared" si="69"/>
        <v>10800</v>
      </c>
      <c r="F929" s="4">
        <f t="shared" si="70"/>
        <v>39440</v>
      </c>
      <c r="G929" s="4">
        <f t="shared" si="71"/>
        <v>-28640</v>
      </c>
    </row>
    <row r="930" spans="2:7" x14ac:dyDescent="0.3">
      <c r="B930" s="2">
        <v>917</v>
      </c>
      <c r="C930" s="2">
        <f t="shared" si="72"/>
        <v>967000</v>
      </c>
      <c r="D930" s="4">
        <v>0</v>
      </c>
      <c r="E930" s="4">
        <f t="shared" si="69"/>
        <v>10800</v>
      </c>
      <c r="F930" s="4">
        <f t="shared" si="70"/>
        <v>39480</v>
      </c>
      <c r="G930" s="4">
        <f t="shared" si="71"/>
        <v>-28680</v>
      </c>
    </row>
    <row r="931" spans="2:7" x14ac:dyDescent="0.3">
      <c r="B931" s="2">
        <v>918</v>
      </c>
      <c r="C931" s="2">
        <f t="shared" si="72"/>
        <v>968000</v>
      </c>
      <c r="D931" s="4">
        <v>0</v>
      </c>
      <c r="E931" s="4">
        <f t="shared" si="69"/>
        <v>10800</v>
      </c>
      <c r="F931" s="4">
        <f t="shared" si="70"/>
        <v>39520</v>
      </c>
      <c r="G931" s="4">
        <f t="shared" si="71"/>
        <v>-28720</v>
      </c>
    </row>
    <row r="932" spans="2:7" x14ac:dyDescent="0.3">
      <c r="B932" s="2">
        <v>919</v>
      </c>
      <c r="C932" s="2">
        <f t="shared" si="72"/>
        <v>969000</v>
      </c>
      <c r="D932" s="4">
        <v>0</v>
      </c>
      <c r="E932" s="4">
        <f t="shared" si="69"/>
        <v>10800</v>
      </c>
      <c r="F932" s="4">
        <f t="shared" si="70"/>
        <v>39560</v>
      </c>
      <c r="G932" s="4">
        <f t="shared" si="71"/>
        <v>-28760</v>
      </c>
    </row>
    <row r="933" spans="2:7" x14ac:dyDescent="0.3">
      <c r="B933" s="2">
        <v>920</v>
      </c>
      <c r="C933" s="2">
        <f t="shared" si="72"/>
        <v>970000</v>
      </c>
      <c r="D933" s="4">
        <v>0</v>
      </c>
      <c r="E933" s="4">
        <f t="shared" si="69"/>
        <v>10800</v>
      </c>
      <c r="F933" s="4">
        <f t="shared" si="70"/>
        <v>39600</v>
      </c>
      <c r="G933" s="4">
        <f t="shared" si="71"/>
        <v>-28800</v>
      </c>
    </row>
    <row r="934" spans="2:7" x14ac:dyDescent="0.3">
      <c r="B934" s="2">
        <v>921</v>
      </c>
      <c r="C934" s="2">
        <f t="shared" si="72"/>
        <v>971000</v>
      </c>
      <c r="D934" s="4">
        <v>0</v>
      </c>
      <c r="E934" s="4">
        <f t="shared" si="69"/>
        <v>10800</v>
      </c>
      <c r="F934" s="4">
        <f t="shared" si="70"/>
        <v>39640</v>
      </c>
      <c r="G934" s="4">
        <f t="shared" si="71"/>
        <v>-28840</v>
      </c>
    </row>
    <row r="935" spans="2:7" x14ac:dyDescent="0.3">
      <c r="B935" s="2">
        <v>922</v>
      </c>
      <c r="C935" s="2">
        <f t="shared" si="72"/>
        <v>972000</v>
      </c>
      <c r="D935" s="4">
        <v>0</v>
      </c>
      <c r="E935" s="4">
        <f t="shared" si="69"/>
        <v>10800</v>
      </c>
      <c r="F935" s="4">
        <f t="shared" si="70"/>
        <v>39680</v>
      </c>
      <c r="G935" s="4">
        <f t="shared" si="71"/>
        <v>-28880</v>
      </c>
    </row>
    <row r="936" spans="2:7" x14ac:dyDescent="0.3">
      <c r="B936" s="2">
        <v>923</v>
      </c>
      <c r="C936" s="2">
        <f t="shared" si="72"/>
        <v>973000</v>
      </c>
      <c r="D936" s="4">
        <v>0</v>
      </c>
      <c r="E936" s="4">
        <f t="shared" si="69"/>
        <v>10800</v>
      </c>
      <c r="F936" s="4">
        <f t="shared" si="70"/>
        <v>39720</v>
      </c>
      <c r="G936" s="4">
        <f t="shared" si="71"/>
        <v>-28920</v>
      </c>
    </row>
    <row r="937" spans="2:7" x14ac:dyDescent="0.3">
      <c r="B937" s="2">
        <v>924</v>
      </c>
      <c r="C937" s="2">
        <f t="shared" si="72"/>
        <v>974000</v>
      </c>
      <c r="D937" s="4">
        <v>0</v>
      </c>
      <c r="E937" s="4">
        <f t="shared" si="69"/>
        <v>10800</v>
      </c>
      <c r="F937" s="4">
        <f t="shared" si="70"/>
        <v>39760</v>
      </c>
      <c r="G937" s="4">
        <f t="shared" si="71"/>
        <v>-28960</v>
      </c>
    </row>
    <row r="938" spans="2:7" x14ac:dyDescent="0.3">
      <c r="B938" s="2">
        <v>925</v>
      </c>
      <c r="C938" s="2">
        <f t="shared" si="72"/>
        <v>975000</v>
      </c>
      <c r="D938" s="4">
        <v>0</v>
      </c>
      <c r="E938" s="4">
        <f t="shared" si="69"/>
        <v>10800</v>
      </c>
      <c r="F938" s="4">
        <f t="shared" si="70"/>
        <v>39800</v>
      </c>
      <c r="G938" s="4">
        <f t="shared" si="71"/>
        <v>-29000</v>
      </c>
    </row>
    <row r="939" spans="2:7" x14ac:dyDescent="0.3">
      <c r="B939" s="2">
        <v>926</v>
      </c>
      <c r="C939" s="2">
        <f t="shared" si="72"/>
        <v>976000</v>
      </c>
      <c r="D939" s="4">
        <v>0</v>
      </c>
      <c r="E939" s="4">
        <f t="shared" si="69"/>
        <v>10800</v>
      </c>
      <c r="F939" s="4">
        <f t="shared" si="70"/>
        <v>39840</v>
      </c>
      <c r="G939" s="4">
        <f t="shared" si="71"/>
        <v>-29040</v>
      </c>
    </row>
    <row r="940" spans="2:7" x14ac:dyDescent="0.3">
      <c r="B940" s="2">
        <v>927</v>
      </c>
      <c r="C940" s="2">
        <f t="shared" si="72"/>
        <v>977000</v>
      </c>
      <c r="D940" s="4">
        <v>0</v>
      </c>
      <c r="E940" s="4">
        <f t="shared" si="69"/>
        <v>10800</v>
      </c>
      <c r="F940" s="4">
        <f t="shared" si="70"/>
        <v>39880</v>
      </c>
      <c r="G940" s="4">
        <f t="shared" si="71"/>
        <v>-29080</v>
      </c>
    </row>
    <row r="941" spans="2:7" x14ac:dyDescent="0.3">
      <c r="B941" s="2">
        <v>928</v>
      </c>
      <c r="C941" s="2">
        <f t="shared" si="72"/>
        <v>978000</v>
      </c>
      <c r="D941" s="4">
        <v>0</v>
      </c>
      <c r="E941" s="4">
        <f t="shared" si="69"/>
        <v>10800</v>
      </c>
      <c r="F941" s="4">
        <f t="shared" si="70"/>
        <v>39920</v>
      </c>
      <c r="G941" s="4">
        <f t="shared" si="71"/>
        <v>-29120</v>
      </c>
    </row>
    <row r="942" spans="2:7" x14ac:dyDescent="0.3">
      <c r="B942" s="2">
        <v>929</v>
      </c>
      <c r="C942" s="2">
        <f t="shared" si="72"/>
        <v>979000</v>
      </c>
      <c r="D942" s="4">
        <v>0</v>
      </c>
      <c r="E942" s="4">
        <f t="shared" si="69"/>
        <v>10800</v>
      </c>
      <c r="F942" s="4">
        <f t="shared" si="70"/>
        <v>39960</v>
      </c>
      <c r="G942" s="4">
        <f t="shared" si="71"/>
        <v>-29160</v>
      </c>
    </row>
    <row r="943" spans="2:7" x14ac:dyDescent="0.3">
      <c r="B943" s="2">
        <v>930</v>
      </c>
      <c r="C943" s="2">
        <f t="shared" si="72"/>
        <v>980000</v>
      </c>
      <c r="D943" s="4">
        <v>0</v>
      </c>
      <c r="E943" s="4">
        <f t="shared" si="69"/>
        <v>10800</v>
      </c>
      <c r="F943" s="4">
        <f t="shared" si="70"/>
        <v>40000</v>
      </c>
      <c r="G943" s="4">
        <f t="shared" si="71"/>
        <v>-29200</v>
      </c>
    </row>
    <row r="944" spans="2:7" x14ac:dyDescent="0.3">
      <c r="B944" s="2">
        <v>931</v>
      </c>
      <c r="C944" s="2">
        <f t="shared" si="72"/>
        <v>981000</v>
      </c>
      <c r="D944" s="4">
        <v>0</v>
      </c>
      <c r="E944" s="4">
        <f t="shared" si="69"/>
        <v>10800</v>
      </c>
      <c r="F944" s="4">
        <f t="shared" si="70"/>
        <v>40040</v>
      </c>
      <c r="G944" s="4">
        <f t="shared" si="71"/>
        <v>-29240</v>
      </c>
    </row>
    <row r="945" spans="2:7" x14ac:dyDescent="0.3">
      <c r="B945" s="2">
        <v>932</v>
      </c>
      <c r="C945" s="2">
        <f t="shared" si="72"/>
        <v>982000</v>
      </c>
      <c r="D945" s="4">
        <v>0</v>
      </c>
      <c r="E945" s="4">
        <f t="shared" si="69"/>
        <v>10800</v>
      </c>
      <c r="F945" s="4">
        <f t="shared" si="70"/>
        <v>40080</v>
      </c>
      <c r="G945" s="4">
        <f t="shared" si="71"/>
        <v>-29280</v>
      </c>
    </row>
    <row r="946" spans="2:7" x14ac:dyDescent="0.3">
      <c r="B946" s="2">
        <v>933</v>
      </c>
      <c r="C946" s="2">
        <f t="shared" si="72"/>
        <v>983000</v>
      </c>
      <c r="D946" s="4">
        <v>0</v>
      </c>
      <c r="E946" s="4">
        <f t="shared" si="69"/>
        <v>10800</v>
      </c>
      <c r="F946" s="4">
        <f t="shared" si="70"/>
        <v>40120</v>
      </c>
      <c r="G946" s="4">
        <f t="shared" si="71"/>
        <v>-29320</v>
      </c>
    </row>
    <row r="947" spans="2:7" x14ac:dyDescent="0.3">
      <c r="B947" s="2">
        <v>934</v>
      </c>
      <c r="C947" s="2">
        <f t="shared" si="72"/>
        <v>984000</v>
      </c>
      <c r="D947" s="4">
        <v>0</v>
      </c>
      <c r="E947" s="4">
        <f t="shared" si="69"/>
        <v>10800</v>
      </c>
      <c r="F947" s="4">
        <f t="shared" si="70"/>
        <v>40160</v>
      </c>
      <c r="G947" s="4">
        <f t="shared" si="71"/>
        <v>-29360</v>
      </c>
    </row>
    <row r="948" spans="2:7" x14ac:dyDescent="0.3">
      <c r="B948" s="2">
        <v>935</v>
      </c>
      <c r="C948" s="2">
        <f t="shared" si="72"/>
        <v>985000</v>
      </c>
      <c r="D948" s="4">
        <v>0</v>
      </c>
      <c r="E948" s="4">
        <f t="shared" si="69"/>
        <v>10800</v>
      </c>
      <c r="F948" s="4">
        <f t="shared" si="70"/>
        <v>40200</v>
      </c>
      <c r="G948" s="4">
        <f t="shared" si="71"/>
        <v>-29400</v>
      </c>
    </row>
    <row r="949" spans="2:7" x14ac:dyDescent="0.3">
      <c r="B949" s="2">
        <v>936</v>
      </c>
      <c r="C949" s="2">
        <f t="shared" si="72"/>
        <v>986000</v>
      </c>
      <c r="D949" s="4">
        <v>0</v>
      </c>
      <c r="E949" s="4">
        <f t="shared" si="69"/>
        <v>10800</v>
      </c>
      <c r="F949" s="4">
        <f t="shared" si="70"/>
        <v>40240</v>
      </c>
      <c r="G949" s="4">
        <f t="shared" si="71"/>
        <v>-29440</v>
      </c>
    </row>
    <row r="950" spans="2:7" x14ac:dyDescent="0.3">
      <c r="B950" s="2">
        <v>937</v>
      </c>
      <c r="C950" s="2">
        <f t="shared" si="72"/>
        <v>987000</v>
      </c>
      <c r="D950" s="4">
        <v>0</v>
      </c>
      <c r="E950" s="4">
        <f t="shared" si="69"/>
        <v>10800</v>
      </c>
      <c r="F950" s="4">
        <f t="shared" si="70"/>
        <v>40280</v>
      </c>
      <c r="G950" s="4">
        <f t="shared" si="71"/>
        <v>-29480</v>
      </c>
    </row>
    <row r="951" spans="2:7" x14ac:dyDescent="0.3">
      <c r="B951" s="2">
        <v>938</v>
      </c>
      <c r="C951" s="2">
        <f t="shared" si="72"/>
        <v>988000</v>
      </c>
      <c r="D951" s="4">
        <v>0</v>
      </c>
      <c r="E951" s="4">
        <f t="shared" si="69"/>
        <v>10800</v>
      </c>
      <c r="F951" s="4">
        <f t="shared" si="70"/>
        <v>40320</v>
      </c>
      <c r="G951" s="4">
        <f t="shared" si="71"/>
        <v>-29520</v>
      </c>
    </row>
    <row r="952" spans="2:7" x14ac:dyDescent="0.3">
      <c r="B952" s="2">
        <v>939</v>
      </c>
      <c r="C952" s="2">
        <f t="shared" si="72"/>
        <v>989000</v>
      </c>
      <c r="D952" s="4">
        <v>0</v>
      </c>
      <c r="E952" s="4">
        <f t="shared" si="69"/>
        <v>10800</v>
      </c>
      <c r="F952" s="4">
        <f t="shared" si="70"/>
        <v>40360</v>
      </c>
      <c r="G952" s="4">
        <f t="shared" si="71"/>
        <v>-29560</v>
      </c>
    </row>
    <row r="953" spans="2:7" x14ac:dyDescent="0.3">
      <c r="B953" s="2">
        <v>940</v>
      </c>
      <c r="C953" s="2">
        <f t="shared" si="72"/>
        <v>990000</v>
      </c>
      <c r="D953" s="4">
        <v>0</v>
      </c>
      <c r="E953" s="4">
        <f t="shared" si="69"/>
        <v>10800</v>
      </c>
      <c r="F953" s="4">
        <f t="shared" si="70"/>
        <v>40400</v>
      </c>
      <c r="G953" s="4">
        <f t="shared" si="71"/>
        <v>-29600</v>
      </c>
    </row>
    <row r="954" spans="2:7" x14ac:dyDescent="0.3">
      <c r="B954" s="2">
        <v>941</v>
      </c>
      <c r="C954" s="2">
        <f t="shared" si="72"/>
        <v>991000</v>
      </c>
      <c r="D954" s="4">
        <v>0</v>
      </c>
      <c r="E954" s="4">
        <f t="shared" si="69"/>
        <v>10800</v>
      </c>
      <c r="F954" s="4">
        <f t="shared" si="70"/>
        <v>40440</v>
      </c>
      <c r="G954" s="4">
        <f t="shared" si="71"/>
        <v>-29640</v>
      </c>
    </row>
    <row r="955" spans="2:7" x14ac:dyDescent="0.3">
      <c r="B955" s="2">
        <v>942</v>
      </c>
      <c r="C955" s="2">
        <f t="shared" si="72"/>
        <v>992000</v>
      </c>
      <c r="D955" s="4">
        <v>0</v>
      </c>
      <c r="E955" s="4">
        <f t="shared" si="69"/>
        <v>10800</v>
      </c>
      <c r="F955" s="4">
        <f t="shared" si="70"/>
        <v>40480</v>
      </c>
      <c r="G955" s="4">
        <f t="shared" si="71"/>
        <v>-29680</v>
      </c>
    </row>
    <row r="956" spans="2:7" x14ac:dyDescent="0.3">
      <c r="B956" s="2">
        <v>943</v>
      </c>
      <c r="C956" s="2">
        <f t="shared" si="72"/>
        <v>993000</v>
      </c>
      <c r="D956" s="4">
        <v>0</v>
      </c>
      <c r="E956" s="4">
        <f t="shared" si="69"/>
        <v>10800</v>
      </c>
      <c r="F956" s="4">
        <f t="shared" si="70"/>
        <v>40520</v>
      </c>
      <c r="G956" s="4">
        <f t="shared" si="71"/>
        <v>-29720</v>
      </c>
    </row>
    <row r="957" spans="2:7" x14ac:dyDescent="0.3">
      <c r="B957" s="2">
        <v>944</v>
      </c>
      <c r="C957" s="2">
        <f t="shared" si="72"/>
        <v>994000</v>
      </c>
      <c r="D957" s="4">
        <v>0</v>
      </c>
      <c r="E957" s="4">
        <f t="shared" si="69"/>
        <v>10800</v>
      </c>
      <c r="F957" s="4">
        <f t="shared" si="70"/>
        <v>40560</v>
      </c>
      <c r="G957" s="4">
        <f t="shared" si="71"/>
        <v>-29760</v>
      </c>
    </row>
    <row r="958" spans="2:7" x14ac:dyDescent="0.3">
      <c r="B958" s="2">
        <v>945</v>
      </c>
      <c r="C958" s="2">
        <f t="shared" si="72"/>
        <v>995000</v>
      </c>
      <c r="D958" s="4">
        <v>0</v>
      </c>
      <c r="E958" s="4">
        <f t="shared" si="69"/>
        <v>10800</v>
      </c>
      <c r="F958" s="4">
        <f t="shared" si="70"/>
        <v>40600</v>
      </c>
      <c r="G958" s="4">
        <f t="shared" si="71"/>
        <v>-29800</v>
      </c>
    </row>
    <row r="959" spans="2:7" x14ac:dyDescent="0.3">
      <c r="B959" s="2">
        <v>946</v>
      </c>
      <c r="C959" s="2">
        <f t="shared" si="72"/>
        <v>996000</v>
      </c>
      <c r="D959" s="4">
        <v>0</v>
      </c>
      <c r="E959" s="4">
        <f t="shared" si="69"/>
        <v>10800</v>
      </c>
      <c r="F959" s="4">
        <f t="shared" si="70"/>
        <v>40640</v>
      </c>
      <c r="G959" s="4">
        <f t="shared" si="71"/>
        <v>-29840</v>
      </c>
    </row>
    <row r="960" spans="2:7" x14ac:dyDescent="0.3">
      <c r="B960" s="2">
        <v>947</v>
      </c>
      <c r="C960" s="2">
        <f t="shared" si="72"/>
        <v>997000</v>
      </c>
      <c r="D960" s="4">
        <v>0</v>
      </c>
      <c r="E960" s="4">
        <f t="shared" si="69"/>
        <v>10800</v>
      </c>
      <c r="F960" s="4">
        <f t="shared" si="70"/>
        <v>40680</v>
      </c>
      <c r="G960" s="4">
        <f t="shared" si="71"/>
        <v>-29880</v>
      </c>
    </row>
    <row r="961" spans="2:7" x14ac:dyDescent="0.3">
      <c r="B961" s="2">
        <v>948</v>
      </c>
      <c r="C961" s="2">
        <f t="shared" si="72"/>
        <v>998000</v>
      </c>
      <c r="D961" s="4">
        <v>0</v>
      </c>
      <c r="E961" s="4">
        <f t="shared" si="69"/>
        <v>10800</v>
      </c>
      <c r="F961" s="4">
        <f t="shared" si="70"/>
        <v>40720</v>
      </c>
      <c r="G961" s="4">
        <f t="shared" si="71"/>
        <v>-29920</v>
      </c>
    </row>
    <row r="962" spans="2:7" x14ac:dyDescent="0.3">
      <c r="B962" s="2">
        <v>949</v>
      </c>
      <c r="C962" s="2">
        <f t="shared" si="72"/>
        <v>999000</v>
      </c>
      <c r="D962" s="4">
        <v>0</v>
      </c>
      <c r="E962" s="4">
        <f t="shared" si="69"/>
        <v>10800</v>
      </c>
      <c r="F962" s="4">
        <f t="shared" si="70"/>
        <v>40760</v>
      </c>
      <c r="G962" s="4">
        <f t="shared" si="71"/>
        <v>-29960</v>
      </c>
    </row>
    <row r="963" spans="2:7" x14ac:dyDescent="0.3">
      <c r="B963" s="2">
        <v>950</v>
      </c>
      <c r="C963" s="2">
        <f t="shared" si="72"/>
        <v>1000000</v>
      </c>
      <c r="D963" s="4">
        <v>0</v>
      </c>
      <c r="E963" s="4">
        <f t="shared" si="69"/>
        <v>10800</v>
      </c>
      <c r="F963" s="4">
        <f t="shared" si="70"/>
        <v>40800</v>
      </c>
      <c r="G963" s="4">
        <f t="shared" si="71"/>
        <v>-30000</v>
      </c>
    </row>
    <row r="964" spans="2:7" x14ac:dyDescent="0.3">
      <c r="B964" s="2">
        <v>951</v>
      </c>
      <c r="C964" s="2">
        <f t="shared" si="72"/>
        <v>1001000</v>
      </c>
      <c r="D964" s="4">
        <v>0</v>
      </c>
      <c r="E964" s="4">
        <f t="shared" si="69"/>
        <v>10800</v>
      </c>
      <c r="F964" s="4">
        <f t="shared" si="70"/>
        <v>40840</v>
      </c>
      <c r="G964" s="4">
        <f t="shared" si="71"/>
        <v>-30040</v>
      </c>
    </row>
    <row r="965" spans="2:7" x14ac:dyDescent="0.3">
      <c r="B965" s="2">
        <v>952</v>
      </c>
      <c r="C965" s="2">
        <f t="shared" si="72"/>
        <v>1002000</v>
      </c>
      <c r="D965" s="4">
        <v>0</v>
      </c>
      <c r="E965" s="4">
        <f t="shared" si="69"/>
        <v>10800</v>
      </c>
      <c r="F965" s="4">
        <f t="shared" si="70"/>
        <v>40880</v>
      </c>
      <c r="G965" s="4">
        <f t="shared" si="71"/>
        <v>-30080</v>
      </c>
    </row>
    <row r="966" spans="2:7" x14ac:dyDescent="0.3">
      <c r="B966" s="2">
        <v>953</v>
      </c>
      <c r="C966" s="2">
        <f t="shared" si="72"/>
        <v>1003000</v>
      </c>
      <c r="D966" s="4">
        <v>0</v>
      </c>
      <c r="E966" s="4">
        <f t="shared" si="69"/>
        <v>10800</v>
      </c>
      <c r="F966" s="4">
        <f t="shared" si="70"/>
        <v>40920</v>
      </c>
      <c r="G966" s="4">
        <f t="shared" si="71"/>
        <v>-30120</v>
      </c>
    </row>
    <row r="967" spans="2:7" x14ac:dyDescent="0.3">
      <c r="B967" s="2">
        <v>954</v>
      </c>
      <c r="C967" s="2">
        <f t="shared" si="72"/>
        <v>1004000</v>
      </c>
      <c r="D967" s="4">
        <v>0</v>
      </c>
      <c r="E967" s="4">
        <f t="shared" si="69"/>
        <v>10800</v>
      </c>
      <c r="F967" s="4">
        <f t="shared" si="70"/>
        <v>40960</v>
      </c>
      <c r="G967" s="4">
        <f t="shared" si="71"/>
        <v>-30160</v>
      </c>
    </row>
    <row r="968" spans="2:7" x14ac:dyDescent="0.3">
      <c r="B968" s="2">
        <v>955</v>
      </c>
      <c r="C968" s="2">
        <f t="shared" si="72"/>
        <v>1005000</v>
      </c>
      <c r="D968" s="4">
        <v>0</v>
      </c>
      <c r="E968" s="4">
        <f t="shared" si="69"/>
        <v>10800</v>
      </c>
      <c r="F968" s="4">
        <f t="shared" si="70"/>
        <v>41000</v>
      </c>
      <c r="G968" s="4">
        <f t="shared" si="71"/>
        <v>-30200</v>
      </c>
    </row>
    <row r="969" spans="2:7" x14ac:dyDescent="0.3">
      <c r="B969" s="2">
        <v>956</v>
      </c>
      <c r="C969" s="2">
        <f t="shared" si="72"/>
        <v>1006000</v>
      </c>
      <c r="D969" s="4">
        <v>0</v>
      </c>
      <c r="E969" s="4">
        <f t="shared" si="69"/>
        <v>10800</v>
      </c>
      <c r="F969" s="4">
        <f t="shared" si="70"/>
        <v>41040</v>
      </c>
      <c r="G969" s="4">
        <f t="shared" si="71"/>
        <v>-30240</v>
      </c>
    </row>
    <row r="970" spans="2:7" x14ac:dyDescent="0.3">
      <c r="B970" s="2">
        <v>957</v>
      </c>
      <c r="C970" s="2">
        <f t="shared" si="72"/>
        <v>1007000</v>
      </c>
      <c r="D970" s="4">
        <v>0</v>
      </c>
      <c r="E970" s="4">
        <f t="shared" si="69"/>
        <v>10800</v>
      </c>
      <c r="F970" s="4">
        <f t="shared" si="70"/>
        <v>41080</v>
      </c>
      <c r="G970" s="4">
        <f t="shared" si="71"/>
        <v>-30280</v>
      </c>
    </row>
    <row r="971" spans="2:7" x14ac:dyDescent="0.3">
      <c r="B971" s="2">
        <v>958</v>
      </c>
      <c r="C971" s="2">
        <f t="shared" si="72"/>
        <v>1008000</v>
      </c>
      <c r="D971" s="4">
        <v>0</v>
      </c>
      <c r="E971" s="4">
        <f t="shared" si="69"/>
        <v>10800</v>
      </c>
      <c r="F971" s="4">
        <f t="shared" si="70"/>
        <v>41120</v>
      </c>
      <c r="G971" s="4">
        <f t="shared" si="71"/>
        <v>-30320</v>
      </c>
    </row>
    <row r="972" spans="2:7" x14ac:dyDescent="0.3">
      <c r="B972" s="2">
        <v>959</v>
      </c>
      <c r="C972" s="2">
        <f t="shared" si="72"/>
        <v>1009000</v>
      </c>
      <c r="D972" s="4">
        <v>0</v>
      </c>
      <c r="E972" s="4">
        <f t="shared" si="69"/>
        <v>10800</v>
      </c>
      <c r="F972" s="4">
        <f t="shared" si="70"/>
        <v>41160</v>
      </c>
      <c r="G972" s="4">
        <f t="shared" si="71"/>
        <v>-30360</v>
      </c>
    </row>
    <row r="973" spans="2:7" x14ac:dyDescent="0.3">
      <c r="B973" s="2">
        <v>960</v>
      </c>
      <c r="C973" s="2">
        <f t="shared" si="72"/>
        <v>1010000</v>
      </c>
      <c r="D973" s="4">
        <v>0</v>
      </c>
      <c r="E973" s="4">
        <f t="shared" si="69"/>
        <v>10800</v>
      </c>
      <c r="F973" s="4">
        <f t="shared" si="70"/>
        <v>41200</v>
      </c>
      <c r="G973" s="4">
        <f t="shared" si="71"/>
        <v>-30400</v>
      </c>
    </row>
    <row r="974" spans="2:7" x14ac:dyDescent="0.3">
      <c r="B974" s="2">
        <v>961</v>
      </c>
      <c r="C974" s="2">
        <f t="shared" si="72"/>
        <v>1011000</v>
      </c>
      <c r="D974" s="4">
        <v>0</v>
      </c>
      <c r="E974" s="4">
        <f t="shared" ref="E974:E1037" si="73">$C$3+$C$4*$C$6-D974</f>
        <v>10800</v>
      </c>
      <c r="F974" s="4">
        <f t="shared" ref="F974:F1037" si="74">$F$3*$C$7+$F$4*C974</f>
        <v>41240</v>
      </c>
      <c r="G974" s="4">
        <f t="shared" ref="G974:G1037" si="75">E974-F974</f>
        <v>-30440</v>
      </c>
    </row>
    <row r="975" spans="2:7" x14ac:dyDescent="0.3">
      <c r="B975" s="2">
        <v>962</v>
      </c>
      <c r="C975" s="2">
        <f t="shared" ref="C975:C1038" si="76">$C$8+(B975*1000)</f>
        <v>1012000</v>
      </c>
      <c r="D975" s="4">
        <v>0</v>
      </c>
      <c r="E975" s="4">
        <f t="shared" si="73"/>
        <v>10800</v>
      </c>
      <c r="F975" s="4">
        <f t="shared" si="74"/>
        <v>41280</v>
      </c>
      <c r="G975" s="4">
        <f t="shared" si="75"/>
        <v>-30480</v>
      </c>
    </row>
    <row r="976" spans="2:7" x14ac:dyDescent="0.3">
      <c r="B976" s="2">
        <v>963</v>
      </c>
      <c r="C976" s="2">
        <f t="shared" si="76"/>
        <v>1013000</v>
      </c>
      <c r="D976" s="4">
        <v>0</v>
      </c>
      <c r="E976" s="4">
        <f t="shared" si="73"/>
        <v>10800</v>
      </c>
      <c r="F976" s="4">
        <f t="shared" si="74"/>
        <v>41320</v>
      </c>
      <c r="G976" s="4">
        <f t="shared" si="75"/>
        <v>-30520</v>
      </c>
    </row>
    <row r="977" spans="2:7" x14ac:dyDescent="0.3">
      <c r="B977" s="2">
        <v>964</v>
      </c>
      <c r="C977" s="2">
        <f t="shared" si="76"/>
        <v>1014000</v>
      </c>
      <c r="D977" s="4">
        <v>0</v>
      </c>
      <c r="E977" s="4">
        <f t="shared" si="73"/>
        <v>10800</v>
      </c>
      <c r="F977" s="4">
        <f t="shared" si="74"/>
        <v>41360</v>
      </c>
      <c r="G977" s="4">
        <f t="shared" si="75"/>
        <v>-30560</v>
      </c>
    </row>
    <row r="978" spans="2:7" x14ac:dyDescent="0.3">
      <c r="B978" s="2">
        <v>965</v>
      </c>
      <c r="C978" s="2">
        <f t="shared" si="76"/>
        <v>1015000</v>
      </c>
      <c r="D978" s="4">
        <v>0</v>
      </c>
      <c r="E978" s="4">
        <f t="shared" si="73"/>
        <v>10800</v>
      </c>
      <c r="F978" s="4">
        <f t="shared" si="74"/>
        <v>41400</v>
      </c>
      <c r="G978" s="4">
        <f t="shared" si="75"/>
        <v>-30600</v>
      </c>
    </row>
    <row r="979" spans="2:7" x14ac:dyDescent="0.3">
      <c r="B979" s="2">
        <v>966</v>
      </c>
      <c r="C979" s="2">
        <f t="shared" si="76"/>
        <v>1016000</v>
      </c>
      <c r="D979" s="4">
        <v>0</v>
      </c>
      <c r="E979" s="4">
        <f t="shared" si="73"/>
        <v>10800</v>
      </c>
      <c r="F979" s="4">
        <f t="shared" si="74"/>
        <v>41440</v>
      </c>
      <c r="G979" s="4">
        <f t="shared" si="75"/>
        <v>-30640</v>
      </c>
    </row>
    <row r="980" spans="2:7" x14ac:dyDescent="0.3">
      <c r="B980" s="2">
        <v>967</v>
      </c>
      <c r="C980" s="2">
        <f t="shared" si="76"/>
        <v>1017000</v>
      </c>
      <c r="D980" s="4">
        <v>0</v>
      </c>
      <c r="E980" s="4">
        <f t="shared" si="73"/>
        <v>10800</v>
      </c>
      <c r="F980" s="4">
        <f t="shared" si="74"/>
        <v>41480</v>
      </c>
      <c r="G980" s="4">
        <f t="shared" si="75"/>
        <v>-30680</v>
      </c>
    </row>
    <row r="981" spans="2:7" x14ac:dyDescent="0.3">
      <c r="B981" s="2">
        <v>968</v>
      </c>
      <c r="C981" s="2">
        <f t="shared" si="76"/>
        <v>1018000</v>
      </c>
      <c r="D981" s="4">
        <v>0</v>
      </c>
      <c r="E981" s="4">
        <f t="shared" si="73"/>
        <v>10800</v>
      </c>
      <c r="F981" s="4">
        <f t="shared" si="74"/>
        <v>41520</v>
      </c>
      <c r="G981" s="4">
        <f t="shared" si="75"/>
        <v>-30720</v>
      </c>
    </row>
    <row r="982" spans="2:7" x14ac:dyDescent="0.3">
      <c r="B982" s="2">
        <v>969</v>
      </c>
      <c r="C982" s="2">
        <f t="shared" si="76"/>
        <v>1019000</v>
      </c>
      <c r="D982" s="4">
        <v>0</v>
      </c>
      <c r="E982" s="4">
        <f t="shared" si="73"/>
        <v>10800</v>
      </c>
      <c r="F982" s="4">
        <f t="shared" si="74"/>
        <v>41560</v>
      </c>
      <c r="G982" s="4">
        <f t="shared" si="75"/>
        <v>-30760</v>
      </c>
    </row>
    <row r="983" spans="2:7" x14ac:dyDescent="0.3">
      <c r="B983" s="2">
        <v>970</v>
      </c>
      <c r="C983" s="2">
        <f t="shared" si="76"/>
        <v>1020000</v>
      </c>
      <c r="D983" s="4">
        <v>0</v>
      </c>
      <c r="E983" s="4">
        <f t="shared" si="73"/>
        <v>10800</v>
      </c>
      <c r="F983" s="4">
        <f t="shared" si="74"/>
        <v>41600</v>
      </c>
      <c r="G983" s="4">
        <f t="shared" si="75"/>
        <v>-30800</v>
      </c>
    </row>
    <row r="984" spans="2:7" x14ac:dyDescent="0.3">
      <c r="B984" s="2">
        <v>971</v>
      </c>
      <c r="C984" s="2">
        <f t="shared" si="76"/>
        <v>1021000</v>
      </c>
      <c r="D984" s="4">
        <v>0</v>
      </c>
      <c r="E984" s="4">
        <f t="shared" si="73"/>
        <v>10800</v>
      </c>
      <c r="F984" s="4">
        <f t="shared" si="74"/>
        <v>41640</v>
      </c>
      <c r="G984" s="4">
        <f t="shared" si="75"/>
        <v>-30840</v>
      </c>
    </row>
    <row r="985" spans="2:7" x14ac:dyDescent="0.3">
      <c r="B985" s="2">
        <v>972</v>
      </c>
      <c r="C985" s="2">
        <f t="shared" si="76"/>
        <v>1022000</v>
      </c>
      <c r="D985" s="4">
        <v>0</v>
      </c>
      <c r="E985" s="4">
        <f t="shared" si="73"/>
        <v>10800</v>
      </c>
      <c r="F985" s="4">
        <f t="shared" si="74"/>
        <v>41680</v>
      </c>
      <c r="G985" s="4">
        <f t="shared" si="75"/>
        <v>-30880</v>
      </c>
    </row>
    <row r="986" spans="2:7" x14ac:dyDescent="0.3">
      <c r="B986" s="2">
        <v>973</v>
      </c>
      <c r="C986" s="2">
        <f t="shared" si="76"/>
        <v>1023000</v>
      </c>
      <c r="D986" s="4">
        <v>0</v>
      </c>
      <c r="E986" s="4">
        <f t="shared" si="73"/>
        <v>10800</v>
      </c>
      <c r="F986" s="4">
        <f t="shared" si="74"/>
        <v>41720</v>
      </c>
      <c r="G986" s="4">
        <f t="shared" si="75"/>
        <v>-30920</v>
      </c>
    </row>
    <row r="987" spans="2:7" x14ac:dyDescent="0.3">
      <c r="B987" s="2">
        <v>974</v>
      </c>
      <c r="C987" s="2">
        <f t="shared" si="76"/>
        <v>1024000</v>
      </c>
      <c r="D987" s="4">
        <v>0</v>
      </c>
      <c r="E987" s="4">
        <f t="shared" si="73"/>
        <v>10800</v>
      </c>
      <c r="F987" s="4">
        <f t="shared" si="74"/>
        <v>41760</v>
      </c>
      <c r="G987" s="4">
        <f t="shared" si="75"/>
        <v>-30960</v>
      </c>
    </row>
    <row r="988" spans="2:7" x14ac:dyDescent="0.3">
      <c r="B988" s="2">
        <v>975</v>
      </c>
      <c r="C988" s="2">
        <f t="shared" si="76"/>
        <v>1025000</v>
      </c>
      <c r="D988" s="4">
        <v>0</v>
      </c>
      <c r="E988" s="4">
        <f t="shared" si="73"/>
        <v>10800</v>
      </c>
      <c r="F988" s="4">
        <f t="shared" si="74"/>
        <v>41800</v>
      </c>
      <c r="G988" s="4">
        <f t="shared" si="75"/>
        <v>-31000</v>
      </c>
    </row>
    <row r="989" spans="2:7" x14ac:dyDescent="0.3">
      <c r="B989" s="2">
        <v>976</v>
      </c>
      <c r="C989" s="2">
        <f t="shared" si="76"/>
        <v>1026000</v>
      </c>
      <c r="D989" s="4">
        <v>0</v>
      </c>
      <c r="E989" s="4">
        <f t="shared" si="73"/>
        <v>10800</v>
      </c>
      <c r="F989" s="4">
        <f t="shared" si="74"/>
        <v>41840</v>
      </c>
      <c r="G989" s="4">
        <f t="shared" si="75"/>
        <v>-31040</v>
      </c>
    </row>
    <row r="990" spans="2:7" x14ac:dyDescent="0.3">
      <c r="B990" s="2">
        <v>977</v>
      </c>
      <c r="C990" s="2">
        <f t="shared" si="76"/>
        <v>1027000</v>
      </c>
      <c r="D990" s="4">
        <v>0</v>
      </c>
      <c r="E990" s="4">
        <f t="shared" si="73"/>
        <v>10800</v>
      </c>
      <c r="F990" s="4">
        <f t="shared" si="74"/>
        <v>41880</v>
      </c>
      <c r="G990" s="4">
        <f t="shared" si="75"/>
        <v>-31080</v>
      </c>
    </row>
    <row r="991" spans="2:7" x14ac:dyDescent="0.3">
      <c r="B991" s="2">
        <v>978</v>
      </c>
      <c r="C991" s="2">
        <f t="shared" si="76"/>
        <v>1028000</v>
      </c>
      <c r="D991" s="4">
        <v>0</v>
      </c>
      <c r="E991" s="4">
        <f t="shared" si="73"/>
        <v>10800</v>
      </c>
      <c r="F991" s="4">
        <f t="shared" si="74"/>
        <v>41920</v>
      </c>
      <c r="G991" s="4">
        <f t="shared" si="75"/>
        <v>-31120</v>
      </c>
    </row>
    <row r="992" spans="2:7" x14ac:dyDescent="0.3">
      <c r="B992" s="2">
        <v>979</v>
      </c>
      <c r="C992" s="2">
        <f t="shared" si="76"/>
        <v>1029000</v>
      </c>
      <c r="D992" s="4">
        <v>0</v>
      </c>
      <c r="E992" s="4">
        <f t="shared" si="73"/>
        <v>10800</v>
      </c>
      <c r="F992" s="4">
        <f t="shared" si="74"/>
        <v>41960</v>
      </c>
      <c r="G992" s="4">
        <f t="shared" si="75"/>
        <v>-31160</v>
      </c>
    </row>
    <row r="993" spans="2:7" x14ac:dyDescent="0.3">
      <c r="B993" s="2">
        <v>980</v>
      </c>
      <c r="C993" s="2">
        <f t="shared" si="76"/>
        <v>1030000</v>
      </c>
      <c r="D993" s="4">
        <v>0</v>
      </c>
      <c r="E993" s="4">
        <f t="shared" si="73"/>
        <v>10800</v>
      </c>
      <c r="F993" s="4">
        <f t="shared" si="74"/>
        <v>42000</v>
      </c>
      <c r="G993" s="4">
        <f t="shared" si="75"/>
        <v>-31200</v>
      </c>
    </row>
    <row r="994" spans="2:7" x14ac:dyDescent="0.3">
      <c r="B994" s="2">
        <v>981</v>
      </c>
      <c r="C994" s="2">
        <f t="shared" si="76"/>
        <v>1031000</v>
      </c>
      <c r="D994" s="4">
        <v>0</v>
      </c>
      <c r="E994" s="4">
        <f t="shared" si="73"/>
        <v>10800</v>
      </c>
      <c r="F994" s="4">
        <f t="shared" si="74"/>
        <v>42040</v>
      </c>
      <c r="G994" s="4">
        <f t="shared" si="75"/>
        <v>-31240</v>
      </c>
    </row>
    <row r="995" spans="2:7" x14ac:dyDescent="0.3">
      <c r="B995" s="2">
        <v>982</v>
      </c>
      <c r="C995" s="2">
        <f t="shared" si="76"/>
        <v>1032000</v>
      </c>
      <c r="D995" s="4">
        <v>0</v>
      </c>
      <c r="E995" s="4">
        <f t="shared" si="73"/>
        <v>10800</v>
      </c>
      <c r="F995" s="4">
        <f t="shared" si="74"/>
        <v>42080</v>
      </c>
      <c r="G995" s="4">
        <f t="shared" si="75"/>
        <v>-31280</v>
      </c>
    </row>
    <row r="996" spans="2:7" x14ac:dyDescent="0.3">
      <c r="B996" s="2">
        <v>983</v>
      </c>
      <c r="C996" s="2">
        <f t="shared" si="76"/>
        <v>1033000</v>
      </c>
      <c r="D996" s="4">
        <v>0</v>
      </c>
      <c r="E996" s="4">
        <f t="shared" si="73"/>
        <v>10800</v>
      </c>
      <c r="F996" s="4">
        <f t="shared" si="74"/>
        <v>42120</v>
      </c>
      <c r="G996" s="4">
        <f t="shared" si="75"/>
        <v>-31320</v>
      </c>
    </row>
    <row r="997" spans="2:7" x14ac:dyDescent="0.3">
      <c r="B997" s="2">
        <v>984</v>
      </c>
      <c r="C997" s="2">
        <f t="shared" si="76"/>
        <v>1034000</v>
      </c>
      <c r="D997" s="4">
        <v>0</v>
      </c>
      <c r="E997" s="4">
        <f t="shared" si="73"/>
        <v>10800</v>
      </c>
      <c r="F997" s="4">
        <f t="shared" si="74"/>
        <v>42160</v>
      </c>
      <c r="G997" s="4">
        <f t="shared" si="75"/>
        <v>-31360</v>
      </c>
    </row>
    <row r="998" spans="2:7" x14ac:dyDescent="0.3">
      <c r="B998" s="2">
        <v>985</v>
      </c>
      <c r="C998" s="2">
        <f t="shared" si="76"/>
        <v>1035000</v>
      </c>
      <c r="D998" s="4">
        <v>0</v>
      </c>
      <c r="E998" s="4">
        <f t="shared" si="73"/>
        <v>10800</v>
      </c>
      <c r="F998" s="4">
        <f t="shared" si="74"/>
        <v>42200</v>
      </c>
      <c r="G998" s="4">
        <f t="shared" si="75"/>
        <v>-31400</v>
      </c>
    </row>
    <row r="999" spans="2:7" x14ac:dyDescent="0.3">
      <c r="B999" s="2">
        <v>986</v>
      </c>
      <c r="C999" s="2">
        <f t="shared" si="76"/>
        <v>1036000</v>
      </c>
      <c r="D999" s="4">
        <v>0</v>
      </c>
      <c r="E999" s="4">
        <f t="shared" si="73"/>
        <v>10800</v>
      </c>
      <c r="F999" s="4">
        <f t="shared" si="74"/>
        <v>42240</v>
      </c>
      <c r="G999" s="4">
        <f t="shared" si="75"/>
        <v>-31440</v>
      </c>
    </row>
    <row r="1000" spans="2:7" x14ac:dyDescent="0.3">
      <c r="B1000" s="2">
        <v>987</v>
      </c>
      <c r="C1000" s="2">
        <f t="shared" si="76"/>
        <v>1037000</v>
      </c>
      <c r="D1000" s="4">
        <v>0</v>
      </c>
      <c r="E1000" s="4">
        <f t="shared" si="73"/>
        <v>10800</v>
      </c>
      <c r="F1000" s="4">
        <f t="shared" si="74"/>
        <v>42280</v>
      </c>
      <c r="G1000" s="4">
        <f t="shared" si="75"/>
        <v>-31480</v>
      </c>
    </row>
    <row r="1001" spans="2:7" x14ac:dyDescent="0.3">
      <c r="B1001" s="2">
        <v>988</v>
      </c>
      <c r="C1001" s="2">
        <f t="shared" si="76"/>
        <v>1038000</v>
      </c>
      <c r="D1001" s="4">
        <v>0</v>
      </c>
      <c r="E1001" s="4">
        <f t="shared" si="73"/>
        <v>10800</v>
      </c>
      <c r="F1001" s="4">
        <f t="shared" si="74"/>
        <v>42320</v>
      </c>
      <c r="G1001" s="4">
        <f t="shared" si="75"/>
        <v>-31520</v>
      </c>
    </row>
    <row r="1002" spans="2:7" x14ac:dyDescent="0.3">
      <c r="B1002" s="2">
        <v>989</v>
      </c>
      <c r="C1002" s="2">
        <f t="shared" si="76"/>
        <v>1039000</v>
      </c>
      <c r="D1002" s="4">
        <v>0</v>
      </c>
      <c r="E1002" s="4">
        <f t="shared" si="73"/>
        <v>10800</v>
      </c>
      <c r="F1002" s="4">
        <f t="shared" si="74"/>
        <v>42360</v>
      </c>
      <c r="G1002" s="4">
        <f t="shared" si="75"/>
        <v>-31560</v>
      </c>
    </row>
    <row r="1003" spans="2:7" x14ac:dyDescent="0.3">
      <c r="B1003" s="2">
        <v>990</v>
      </c>
      <c r="C1003" s="2">
        <f t="shared" si="76"/>
        <v>1040000</v>
      </c>
      <c r="D1003" s="4">
        <v>0</v>
      </c>
      <c r="E1003" s="4">
        <f t="shared" si="73"/>
        <v>10800</v>
      </c>
      <c r="F1003" s="4">
        <f t="shared" si="74"/>
        <v>42400</v>
      </c>
      <c r="G1003" s="4">
        <f t="shared" si="75"/>
        <v>-31600</v>
      </c>
    </row>
    <row r="1004" spans="2:7" x14ac:dyDescent="0.3">
      <c r="B1004" s="2">
        <v>991</v>
      </c>
      <c r="C1004" s="2">
        <f t="shared" si="76"/>
        <v>1041000</v>
      </c>
      <c r="D1004" s="4">
        <v>0</v>
      </c>
      <c r="E1004" s="4">
        <f t="shared" si="73"/>
        <v>10800</v>
      </c>
      <c r="F1004" s="4">
        <f t="shared" si="74"/>
        <v>42440</v>
      </c>
      <c r="G1004" s="4">
        <f t="shared" si="75"/>
        <v>-31640</v>
      </c>
    </row>
    <row r="1005" spans="2:7" x14ac:dyDescent="0.3">
      <c r="B1005" s="2">
        <v>992</v>
      </c>
      <c r="C1005" s="2">
        <f t="shared" si="76"/>
        <v>1042000</v>
      </c>
      <c r="D1005" s="4">
        <v>0</v>
      </c>
      <c r="E1005" s="4">
        <f t="shared" si="73"/>
        <v>10800</v>
      </c>
      <c r="F1005" s="4">
        <f t="shared" si="74"/>
        <v>42480</v>
      </c>
      <c r="G1005" s="4">
        <f t="shared" si="75"/>
        <v>-31680</v>
      </c>
    </row>
    <row r="1006" spans="2:7" x14ac:dyDescent="0.3">
      <c r="B1006" s="2">
        <v>993</v>
      </c>
      <c r="C1006" s="2">
        <f t="shared" si="76"/>
        <v>1043000</v>
      </c>
      <c r="D1006" s="4">
        <v>0</v>
      </c>
      <c r="E1006" s="4">
        <f t="shared" si="73"/>
        <v>10800</v>
      </c>
      <c r="F1006" s="4">
        <f t="shared" si="74"/>
        <v>42520</v>
      </c>
      <c r="G1006" s="4">
        <f t="shared" si="75"/>
        <v>-31720</v>
      </c>
    </row>
    <row r="1007" spans="2:7" x14ac:dyDescent="0.3">
      <c r="B1007" s="2">
        <v>994</v>
      </c>
      <c r="C1007" s="2">
        <f t="shared" si="76"/>
        <v>1044000</v>
      </c>
      <c r="D1007" s="4">
        <v>0</v>
      </c>
      <c r="E1007" s="4">
        <f t="shared" si="73"/>
        <v>10800</v>
      </c>
      <c r="F1007" s="4">
        <f t="shared" si="74"/>
        <v>42560</v>
      </c>
      <c r="G1007" s="4">
        <f t="shared" si="75"/>
        <v>-31760</v>
      </c>
    </row>
    <row r="1008" spans="2:7" x14ac:dyDescent="0.3">
      <c r="B1008" s="2">
        <v>995</v>
      </c>
      <c r="C1008" s="2">
        <f t="shared" si="76"/>
        <v>1045000</v>
      </c>
      <c r="D1008" s="4">
        <v>0</v>
      </c>
      <c r="E1008" s="4">
        <f t="shared" si="73"/>
        <v>10800</v>
      </c>
      <c r="F1008" s="4">
        <f t="shared" si="74"/>
        <v>42600</v>
      </c>
      <c r="G1008" s="4">
        <f t="shared" si="75"/>
        <v>-31800</v>
      </c>
    </row>
    <row r="1009" spans="2:7" x14ac:dyDescent="0.3">
      <c r="B1009" s="2">
        <v>996</v>
      </c>
      <c r="C1009" s="2">
        <f t="shared" si="76"/>
        <v>1046000</v>
      </c>
      <c r="D1009" s="4">
        <v>0</v>
      </c>
      <c r="E1009" s="4">
        <f t="shared" si="73"/>
        <v>10800</v>
      </c>
      <c r="F1009" s="4">
        <f t="shared" si="74"/>
        <v>42640</v>
      </c>
      <c r="G1009" s="4">
        <f t="shared" si="75"/>
        <v>-31840</v>
      </c>
    </row>
    <row r="1010" spans="2:7" x14ac:dyDescent="0.3">
      <c r="B1010" s="2">
        <v>997</v>
      </c>
      <c r="C1010" s="2">
        <f t="shared" si="76"/>
        <v>1047000</v>
      </c>
      <c r="D1010" s="4">
        <v>0</v>
      </c>
      <c r="E1010" s="4">
        <f t="shared" si="73"/>
        <v>10800</v>
      </c>
      <c r="F1010" s="4">
        <f t="shared" si="74"/>
        <v>42680</v>
      </c>
      <c r="G1010" s="4">
        <f t="shared" si="75"/>
        <v>-31880</v>
      </c>
    </row>
    <row r="1011" spans="2:7" x14ac:dyDescent="0.3">
      <c r="B1011" s="2">
        <v>998</v>
      </c>
      <c r="C1011" s="2">
        <f t="shared" si="76"/>
        <v>1048000</v>
      </c>
      <c r="D1011" s="4">
        <v>0</v>
      </c>
      <c r="E1011" s="4">
        <f t="shared" si="73"/>
        <v>10800</v>
      </c>
      <c r="F1011" s="4">
        <f t="shared" si="74"/>
        <v>42720</v>
      </c>
      <c r="G1011" s="4">
        <f t="shared" si="75"/>
        <v>-31920</v>
      </c>
    </row>
    <row r="1012" spans="2:7" x14ac:dyDescent="0.3">
      <c r="B1012" s="2">
        <v>999</v>
      </c>
      <c r="C1012" s="2">
        <f t="shared" si="76"/>
        <v>1049000</v>
      </c>
      <c r="D1012" s="4">
        <v>0</v>
      </c>
      <c r="E1012" s="4">
        <f t="shared" si="73"/>
        <v>10800</v>
      </c>
      <c r="F1012" s="4">
        <f t="shared" si="74"/>
        <v>42760</v>
      </c>
      <c r="G1012" s="4">
        <f t="shared" si="75"/>
        <v>-31960</v>
      </c>
    </row>
    <row r="1013" spans="2:7" x14ac:dyDescent="0.3">
      <c r="B1013" s="2">
        <v>1000</v>
      </c>
      <c r="C1013" s="2">
        <f t="shared" si="76"/>
        <v>1050000</v>
      </c>
      <c r="D1013" s="4">
        <v>0</v>
      </c>
      <c r="E1013" s="4">
        <f t="shared" si="73"/>
        <v>10800</v>
      </c>
      <c r="F1013" s="4">
        <f t="shared" si="74"/>
        <v>42800</v>
      </c>
      <c r="G1013" s="4">
        <f t="shared" si="75"/>
        <v>-32000</v>
      </c>
    </row>
    <row r="1014" spans="2:7" x14ac:dyDescent="0.3">
      <c r="B1014" s="2">
        <v>1001</v>
      </c>
      <c r="C1014" s="2">
        <f t="shared" si="76"/>
        <v>1051000</v>
      </c>
      <c r="D1014" s="4">
        <v>0</v>
      </c>
      <c r="E1014" s="4">
        <f t="shared" si="73"/>
        <v>10800</v>
      </c>
      <c r="F1014" s="4">
        <f t="shared" si="74"/>
        <v>42840</v>
      </c>
      <c r="G1014" s="4">
        <f t="shared" si="75"/>
        <v>-32040</v>
      </c>
    </row>
    <row r="1015" spans="2:7" x14ac:dyDescent="0.3">
      <c r="B1015" s="2">
        <v>1002</v>
      </c>
      <c r="C1015" s="2">
        <f t="shared" si="76"/>
        <v>1052000</v>
      </c>
      <c r="D1015" s="4">
        <v>0</v>
      </c>
      <c r="E1015" s="4">
        <f t="shared" si="73"/>
        <v>10800</v>
      </c>
      <c r="F1015" s="4">
        <f t="shared" si="74"/>
        <v>42880</v>
      </c>
      <c r="G1015" s="4">
        <f t="shared" si="75"/>
        <v>-32080</v>
      </c>
    </row>
    <row r="1016" spans="2:7" x14ac:dyDescent="0.3">
      <c r="B1016" s="2">
        <v>1003</v>
      </c>
      <c r="C1016" s="2">
        <f t="shared" si="76"/>
        <v>1053000</v>
      </c>
      <c r="D1016" s="4">
        <v>0</v>
      </c>
      <c r="E1016" s="4">
        <f t="shared" si="73"/>
        <v>10800</v>
      </c>
      <c r="F1016" s="4">
        <f t="shared" si="74"/>
        <v>42920</v>
      </c>
      <c r="G1016" s="4">
        <f t="shared" si="75"/>
        <v>-32120</v>
      </c>
    </row>
    <row r="1017" spans="2:7" x14ac:dyDescent="0.3">
      <c r="B1017" s="2">
        <v>1004</v>
      </c>
      <c r="C1017" s="2">
        <f t="shared" si="76"/>
        <v>1054000</v>
      </c>
      <c r="D1017" s="4">
        <v>0</v>
      </c>
      <c r="E1017" s="4">
        <f t="shared" si="73"/>
        <v>10800</v>
      </c>
      <c r="F1017" s="4">
        <f t="shared" si="74"/>
        <v>42960</v>
      </c>
      <c r="G1017" s="4">
        <f t="shared" si="75"/>
        <v>-32160</v>
      </c>
    </row>
    <row r="1018" spans="2:7" x14ac:dyDescent="0.3">
      <c r="B1018" s="2">
        <v>1005</v>
      </c>
      <c r="C1018" s="2">
        <f t="shared" si="76"/>
        <v>1055000</v>
      </c>
      <c r="D1018" s="4">
        <v>0</v>
      </c>
      <c r="E1018" s="4">
        <f t="shared" si="73"/>
        <v>10800</v>
      </c>
      <c r="F1018" s="4">
        <f t="shared" si="74"/>
        <v>43000</v>
      </c>
      <c r="G1018" s="4">
        <f t="shared" si="75"/>
        <v>-32200</v>
      </c>
    </row>
    <row r="1019" spans="2:7" x14ac:dyDescent="0.3">
      <c r="B1019" s="2">
        <v>1006</v>
      </c>
      <c r="C1019" s="2">
        <f t="shared" si="76"/>
        <v>1056000</v>
      </c>
      <c r="D1019" s="4">
        <v>0</v>
      </c>
      <c r="E1019" s="4">
        <f t="shared" si="73"/>
        <v>10800</v>
      </c>
      <c r="F1019" s="4">
        <f t="shared" si="74"/>
        <v>43040</v>
      </c>
      <c r="G1019" s="4">
        <f t="shared" si="75"/>
        <v>-32240</v>
      </c>
    </row>
    <row r="1020" spans="2:7" x14ac:dyDescent="0.3">
      <c r="B1020" s="2">
        <v>1007</v>
      </c>
      <c r="C1020" s="2">
        <f t="shared" si="76"/>
        <v>1057000</v>
      </c>
      <c r="D1020" s="4">
        <v>0</v>
      </c>
      <c r="E1020" s="4">
        <f t="shared" si="73"/>
        <v>10800</v>
      </c>
      <c r="F1020" s="4">
        <f t="shared" si="74"/>
        <v>43080</v>
      </c>
      <c r="G1020" s="4">
        <f t="shared" si="75"/>
        <v>-32280</v>
      </c>
    </row>
    <row r="1021" spans="2:7" x14ac:dyDescent="0.3">
      <c r="B1021" s="2">
        <v>1008</v>
      </c>
      <c r="C1021" s="2">
        <f t="shared" si="76"/>
        <v>1058000</v>
      </c>
      <c r="D1021" s="4">
        <v>0</v>
      </c>
      <c r="E1021" s="4">
        <f t="shared" si="73"/>
        <v>10800</v>
      </c>
      <c r="F1021" s="4">
        <f t="shared" si="74"/>
        <v>43120</v>
      </c>
      <c r="G1021" s="4">
        <f t="shared" si="75"/>
        <v>-32320</v>
      </c>
    </row>
    <row r="1022" spans="2:7" x14ac:dyDescent="0.3">
      <c r="B1022" s="2">
        <v>1009</v>
      </c>
      <c r="C1022" s="2">
        <f t="shared" si="76"/>
        <v>1059000</v>
      </c>
      <c r="D1022" s="4">
        <v>0</v>
      </c>
      <c r="E1022" s="4">
        <f t="shared" si="73"/>
        <v>10800</v>
      </c>
      <c r="F1022" s="4">
        <f t="shared" si="74"/>
        <v>43160</v>
      </c>
      <c r="G1022" s="4">
        <f t="shared" si="75"/>
        <v>-32360</v>
      </c>
    </row>
    <row r="1023" spans="2:7" x14ac:dyDescent="0.3">
      <c r="B1023" s="2">
        <v>1010</v>
      </c>
      <c r="C1023" s="2">
        <f t="shared" si="76"/>
        <v>1060000</v>
      </c>
      <c r="D1023" s="4">
        <v>0</v>
      </c>
      <c r="E1023" s="4">
        <f t="shared" si="73"/>
        <v>10800</v>
      </c>
      <c r="F1023" s="4">
        <f t="shared" si="74"/>
        <v>43200</v>
      </c>
      <c r="G1023" s="4">
        <f t="shared" si="75"/>
        <v>-32400</v>
      </c>
    </row>
    <row r="1024" spans="2:7" x14ac:dyDescent="0.3">
      <c r="B1024" s="2">
        <v>1011</v>
      </c>
      <c r="C1024" s="2">
        <f t="shared" si="76"/>
        <v>1061000</v>
      </c>
      <c r="D1024" s="4">
        <v>0</v>
      </c>
      <c r="E1024" s="4">
        <f t="shared" si="73"/>
        <v>10800</v>
      </c>
      <c r="F1024" s="4">
        <f t="shared" si="74"/>
        <v>43240</v>
      </c>
      <c r="G1024" s="4">
        <f t="shared" si="75"/>
        <v>-32440</v>
      </c>
    </row>
    <row r="1025" spans="2:7" x14ac:dyDescent="0.3">
      <c r="B1025" s="2">
        <v>1012</v>
      </c>
      <c r="C1025" s="2">
        <f t="shared" si="76"/>
        <v>1062000</v>
      </c>
      <c r="D1025" s="4">
        <v>0</v>
      </c>
      <c r="E1025" s="4">
        <f t="shared" si="73"/>
        <v>10800</v>
      </c>
      <c r="F1025" s="4">
        <f t="shared" si="74"/>
        <v>43280</v>
      </c>
      <c r="G1025" s="4">
        <f t="shared" si="75"/>
        <v>-32480</v>
      </c>
    </row>
    <row r="1026" spans="2:7" x14ac:dyDescent="0.3">
      <c r="B1026" s="2">
        <v>1013</v>
      </c>
      <c r="C1026" s="2">
        <f t="shared" si="76"/>
        <v>1063000</v>
      </c>
      <c r="D1026" s="4">
        <v>0</v>
      </c>
      <c r="E1026" s="4">
        <f t="shared" si="73"/>
        <v>10800</v>
      </c>
      <c r="F1026" s="4">
        <f t="shared" si="74"/>
        <v>43320</v>
      </c>
      <c r="G1026" s="4">
        <f t="shared" si="75"/>
        <v>-32520</v>
      </c>
    </row>
    <row r="1027" spans="2:7" x14ac:dyDescent="0.3">
      <c r="B1027" s="2">
        <v>1014</v>
      </c>
      <c r="C1027" s="2">
        <f t="shared" si="76"/>
        <v>1064000</v>
      </c>
      <c r="D1027" s="4">
        <v>0</v>
      </c>
      <c r="E1027" s="4">
        <f t="shared" si="73"/>
        <v>10800</v>
      </c>
      <c r="F1027" s="4">
        <f t="shared" si="74"/>
        <v>43360</v>
      </c>
      <c r="G1027" s="4">
        <f t="shared" si="75"/>
        <v>-32560</v>
      </c>
    </row>
    <row r="1028" spans="2:7" x14ac:dyDescent="0.3">
      <c r="B1028" s="2">
        <v>1015</v>
      </c>
      <c r="C1028" s="2">
        <f t="shared" si="76"/>
        <v>1065000</v>
      </c>
      <c r="D1028" s="4">
        <v>0</v>
      </c>
      <c r="E1028" s="4">
        <f t="shared" si="73"/>
        <v>10800</v>
      </c>
      <c r="F1028" s="4">
        <f t="shared" si="74"/>
        <v>43400</v>
      </c>
      <c r="G1028" s="4">
        <f t="shared" si="75"/>
        <v>-32600</v>
      </c>
    </row>
    <row r="1029" spans="2:7" x14ac:dyDescent="0.3">
      <c r="B1029" s="2">
        <v>1016</v>
      </c>
      <c r="C1029" s="2">
        <f t="shared" si="76"/>
        <v>1066000</v>
      </c>
      <c r="D1029" s="4">
        <v>0</v>
      </c>
      <c r="E1029" s="4">
        <f t="shared" si="73"/>
        <v>10800</v>
      </c>
      <c r="F1029" s="4">
        <f t="shared" si="74"/>
        <v>43440</v>
      </c>
      <c r="G1029" s="4">
        <f t="shared" si="75"/>
        <v>-32640</v>
      </c>
    </row>
    <row r="1030" spans="2:7" x14ac:dyDescent="0.3">
      <c r="B1030" s="2">
        <v>1017</v>
      </c>
      <c r="C1030" s="2">
        <f t="shared" si="76"/>
        <v>1067000</v>
      </c>
      <c r="D1030" s="4">
        <v>0</v>
      </c>
      <c r="E1030" s="4">
        <f t="shared" si="73"/>
        <v>10800</v>
      </c>
      <c r="F1030" s="4">
        <f t="shared" si="74"/>
        <v>43480</v>
      </c>
      <c r="G1030" s="4">
        <f t="shared" si="75"/>
        <v>-32680</v>
      </c>
    </row>
    <row r="1031" spans="2:7" x14ac:dyDescent="0.3">
      <c r="B1031" s="2">
        <v>1018</v>
      </c>
      <c r="C1031" s="2">
        <f t="shared" si="76"/>
        <v>1068000</v>
      </c>
      <c r="D1031" s="4">
        <v>0</v>
      </c>
      <c r="E1031" s="4">
        <f t="shared" si="73"/>
        <v>10800</v>
      </c>
      <c r="F1031" s="4">
        <f t="shared" si="74"/>
        <v>43520</v>
      </c>
      <c r="G1031" s="4">
        <f t="shared" si="75"/>
        <v>-32720</v>
      </c>
    </row>
    <row r="1032" spans="2:7" x14ac:dyDescent="0.3">
      <c r="B1032" s="2">
        <v>1019</v>
      </c>
      <c r="C1032" s="2">
        <f t="shared" si="76"/>
        <v>1069000</v>
      </c>
      <c r="D1032" s="4">
        <v>0</v>
      </c>
      <c r="E1032" s="4">
        <f t="shared" si="73"/>
        <v>10800</v>
      </c>
      <c r="F1032" s="4">
        <f t="shared" si="74"/>
        <v>43560</v>
      </c>
      <c r="G1032" s="4">
        <f t="shared" si="75"/>
        <v>-32760</v>
      </c>
    </row>
    <row r="1033" spans="2:7" x14ac:dyDescent="0.3">
      <c r="B1033" s="2">
        <v>1020</v>
      </c>
      <c r="C1033" s="2">
        <f t="shared" si="76"/>
        <v>1070000</v>
      </c>
      <c r="D1033" s="4">
        <v>0</v>
      </c>
      <c r="E1033" s="4">
        <f t="shared" si="73"/>
        <v>10800</v>
      </c>
      <c r="F1033" s="4">
        <f t="shared" si="74"/>
        <v>43600</v>
      </c>
      <c r="G1033" s="4">
        <f t="shared" si="75"/>
        <v>-32800</v>
      </c>
    </row>
    <row r="1034" spans="2:7" x14ac:dyDescent="0.3">
      <c r="B1034" s="2">
        <v>1021</v>
      </c>
      <c r="C1034" s="2">
        <f t="shared" si="76"/>
        <v>1071000</v>
      </c>
      <c r="D1034" s="4">
        <v>0</v>
      </c>
      <c r="E1034" s="4">
        <f t="shared" si="73"/>
        <v>10800</v>
      </c>
      <c r="F1034" s="4">
        <f t="shared" si="74"/>
        <v>43640</v>
      </c>
      <c r="G1034" s="4">
        <f t="shared" si="75"/>
        <v>-32840</v>
      </c>
    </row>
    <row r="1035" spans="2:7" x14ac:dyDescent="0.3">
      <c r="B1035" s="2">
        <v>1022</v>
      </c>
      <c r="C1035" s="2">
        <f t="shared" si="76"/>
        <v>1072000</v>
      </c>
      <c r="D1035" s="4">
        <v>0</v>
      </c>
      <c r="E1035" s="4">
        <f t="shared" si="73"/>
        <v>10800</v>
      </c>
      <c r="F1035" s="4">
        <f t="shared" si="74"/>
        <v>43680</v>
      </c>
      <c r="G1035" s="4">
        <f t="shared" si="75"/>
        <v>-32880</v>
      </c>
    </row>
    <row r="1036" spans="2:7" x14ac:dyDescent="0.3">
      <c r="B1036" s="2">
        <v>1023</v>
      </c>
      <c r="C1036" s="2">
        <f t="shared" si="76"/>
        <v>1073000</v>
      </c>
      <c r="D1036" s="4">
        <v>0</v>
      </c>
      <c r="E1036" s="4">
        <f t="shared" si="73"/>
        <v>10800</v>
      </c>
      <c r="F1036" s="4">
        <f t="shared" si="74"/>
        <v>43720</v>
      </c>
      <c r="G1036" s="4">
        <f t="shared" si="75"/>
        <v>-32920</v>
      </c>
    </row>
    <row r="1037" spans="2:7" x14ac:dyDescent="0.3">
      <c r="B1037" s="2">
        <v>1024</v>
      </c>
      <c r="C1037" s="2">
        <f t="shared" si="76"/>
        <v>1074000</v>
      </c>
      <c r="D1037" s="4">
        <v>0</v>
      </c>
      <c r="E1037" s="4">
        <f t="shared" si="73"/>
        <v>10800</v>
      </c>
      <c r="F1037" s="4">
        <f t="shared" si="74"/>
        <v>43760</v>
      </c>
      <c r="G1037" s="4">
        <f t="shared" si="75"/>
        <v>-32960</v>
      </c>
    </row>
    <row r="1038" spans="2:7" x14ac:dyDescent="0.3">
      <c r="B1038" s="2">
        <v>1025</v>
      </c>
      <c r="C1038" s="2">
        <f t="shared" si="76"/>
        <v>1075000</v>
      </c>
      <c r="D1038" s="4">
        <v>0</v>
      </c>
      <c r="E1038" s="4">
        <f t="shared" ref="E1038:E1101" si="77">$C$3+$C$4*$C$6-D1038</f>
        <v>10800</v>
      </c>
      <c r="F1038" s="4">
        <f t="shared" ref="F1038:F1101" si="78">$F$3*$C$7+$F$4*C1038</f>
        <v>43800</v>
      </c>
      <c r="G1038" s="4">
        <f t="shared" ref="G1038:G1101" si="79">E1038-F1038</f>
        <v>-33000</v>
      </c>
    </row>
    <row r="1039" spans="2:7" x14ac:dyDescent="0.3">
      <c r="B1039" s="2">
        <v>1026</v>
      </c>
      <c r="C1039" s="2">
        <f t="shared" ref="C1039:C1102" si="80">$C$8+(B1039*1000)</f>
        <v>1076000</v>
      </c>
      <c r="D1039" s="4">
        <v>0</v>
      </c>
      <c r="E1039" s="4">
        <f t="shared" si="77"/>
        <v>10800</v>
      </c>
      <c r="F1039" s="4">
        <f t="shared" si="78"/>
        <v>43840</v>
      </c>
      <c r="G1039" s="4">
        <f t="shared" si="79"/>
        <v>-33040</v>
      </c>
    </row>
    <row r="1040" spans="2:7" x14ac:dyDescent="0.3">
      <c r="B1040" s="2">
        <v>1027</v>
      </c>
      <c r="C1040" s="2">
        <f t="shared" si="80"/>
        <v>1077000</v>
      </c>
      <c r="D1040" s="4">
        <v>0</v>
      </c>
      <c r="E1040" s="4">
        <f t="shared" si="77"/>
        <v>10800</v>
      </c>
      <c r="F1040" s="4">
        <f t="shared" si="78"/>
        <v>43880</v>
      </c>
      <c r="G1040" s="4">
        <f t="shared" si="79"/>
        <v>-33080</v>
      </c>
    </row>
    <row r="1041" spans="2:7" x14ac:dyDescent="0.3">
      <c r="B1041" s="2">
        <v>1028</v>
      </c>
      <c r="C1041" s="2">
        <f t="shared" si="80"/>
        <v>1078000</v>
      </c>
      <c r="D1041" s="4">
        <v>0</v>
      </c>
      <c r="E1041" s="4">
        <f t="shared" si="77"/>
        <v>10800</v>
      </c>
      <c r="F1041" s="4">
        <f t="shared" si="78"/>
        <v>43920</v>
      </c>
      <c r="G1041" s="4">
        <f t="shared" si="79"/>
        <v>-33120</v>
      </c>
    </row>
    <row r="1042" spans="2:7" x14ac:dyDescent="0.3">
      <c r="B1042" s="2">
        <v>1029</v>
      </c>
      <c r="C1042" s="2">
        <f t="shared" si="80"/>
        <v>1079000</v>
      </c>
      <c r="D1042" s="4">
        <v>0</v>
      </c>
      <c r="E1042" s="4">
        <f t="shared" si="77"/>
        <v>10800</v>
      </c>
      <c r="F1042" s="4">
        <f t="shared" si="78"/>
        <v>43960</v>
      </c>
      <c r="G1042" s="4">
        <f t="shared" si="79"/>
        <v>-33160</v>
      </c>
    </row>
    <row r="1043" spans="2:7" x14ac:dyDescent="0.3">
      <c r="B1043" s="2">
        <v>1030</v>
      </c>
      <c r="C1043" s="2">
        <f t="shared" si="80"/>
        <v>1080000</v>
      </c>
      <c r="D1043" s="4">
        <v>0</v>
      </c>
      <c r="E1043" s="4">
        <f t="shared" si="77"/>
        <v>10800</v>
      </c>
      <c r="F1043" s="4">
        <f t="shared" si="78"/>
        <v>44000</v>
      </c>
      <c r="G1043" s="4">
        <f t="shared" si="79"/>
        <v>-33200</v>
      </c>
    </row>
    <row r="1044" spans="2:7" x14ac:dyDescent="0.3">
      <c r="B1044" s="2">
        <v>1031</v>
      </c>
      <c r="C1044" s="2">
        <f t="shared" si="80"/>
        <v>1081000</v>
      </c>
      <c r="D1044" s="4">
        <v>0</v>
      </c>
      <c r="E1044" s="4">
        <f t="shared" si="77"/>
        <v>10800</v>
      </c>
      <c r="F1044" s="4">
        <f t="shared" si="78"/>
        <v>44040</v>
      </c>
      <c r="G1044" s="4">
        <f t="shared" si="79"/>
        <v>-33240</v>
      </c>
    </row>
    <row r="1045" spans="2:7" x14ac:dyDescent="0.3">
      <c r="B1045" s="2">
        <v>1032</v>
      </c>
      <c r="C1045" s="2">
        <f t="shared" si="80"/>
        <v>1082000</v>
      </c>
      <c r="D1045" s="4">
        <v>0</v>
      </c>
      <c r="E1045" s="4">
        <f t="shared" si="77"/>
        <v>10800</v>
      </c>
      <c r="F1045" s="4">
        <f t="shared" si="78"/>
        <v>44080</v>
      </c>
      <c r="G1045" s="4">
        <f t="shared" si="79"/>
        <v>-33280</v>
      </c>
    </row>
    <row r="1046" spans="2:7" x14ac:dyDescent="0.3">
      <c r="B1046" s="2">
        <v>1033</v>
      </c>
      <c r="C1046" s="2">
        <f t="shared" si="80"/>
        <v>1083000</v>
      </c>
      <c r="D1046" s="4">
        <v>0</v>
      </c>
      <c r="E1046" s="4">
        <f t="shared" si="77"/>
        <v>10800</v>
      </c>
      <c r="F1046" s="4">
        <f t="shared" si="78"/>
        <v>44120</v>
      </c>
      <c r="G1046" s="4">
        <f t="shared" si="79"/>
        <v>-33320</v>
      </c>
    </row>
    <row r="1047" spans="2:7" x14ac:dyDescent="0.3">
      <c r="B1047" s="2">
        <v>1034</v>
      </c>
      <c r="C1047" s="2">
        <f t="shared" si="80"/>
        <v>1084000</v>
      </c>
      <c r="D1047" s="4">
        <v>0</v>
      </c>
      <c r="E1047" s="4">
        <f t="shared" si="77"/>
        <v>10800</v>
      </c>
      <c r="F1047" s="4">
        <f t="shared" si="78"/>
        <v>44160</v>
      </c>
      <c r="G1047" s="4">
        <f t="shared" si="79"/>
        <v>-33360</v>
      </c>
    </row>
    <row r="1048" spans="2:7" x14ac:dyDescent="0.3">
      <c r="B1048" s="2">
        <v>1035</v>
      </c>
      <c r="C1048" s="2">
        <f t="shared" si="80"/>
        <v>1085000</v>
      </c>
      <c r="D1048" s="4">
        <v>0</v>
      </c>
      <c r="E1048" s="4">
        <f t="shared" si="77"/>
        <v>10800</v>
      </c>
      <c r="F1048" s="4">
        <f t="shared" si="78"/>
        <v>44200</v>
      </c>
      <c r="G1048" s="4">
        <f t="shared" si="79"/>
        <v>-33400</v>
      </c>
    </row>
    <row r="1049" spans="2:7" x14ac:dyDescent="0.3">
      <c r="B1049" s="2">
        <v>1036</v>
      </c>
      <c r="C1049" s="2">
        <f t="shared" si="80"/>
        <v>1086000</v>
      </c>
      <c r="D1049" s="4">
        <v>0</v>
      </c>
      <c r="E1049" s="4">
        <f t="shared" si="77"/>
        <v>10800</v>
      </c>
      <c r="F1049" s="4">
        <f t="shared" si="78"/>
        <v>44240</v>
      </c>
      <c r="G1049" s="4">
        <f t="shared" si="79"/>
        <v>-33440</v>
      </c>
    </row>
    <row r="1050" spans="2:7" x14ac:dyDescent="0.3">
      <c r="B1050" s="2">
        <v>1037</v>
      </c>
      <c r="C1050" s="2">
        <f t="shared" si="80"/>
        <v>1087000</v>
      </c>
      <c r="D1050" s="4">
        <v>0</v>
      </c>
      <c r="E1050" s="4">
        <f t="shared" si="77"/>
        <v>10800</v>
      </c>
      <c r="F1050" s="4">
        <f t="shared" si="78"/>
        <v>44280</v>
      </c>
      <c r="G1050" s="4">
        <f t="shared" si="79"/>
        <v>-33480</v>
      </c>
    </row>
    <row r="1051" spans="2:7" x14ac:dyDescent="0.3">
      <c r="B1051" s="2">
        <v>1038</v>
      </c>
      <c r="C1051" s="2">
        <f t="shared" si="80"/>
        <v>1088000</v>
      </c>
      <c r="D1051" s="4">
        <v>0</v>
      </c>
      <c r="E1051" s="4">
        <f t="shared" si="77"/>
        <v>10800</v>
      </c>
      <c r="F1051" s="4">
        <f t="shared" si="78"/>
        <v>44320</v>
      </c>
      <c r="G1051" s="4">
        <f t="shared" si="79"/>
        <v>-33520</v>
      </c>
    </row>
    <row r="1052" spans="2:7" x14ac:dyDescent="0.3">
      <c r="B1052" s="2">
        <v>1039</v>
      </c>
      <c r="C1052" s="2">
        <f t="shared" si="80"/>
        <v>1089000</v>
      </c>
      <c r="D1052" s="4">
        <v>0</v>
      </c>
      <c r="E1052" s="4">
        <f t="shared" si="77"/>
        <v>10800</v>
      </c>
      <c r="F1052" s="4">
        <f t="shared" si="78"/>
        <v>44360</v>
      </c>
      <c r="G1052" s="4">
        <f t="shared" si="79"/>
        <v>-33560</v>
      </c>
    </row>
    <row r="1053" spans="2:7" x14ac:dyDescent="0.3">
      <c r="B1053" s="2">
        <v>1040</v>
      </c>
      <c r="C1053" s="2">
        <f t="shared" si="80"/>
        <v>1090000</v>
      </c>
      <c r="D1053" s="4">
        <v>0</v>
      </c>
      <c r="E1053" s="4">
        <f t="shared" si="77"/>
        <v>10800</v>
      </c>
      <c r="F1053" s="4">
        <f t="shared" si="78"/>
        <v>44400</v>
      </c>
      <c r="G1053" s="4">
        <f t="shared" si="79"/>
        <v>-33600</v>
      </c>
    </row>
    <row r="1054" spans="2:7" x14ac:dyDescent="0.3">
      <c r="B1054" s="2">
        <v>1041</v>
      </c>
      <c r="C1054" s="2">
        <f t="shared" si="80"/>
        <v>1091000</v>
      </c>
      <c r="D1054" s="4">
        <v>0</v>
      </c>
      <c r="E1054" s="4">
        <f t="shared" si="77"/>
        <v>10800</v>
      </c>
      <c r="F1054" s="4">
        <f t="shared" si="78"/>
        <v>44440</v>
      </c>
      <c r="G1054" s="4">
        <f t="shared" si="79"/>
        <v>-33640</v>
      </c>
    </row>
    <row r="1055" spans="2:7" x14ac:dyDescent="0.3">
      <c r="B1055" s="2">
        <v>1042</v>
      </c>
      <c r="C1055" s="2">
        <f t="shared" si="80"/>
        <v>1092000</v>
      </c>
      <c r="D1055" s="4">
        <v>0</v>
      </c>
      <c r="E1055" s="4">
        <f t="shared" si="77"/>
        <v>10800</v>
      </c>
      <c r="F1055" s="4">
        <f t="shared" si="78"/>
        <v>44480</v>
      </c>
      <c r="G1055" s="4">
        <f t="shared" si="79"/>
        <v>-33680</v>
      </c>
    </row>
    <row r="1056" spans="2:7" x14ac:dyDescent="0.3">
      <c r="B1056" s="2">
        <v>1043</v>
      </c>
      <c r="C1056" s="2">
        <f t="shared" si="80"/>
        <v>1093000</v>
      </c>
      <c r="D1056" s="4">
        <v>0</v>
      </c>
      <c r="E1056" s="4">
        <f t="shared" si="77"/>
        <v>10800</v>
      </c>
      <c r="F1056" s="4">
        <f t="shared" si="78"/>
        <v>44520</v>
      </c>
      <c r="G1056" s="4">
        <f t="shared" si="79"/>
        <v>-33720</v>
      </c>
    </row>
    <row r="1057" spans="2:7" x14ac:dyDescent="0.3">
      <c r="B1057" s="2">
        <v>1044</v>
      </c>
      <c r="C1057" s="2">
        <f t="shared" si="80"/>
        <v>1094000</v>
      </c>
      <c r="D1057" s="4">
        <v>0</v>
      </c>
      <c r="E1057" s="4">
        <f t="shared" si="77"/>
        <v>10800</v>
      </c>
      <c r="F1057" s="4">
        <f t="shared" si="78"/>
        <v>44560</v>
      </c>
      <c r="G1057" s="4">
        <f t="shared" si="79"/>
        <v>-33760</v>
      </c>
    </row>
    <row r="1058" spans="2:7" x14ac:dyDescent="0.3">
      <c r="B1058" s="2">
        <v>1045</v>
      </c>
      <c r="C1058" s="2">
        <f t="shared" si="80"/>
        <v>1095000</v>
      </c>
      <c r="D1058" s="4">
        <v>0</v>
      </c>
      <c r="E1058" s="4">
        <f t="shared" si="77"/>
        <v>10800</v>
      </c>
      <c r="F1058" s="4">
        <f t="shared" si="78"/>
        <v>44600</v>
      </c>
      <c r="G1058" s="4">
        <f t="shared" si="79"/>
        <v>-33800</v>
      </c>
    </row>
    <row r="1059" spans="2:7" x14ac:dyDescent="0.3">
      <c r="B1059" s="2">
        <v>1046</v>
      </c>
      <c r="C1059" s="2">
        <f t="shared" si="80"/>
        <v>1096000</v>
      </c>
      <c r="D1059" s="4">
        <v>0</v>
      </c>
      <c r="E1059" s="4">
        <f t="shared" si="77"/>
        <v>10800</v>
      </c>
      <c r="F1059" s="4">
        <f t="shared" si="78"/>
        <v>44640</v>
      </c>
      <c r="G1059" s="4">
        <f t="shared" si="79"/>
        <v>-33840</v>
      </c>
    </row>
    <row r="1060" spans="2:7" x14ac:dyDescent="0.3">
      <c r="B1060" s="2">
        <v>1047</v>
      </c>
      <c r="C1060" s="2">
        <f t="shared" si="80"/>
        <v>1097000</v>
      </c>
      <c r="D1060" s="4">
        <v>0</v>
      </c>
      <c r="E1060" s="4">
        <f t="shared" si="77"/>
        <v>10800</v>
      </c>
      <c r="F1060" s="4">
        <f t="shared" si="78"/>
        <v>44680</v>
      </c>
      <c r="G1060" s="4">
        <f t="shared" si="79"/>
        <v>-33880</v>
      </c>
    </row>
    <row r="1061" spans="2:7" x14ac:dyDescent="0.3">
      <c r="B1061" s="2">
        <v>1048</v>
      </c>
      <c r="C1061" s="2">
        <f t="shared" si="80"/>
        <v>1098000</v>
      </c>
      <c r="D1061" s="4">
        <v>0</v>
      </c>
      <c r="E1061" s="4">
        <f t="shared" si="77"/>
        <v>10800</v>
      </c>
      <c r="F1061" s="4">
        <f t="shared" si="78"/>
        <v>44720</v>
      </c>
      <c r="G1061" s="4">
        <f t="shared" si="79"/>
        <v>-33920</v>
      </c>
    </row>
    <row r="1062" spans="2:7" x14ac:dyDescent="0.3">
      <c r="B1062" s="2">
        <v>1049</v>
      </c>
      <c r="C1062" s="2">
        <f t="shared" si="80"/>
        <v>1099000</v>
      </c>
      <c r="D1062" s="4">
        <v>0</v>
      </c>
      <c r="E1062" s="4">
        <f t="shared" si="77"/>
        <v>10800</v>
      </c>
      <c r="F1062" s="4">
        <f t="shared" si="78"/>
        <v>44760</v>
      </c>
      <c r="G1062" s="4">
        <f t="shared" si="79"/>
        <v>-33960</v>
      </c>
    </row>
    <row r="1063" spans="2:7" x14ac:dyDescent="0.3">
      <c r="B1063" s="2">
        <v>1050</v>
      </c>
      <c r="C1063" s="2">
        <f t="shared" si="80"/>
        <v>1100000</v>
      </c>
      <c r="D1063" s="4">
        <v>0</v>
      </c>
      <c r="E1063" s="4">
        <f t="shared" si="77"/>
        <v>10800</v>
      </c>
      <c r="F1063" s="4">
        <f t="shared" si="78"/>
        <v>44800</v>
      </c>
      <c r="G1063" s="4">
        <f t="shared" si="79"/>
        <v>-34000</v>
      </c>
    </row>
    <row r="1064" spans="2:7" x14ac:dyDescent="0.3">
      <c r="B1064" s="2">
        <v>1051</v>
      </c>
      <c r="C1064" s="2">
        <f t="shared" si="80"/>
        <v>1101000</v>
      </c>
      <c r="D1064" s="4">
        <v>0</v>
      </c>
      <c r="E1064" s="4">
        <f t="shared" si="77"/>
        <v>10800</v>
      </c>
      <c r="F1064" s="4">
        <f t="shared" si="78"/>
        <v>44840</v>
      </c>
      <c r="G1064" s="4">
        <f t="shared" si="79"/>
        <v>-34040</v>
      </c>
    </row>
    <row r="1065" spans="2:7" x14ac:dyDescent="0.3">
      <c r="B1065" s="2">
        <v>1052</v>
      </c>
      <c r="C1065" s="2">
        <f t="shared" si="80"/>
        <v>1102000</v>
      </c>
      <c r="D1065" s="4">
        <v>0</v>
      </c>
      <c r="E1065" s="4">
        <f t="shared" si="77"/>
        <v>10800</v>
      </c>
      <c r="F1065" s="4">
        <f t="shared" si="78"/>
        <v>44880</v>
      </c>
      <c r="G1065" s="4">
        <f t="shared" si="79"/>
        <v>-34080</v>
      </c>
    </row>
    <row r="1066" spans="2:7" x14ac:dyDescent="0.3">
      <c r="B1066" s="2">
        <v>1053</v>
      </c>
      <c r="C1066" s="2">
        <f t="shared" si="80"/>
        <v>1103000</v>
      </c>
      <c r="D1066" s="4">
        <v>0</v>
      </c>
      <c r="E1066" s="4">
        <f t="shared" si="77"/>
        <v>10800</v>
      </c>
      <c r="F1066" s="4">
        <f t="shared" si="78"/>
        <v>44920</v>
      </c>
      <c r="G1066" s="4">
        <f t="shared" si="79"/>
        <v>-34120</v>
      </c>
    </row>
    <row r="1067" spans="2:7" x14ac:dyDescent="0.3">
      <c r="B1067" s="2">
        <v>1054</v>
      </c>
      <c r="C1067" s="2">
        <f t="shared" si="80"/>
        <v>1104000</v>
      </c>
      <c r="D1067" s="4">
        <v>0</v>
      </c>
      <c r="E1067" s="4">
        <f t="shared" si="77"/>
        <v>10800</v>
      </c>
      <c r="F1067" s="4">
        <f t="shared" si="78"/>
        <v>44960</v>
      </c>
      <c r="G1067" s="4">
        <f t="shared" si="79"/>
        <v>-34160</v>
      </c>
    </row>
    <row r="1068" spans="2:7" x14ac:dyDescent="0.3">
      <c r="B1068" s="2">
        <v>1055</v>
      </c>
      <c r="C1068" s="2">
        <f t="shared" si="80"/>
        <v>1105000</v>
      </c>
      <c r="D1068" s="4">
        <v>0</v>
      </c>
      <c r="E1068" s="4">
        <f t="shared" si="77"/>
        <v>10800</v>
      </c>
      <c r="F1068" s="4">
        <f t="shared" si="78"/>
        <v>45000</v>
      </c>
      <c r="G1068" s="4">
        <f t="shared" si="79"/>
        <v>-34200</v>
      </c>
    </row>
    <row r="1069" spans="2:7" x14ac:dyDescent="0.3">
      <c r="B1069" s="2">
        <v>1056</v>
      </c>
      <c r="C1069" s="2">
        <f t="shared" si="80"/>
        <v>1106000</v>
      </c>
      <c r="D1069" s="4">
        <v>0</v>
      </c>
      <c r="E1069" s="4">
        <f t="shared" si="77"/>
        <v>10800</v>
      </c>
      <c r="F1069" s="4">
        <f t="shared" si="78"/>
        <v>45040</v>
      </c>
      <c r="G1069" s="4">
        <f t="shared" si="79"/>
        <v>-34240</v>
      </c>
    </row>
    <row r="1070" spans="2:7" x14ac:dyDescent="0.3">
      <c r="B1070" s="2">
        <v>1057</v>
      </c>
      <c r="C1070" s="2">
        <f t="shared" si="80"/>
        <v>1107000</v>
      </c>
      <c r="D1070" s="4">
        <v>0</v>
      </c>
      <c r="E1070" s="4">
        <f t="shared" si="77"/>
        <v>10800</v>
      </c>
      <c r="F1070" s="4">
        <f t="shared" si="78"/>
        <v>45080</v>
      </c>
      <c r="G1070" s="4">
        <f t="shared" si="79"/>
        <v>-34280</v>
      </c>
    </row>
    <row r="1071" spans="2:7" x14ac:dyDescent="0.3">
      <c r="B1071" s="2">
        <v>1058</v>
      </c>
      <c r="C1071" s="2">
        <f t="shared" si="80"/>
        <v>1108000</v>
      </c>
      <c r="D1071" s="4">
        <v>0</v>
      </c>
      <c r="E1071" s="4">
        <f t="shared" si="77"/>
        <v>10800</v>
      </c>
      <c r="F1071" s="4">
        <f t="shared" si="78"/>
        <v>45120</v>
      </c>
      <c r="G1071" s="4">
        <f t="shared" si="79"/>
        <v>-34320</v>
      </c>
    </row>
    <row r="1072" spans="2:7" x14ac:dyDescent="0.3">
      <c r="B1072" s="2">
        <v>1059</v>
      </c>
      <c r="C1072" s="2">
        <f t="shared" si="80"/>
        <v>1109000</v>
      </c>
      <c r="D1072" s="4">
        <v>0</v>
      </c>
      <c r="E1072" s="4">
        <f t="shared" si="77"/>
        <v>10800</v>
      </c>
      <c r="F1072" s="4">
        <f t="shared" si="78"/>
        <v>45160</v>
      </c>
      <c r="G1072" s="4">
        <f t="shared" si="79"/>
        <v>-34360</v>
      </c>
    </row>
    <row r="1073" spans="2:7" x14ac:dyDescent="0.3">
      <c r="B1073" s="2">
        <v>1060</v>
      </c>
      <c r="C1073" s="2">
        <f t="shared" si="80"/>
        <v>1110000</v>
      </c>
      <c r="D1073" s="4">
        <v>0</v>
      </c>
      <c r="E1073" s="4">
        <f t="shared" si="77"/>
        <v>10800</v>
      </c>
      <c r="F1073" s="4">
        <f t="shared" si="78"/>
        <v>45200</v>
      </c>
      <c r="G1073" s="4">
        <f t="shared" si="79"/>
        <v>-34400</v>
      </c>
    </row>
    <row r="1074" spans="2:7" x14ac:dyDescent="0.3">
      <c r="B1074" s="2">
        <v>1061</v>
      </c>
      <c r="C1074" s="2">
        <f t="shared" si="80"/>
        <v>1111000</v>
      </c>
      <c r="D1074" s="4">
        <v>0</v>
      </c>
      <c r="E1074" s="4">
        <f t="shared" si="77"/>
        <v>10800</v>
      </c>
      <c r="F1074" s="4">
        <f t="shared" si="78"/>
        <v>45240</v>
      </c>
      <c r="G1074" s="4">
        <f t="shared" si="79"/>
        <v>-34440</v>
      </c>
    </row>
    <row r="1075" spans="2:7" x14ac:dyDescent="0.3">
      <c r="B1075" s="2">
        <v>1062</v>
      </c>
      <c r="C1075" s="2">
        <f t="shared" si="80"/>
        <v>1112000</v>
      </c>
      <c r="D1075" s="4">
        <v>0</v>
      </c>
      <c r="E1075" s="4">
        <f t="shared" si="77"/>
        <v>10800</v>
      </c>
      <c r="F1075" s="4">
        <f t="shared" si="78"/>
        <v>45280</v>
      </c>
      <c r="G1075" s="4">
        <f t="shared" si="79"/>
        <v>-34480</v>
      </c>
    </row>
    <row r="1076" spans="2:7" x14ac:dyDescent="0.3">
      <c r="B1076" s="2">
        <v>1063</v>
      </c>
      <c r="C1076" s="2">
        <f t="shared" si="80"/>
        <v>1113000</v>
      </c>
      <c r="D1076" s="4">
        <v>0</v>
      </c>
      <c r="E1076" s="4">
        <f t="shared" si="77"/>
        <v>10800</v>
      </c>
      <c r="F1076" s="4">
        <f t="shared" si="78"/>
        <v>45320</v>
      </c>
      <c r="G1076" s="4">
        <f t="shared" si="79"/>
        <v>-34520</v>
      </c>
    </row>
    <row r="1077" spans="2:7" x14ac:dyDescent="0.3">
      <c r="B1077" s="2">
        <v>1064</v>
      </c>
      <c r="C1077" s="2">
        <f t="shared" si="80"/>
        <v>1114000</v>
      </c>
      <c r="D1077" s="4">
        <v>0</v>
      </c>
      <c r="E1077" s="4">
        <f t="shared" si="77"/>
        <v>10800</v>
      </c>
      <c r="F1077" s="4">
        <f t="shared" si="78"/>
        <v>45360</v>
      </c>
      <c r="G1077" s="4">
        <f t="shared" si="79"/>
        <v>-34560</v>
      </c>
    </row>
    <row r="1078" spans="2:7" x14ac:dyDescent="0.3">
      <c r="B1078" s="2">
        <v>1065</v>
      </c>
      <c r="C1078" s="2">
        <f t="shared" si="80"/>
        <v>1115000</v>
      </c>
      <c r="D1078" s="4">
        <v>0</v>
      </c>
      <c r="E1078" s="4">
        <f t="shared" si="77"/>
        <v>10800</v>
      </c>
      <c r="F1078" s="4">
        <f t="shared" si="78"/>
        <v>45400</v>
      </c>
      <c r="G1078" s="4">
        <f t="shared" si="79"/>
        <v>-34600</v>
      </c>
    </row>
    <row r="1079" spans="2:7" x14ac:dyDescent="0.3">
      <c r="B1079" s="2">
        <v>1066</v>
      </c>
      <c r="C1079" s="2">
        <f t="shared" si="80"/>
        <v>1116000</v>
      </c>
      <c r="D1079" s="4">
        <v>0</v>
      </c>
      <c r="E1079" s="4">
        <f t="shared" si="77"/>
        <v>10800</v>
      </c>
      <c r="F1079" s="4">
        <f t="shared" si="78"/>
        <v>45440</v>
      </c>
      <c r="G1079" s="4">
        <f t="shared" si="79"/>
        <v>-34640</v>
      </c>
    </row>
    <row r="1080" spans="2:7" x14ac:dyDescent="0.3">
      <c r="B1080" s="2">
        <v>1067</v>
      </c>
      <c r="C1080" s="2">
        <f t="shared" si="80"/>
        <v>1117000</v>
      </c>
      <c r="D1080" s="4">
        <v>0</v>
      </c>
      <c r="E1080" s="4">
        <f t="shared" si="77"/>
        <v>10800</v>
      </c>
      <c r="F1080" s="4">
        <f t="shared" si="78"/>
        <v>45480</v>
      </c>
      <c r="G1080" s="4">
        <f t="shared" si="79"/>
        <v>-34680</v>
      </c>
    </row>
    <row r="1081" spans="2:7" x14ac:dyDescent="0.3">
      <c r="B1081" s="2">
        <v>1068</v>
      </c>
      <c r="C1081" s="2">
        <f t="shared" si="80"/>
        <v>1118000</v>
      </c>
      <c r="D1081" s="4">
        <v>0</v>
      </c>
      <c r="E1081" s="4">
        <f t="shared" si="77"/>
        <v>10800</v>
      </c>
      <c r="F1081" s="4">
        <f t="shared" si="78"/>
        <v>45520</v>
      </c>
      <c r="G1081" s="4">
        <f t="shared" si="79"/>
        <v>-34720</v>
      </c>
    </row>
    <row r="1082" spans="2:7" x14ac:dyDescent="0.3">
      <c r="B1082" s="2">
        <v>1069</v>
      </c>
      <c r="C1082" s="2">
        <f t="shared" si="80"/>
        <v>1119000</v>
      </c>
      <c r="D1082" s="4">
        <v>0</v>
      </c>
      <c r="E1082" s="4">
        <f t="shared" si="77"/>
        <v>10800</v>
      </c>
      <c r="F1082" s="4">
        <f t="shared" si="78"/>
        <v>45560</v>
      </c>
      <c r="G1082" s="4">
        <f t="shared" si="79"/>
        <v>-34760</v>
      </c>
    </row>
    <row r="1083" spans="2:7" x14ac:dyDescent="0.3">
      <c r="B1083" s="2">
        <v>1070</v>
      </c>
      <c r="C1083" s="2">
        <f t="shared" si="80"/>
        <v>1120000</v>
      </c>
      <c r="D1083" s="4">
        <v>0</v>
      </c>
      <c r="E1083" s="4">
        <f t="shared" si="77"/>
        <v>10800</v>
      </c>
      <c r="F1083" s="4">
        <f t="shared" si="78"/>
        <v>45600</v>
      </c>
      <c r="G1083" s="4">
        <f t="shared" si="79"/>
        <v>-34800</v>
      </c>
    </row>
    <row r="1084" spans="2:7" x14ac:dyDescent="0.3">
      <c r="B1084" s="2">
        <v>1071</v>
      </c>
      <c r="C1084" s="2">
        <f t="shared" si="80"/>
        <v>1121000</v>
      </c>
      <c r="D1084" s="4">
        <v>0</v>
      </c>
      <c r="E1084" s="4">
        <f t="shared" si="77"/>
        <v>10800</v>
      </c>
      <c r="F1084" s="4">
        <f t="shared" si="78"/>
        <v>45640</v>
      </c>
      <c r="G1084" s="4">
        <f t="shared" si="79"/>
        <v>-34840</v>
      </c>
    </row>
    <row r="1085" spans="2:7" x14ac:dyDescent="0.3">
      <c r="B1085" s="2">
        <v>1072</v>
      </c>
      <c r="C1085" s="2">
        <f t="shared" si="80"/>
        <v>1122000</v>
      </c>
      <c r="D1085" s="4">
        <v>0</v>
      </c>
      <c r="E1085" s="4">
        <f t="shared" si="77"/>
        <v>10800</v>
      </c>
      <c r="F1085" s="4">
        <f t="shared" si="78"/>
        <v>45680</v>
      </c>
      <c r="G1085" s="4">
        <f t="shared" si="79"/>
        <v>-34880</v>
      </c>
    </row>
    <row r="1086" spans="2:7" x14ac:dyDescent="0.3">
      <c r="B1086" s="2">
        <v>1073</v>
      </c>
      <c r="C1086" s="2">
        <f t="shared" si="80"/>
        <v>1123000</v>
      </c>
      <c r="D1086" s="4">
        <v>0</v>
      </c>
      <c r="E1086" s="4">
        <f t="shared" si="77"/>
        <v>10800</v>
      </c>
      <c r="F1086" s="4">
        <f t="shared" si="78"/>
        <v>45720</v>
      </c>
      <c r="G1086" s="4">
        <f t="shared" si="79"/>
        <v>-34920</v>
      </c>
    </row>
    <row r="1087" spans="2:7" x14ac:dyDescent="0.3">
      <c r="B1087" s="2">
        <v>1074</v>
      </c>
      <c r="C1087" s="2">
        <f t="shared" si="80"/>
        <v>1124000</v>
      </c>
      <c r="D1087" s="4">
        <v>0</v>
      </c>
      <c r="E1087" s="4">
        <f t="shared" si="77"/>
        <v>10800</v>
      </c>
      <c r="F1087" s="4">
        <f t="shared" si="78"/>
        <v>45760</v>
      </c>
      <c r="G1087" s="4">
        <f t="shared" si="79"/>
        <v>-34960</v>
      </c>
    </row>
    <row r="1088" spans="2:7" x14ac:dyDescent="0.3">
      <c r="B1088" s="2">
        <v>1075</v>
      </c>
      <c r="C1088" s="2">
        <f t="shared" si="80"/>
        <v>1125000</v>
      </c>
      <c r="D1088" s="4">
        <v>0</v>
      </c>
      <c r="E1088" s="4">
        <f t="shared" si="77"/>
        <v>10800</v>
      </c>
      <c r="F1088" s="4">
        <f t="shared" si="78"/>
        <v>45800</v>
      </c>
      <c r="G1088" s="4">
        <f t="shared" si="79"/>
        <v>-35000</v>
      </c>
    </row>
    <row r="1089" spans="2:7" x14ac:dyDescent="0.3">
      <c r="B1089" s="2">
        <v>1076</v>
      </c>
      <c r="C1089" s="2">
        <f t="shared" si="80"/>
        <v>1126000</v>
      </c>
      <c r="D1089" s="4">
        <v>0</v>
      </c>
      <c r="E1089" s="4">
        <f t="shared" si="77"/>
        <v>10800</v>
      </c>
      <c r="F1089" s="4">
        <f t="shared" si="78"/>
        <v>45840</v>
      </c>
      <c r="G1089" s="4">
        <f t="shared" si="79"/>
        <v>-35040</v>
      </c>
    </row>
    <row r="1090" spans="2:7" x14ac:dyDescent="0.3">
      <c r="B1090" s="2">
        <v>1077</v>
      </c>
      <c r="C1090" s="2">
        <f t="shared" si="80"/>
        <v>1127000</v>
      </c>
      <c r="D1090" s="4">
        <v>0</v>
      </c>
      <c r="E1090" s="4">
        <f t="shared" si="77"/>
        <v>10800</v>
      </c>
      <c r="F1090" s="4">
        <f t="shared" si="78"/>
        <v>45880</v>
      </c>
      <c r="G1090" s="4">
        <f t="shared" si="79"/>
        <v>-35080</v>
      </c>
    </row>
    <row r="1091" spans="2:7" x14ac:dyDescent="0.3">
      <c r="B1091" s="2">
        <v>1078</v>
      </c>
      <c r="C1091" s="2">
        <f t="shared" si="80"/>
        <v>1128000</v>
      </c>
      <c r="D1091" s="4">
        <v>0</v>
      </c>
      <c r="E1091" s="4">
        <f t="shared" si="77"/>
        <v>10800</v>
      </c>
      <c r="F1091" s="4">
        <f t="shared" si="78"/>
        <v>45920</v>
      </c>
      <c r="G1091" s="4">
        <f t="shared" si="79"/>
        <v>-35120</v>
      </c>
    </row>
    <row r="1092" spans="2:7" x14ac:dyDescent="0.3">
      <c r="B1092" s="2">
        <v>1079</v>
      </c>
      <c r="C1092" s="2">
        <f t="shared" si="80"/>
        <v>1129000</v>
      </c>
      <c r="D1092" s="4">
        <v>0</v>
      </c>
      <c r="E1092" s="4">
        <f t="shared" si="77"/>
        <v>10800</v>
      </c>
      <c r="F1092" s="4">
        <f t="shared" si="78"/>
        <v>45960</v>
      </c>
      <c r="G1092" s="4">
        <f t="shared" si="79"/>
        <v>-35160</v>
      </c>
    </row>
    <row r="1093" spans="2:7" x14ac:dyDescent="0.3">
      <c r="B1093" s="2">
        <v>1080</v>
      </c>
      <c r="C1093" s="2">
        <f t="shared" si="80"/>
        <v>1130000</v>
      </c>
      <c r="D1093" s="4">
        <v>0</v>
      </c>
      <c r="E1093" s="4">
        <f t="shared" si="77"/>
        <v>10800</v>
      </c>
      <c r="F1093" s="4">
        <f t="shared" si="78"/>
        <v>46000</v>
      </c>
      <c r="G1093" s="4">
        <f t="shared" si="79"/>
        <v>-35200</v>
      </c>
    </row>
    <row r="1094" spans="2:7" x14ac:dyDescent="0.3">
      <c r="B1094" s="2">
        <v>1081</v>
      </c>
      <c r="C1094" s="2">
        <f t="shared" si="80"/>
        <v>1131000</v>
      </c>
      <c r="D1094" s="4">
        <v>0</v>
      </c>
      <c r="E1094" s="4">
        <f t="shared" si="77"/>
        <v>10800</v>
      </c>
      <c r="F1094" s="4">
        <f t="shared" si="78"/>
        <v>46040</v>
      </c>
      <c r="G1094" s="4">
        <f t="shared" si="79"/>
        <v>-35240</v>
      </c>
    </row>
    <row r="1095" spans="2:7" x14ac:dyDescent="0.3">
      <c r="B1095" s="2">
        <v>1082</v>
      </c>
      <c r="C1095" s="2">
        <f t="shared" si="80"/>
        <v>1132000</v>
      </c>
      <c r="D1095" s="4">
        <v>0</v>
      </c>
      <c r="E1095" s="4">
        <f t="shared" si="77"/>
        <v>10800</v>
      </c>
      <c r="F1095" s="4">
        <f t="shared" si="78"/>
        <v>46080</v>
      </c>
      <c r="G1095" s="4">
        <f t="shared" si="79"/>
        <v>-35280</v>
      </c>
    </row>
    <row r="1096" spans="2:7" x14ac:dyDescent="0.3">
      <c r="B1096" s="2">
        <v>1083</v>
      </c>
      <c r="C1096" s="2">
        <f t="shared" si="80"/>
        <v>1133000</v>
      </c>
      <c r="D1096" s="4">
        <v>0</v>
      </c>
      <c r="E1096" s="4">
        <f t="shared" si="77"/>
        <v>10800</v>
      </c>
      <c r="F1096" s="4">
        <f t="shared" si="78"/>
        <v>46120</v>
      </c>
      <c r="G1096" s="4">
        <f t="shared" si="79"/>
        <v>-35320</v>
      </c>
    </row>
    <row r="1097" spans="2:7" x14ac:dyDescent="0.3">
      <c r="B1097" s="2">
        <v>1084</v>
      </c>
      <c r="C1097" s="2">
        <f t="shared" si="80"/>
        <v>1134000</v>
      </c>
      <c r="D1097" s="4">
        <v>0</v>
      </c>
      <c r="E1097" s="4">
        <f t="shared" si="77"/>
        <v>10800</v>
      </c>
      <c r="F1097" s="4">
        <f t="shared" si="78"/>
        <v>46160</v>
      </c>
      <c r="G1097" s="4">
        <f t="shared" si="79"/>
        <v>-35360</v>
      </c>
    </row>
    <row r="1098" spans="2:7" x14ac:dyDescent="0.3">
      <c r="B1098" s="2">
        <v>1085</v>
      </c>
      <c r="C1098" s="2">
        <f t="shared" si="80"/>
        <v>1135000</v>
      </c>
      <c r="D1098" s="4">
        <v>0</v>
      </c>
      <c r="E1098" s="4">
        <f t="shared" si="77"/>
        <v>10800</v>
      </c>
      <c r="F1098" s="4">
        <f t="shared" si="78"/>
        <v>46200</v>
      </c>
      <c r="G1098" s="4">
        <f t="shared" si="79"/>
        <v>-35400</v>
      </c>
    </row>
    <row r="1099" spans="2:7" x14ac:dyDescent="0.3">
      <c r="B1099" s="2">
        <v>1086</v>
      </c>
      <c r="C1099" s="2">
        <f t="shared" si="80"/>
        <v>1136000</v>
      </c>
      <c r="D1099" s="4">
        <v>0</v>
      </c>
      <c r="E1099" s="4">
        <f t="shared" si="77"/>
        <v>10800</v>
      </c>
      <c r="F1099" s="4">
        <f t="shared" si="78"/>
        <v>46240</v>
      </c>
      <c r="G1099" s="4">
        <f t="shared" si="79"/>
        <v>-35440</v>
      </c>
    </row>
    <row r="1100" spans="2:7" x14ac:dyDescent="0.3">
      <c r="B1100" s="2">
        <v>1087</v>
      </c>
      <c r="C1100" s="2">
        <f t="shared" si="80"/>
        <v>1137000</v>
      </c>
      <c r="D1100" s="4">
        <v>0</v>
      </c>
      <c r="E1100" s="4">
        <f t="shared" si="77"/>
        <v>10800</v>
      </c>
      <c r="F1100" s="4">
        <f t="shared" si="78"/>
        <v>46280</v>
      </c>
      <c r="G1100" s="4">
        <f t="shared" si="79"/>
        <v>-35480</v>
      </c>
    </row>
    <row r="1101" spans="2:7" x14ac:dyDescent="0.3">
      <c r="B1101" s="2">
        <v>1088</v>
      </c>
      <c r="C1101" s="2">
        <f t="shared" si="80"/>
        <v>1138000</v>
      </c>
      <c r="D1101" s="4">
        <v>0</v>
      </c>
      <c r="E1101" s="4">
        <f t="shared" si="77"/>
        <v>10800</v>
      </c>
      <c r="F1101" s="4">
        <f t="shared" si="78"/>
        <v>46320</v>
      </c>
      <c r="G1101" s="4">
        <f t="shared" si="79"/>
        <v>-35520</v>
      </c>
    </row>
    <row r="1102" spans="2:7" x14ac:dyDescent="0.3">
      <c r="B1102" s="2">
        <v>1089</v>
      </c>
      <c r="C1102" s="2">
        <f t="shared" si="80"/>
        <v>1139000</v>
      </c>
      <c r="D1102" s="4">
        <v>0</v>
      </c>
      <c r="E1102" s="4">
        <f t="shared" ref="E1102:E1155" si="81">$C$3+$C$4*$C$6-D1102</f>
        <v>10800</v>
      </c>
      <c r="F1102" s="4">
        <f t="shared" ref="F1102:F1155" si="82">$F$3*$C$7+$F$4*C1102</f>
        <v>46360</v>
      </c>
      <c r="G1102" s="4">
        <f t="shared" ref="G1102:G1155" si="83">E1102-F1102</f>
        <v>-35560</v>
      </c>
    </row>
    <row r="1103" spans="2:7" x14ac:dyDescent="0.3">
      <c r="B1103" s="2">
        <v>1090</v>
      </c>
      <c r="C1103" s="2">
        <f t="shared" ref="C1103:C1155" si="84">$C$8+(B1103*1000)</f>
        <v>1140000</v>
      </c>
      <c r="D1103" s="4">
        <v>0</v>
      </c>
      <c r="E1103" s="4">
        <f t="shared" si="81"/>
        <v>10800</v>
      </c>
      <c r="F1103" s="4">
        <f t="shared" si="82"/>
        <v>46400</v>
      </c>
      <c r="G1103" s="4">
        <f t="shared" si="83"/>
        <v>-35600</v>
      </c>
    </row>
    <row r="1104" spans="2:7" x14ac:dyDescent="0.3">
      <c r="B1104" s="2">
        <v>1091</v>
      </c>
      <c r="C1104" s="2">
        <f t="shared" si="84"/>
        <v>1141000</v>
      </c>
      <c r="D1104" s="4">
        <v>0</v>
      </c>
      <c r="E1104" s="4">
        <f t="shared" si="81"/>
        <v>10800</v>
      </c>
      <c r="F1104" s="4">
        <f t="shared" si="82"/>
        <v>46440</v>
      </c>
      <c r="G1104" s="4">
        <f t="shared" si="83"/>
        <v>-35640</v>
      </c>
    </row>
    <row r="1105" spans="2:7" x14ac:dyDescent="0.3">
      <c r="B1105" s="2">
        <v>1092</v>
      </c>
      <c r="C1105" s="2">
        <f t="shared" si="84"/>
        <v>1142000</v>
      </c>
      <c r="D1105" s="4">
        <v>0</v>
      </c>
      <c r="E1105" s="4">
        <f t="shared" si="81"/>
        <v>10800</v>
      </c>
      <c r="F1105" s="4">
        <f t="shared" si="82"/>
        <v>46480</v>
      </c>
      <c r="G1105" s="4">
        <f t="shared" si="83"/>
        <v>-35680</v>
      </c>
    </row>
    <row r="1106" spans="2:7" x14ac:dyDescent="0.3">
      <c r="B1106" s="2">
        <v>1093</v>
      </c>
      <c r="C1106" s="2">
        <f t="shared" si="84"/>
        <v>1143000</v>
      </c>
      <c r="D1106" s="4">
        <v>0</v>
      </c>
      <c r="E1106" s="4">
        <f t="shared" si="81"/>
        <v>10800</v>
      </c>
      <c r="F1106" s="4">
        <f t="shared" si="82"/>
        <v>46520</v>
      </c>
      <c r="G1106" s="4">
        <f t="shared" si="83"/>
        <v>-35720</v>
      </c>
    </row>
    <row r="1107" spans="2:7" x14ac:dyDescent="0.3">
      <c r="B1107" s="2">
        <v>1094</v>
      </c>
      <c r="C1107" s="2">
        <f t="shared" si="84"/>
        <v>1144000</v>
      </c>
      <c r="D1107" s="4">
        <v>0</v>
      </c>
      <c r="E1107" s="4">
        <f t="shared" si="81"/>
        <v>10800</v>
      </c>
      <c r="F1107" s="4">
        <f t="shared" si="82"/>
        <v>46560</v>
      </c>
      <c r="G1107" s="4">
        <f t="shared" si="83"/>
        <v>-35760</v>
      </c>
    </row>
    <row r="1108" spans="2:7" x14ac:dyDescent="0.3">
      <c r="B1108" s="2">
        <v>1095</v>
      </c>
      <c r="C1108" s="2">
        <f t="shared" si="84"/>
        <v>1145000</v>
      </c>
      <c r="D1108" s="4">
        <v>0</v>
      </c>
      <c r="E1108" s="4">
        <f t="shared" si="81"/>
        <v>10800</v>
      </c>
      <c r="F1108" s="4">
        <f t="shared" si="82"/>
        <v>46600</v>
      </c>
      <c r="G1108" s="4">
        <f t="shared" si="83"/>
        <v>-35800</v>
      </c>
    </row>
    <row r="1109" spans="2:7" x14ac:dyDescent="0.3">
      <c r="B1109" s="2">
        <v>1096</v>
      </c>
      <c r="C1109" s="2">
        <f t="shared" si="84"/>
        <v>1146000</v>
      </c>
      <c r="D1109" s="4">
        <v>0</v>
      </c>
      <c r="E1109" s="4">
        <f t="shared" si="81"/>
        <v>10800</v>
      </c>
      <c r="F1109" s="4">
        <f t="shared" si="82"/>
        <v>46640</v>
      </c>
      <c r="G1109" s="4">
        <f t="shared" si="83"/>
        <v>-35840</v>
      </c>
    </row>
    <row r="1110" spans="2:7" x14ac:dyDescent="0.3">
      <c r="B1110" s="2">
        <v>1097</v>
      </c>
      <c r="C1110" s="2">
        <f t="shared" si="84"/>
        <v>1147000</v>
      </c>
      <c r="D1110" s="4">
        <v>0</v>
      </c>
      <c r="E1110" s="4">
        <f t="shared" si="81"/>
        <v>10800</v>
      </c>
      <c r="F1110" s="4">
        <f t="shared" si="82"/>
        <v>46680</v>
      </c>
      <c r="G1110" s="4">
        <f t="shared" si="83"/>
        <v>-35880</v>
      </c>
    </row>
    <row r="1111" spans="2:7" x14ac:dyDescent="0.3">
      <c r="B1111" s="2">
        <v>1098</v>
      </c>
      <c r="C1111" s="2">
        <f t="shared" si="84"/>
        <v>1148000</v>
      </c>
      <c r="D1111" s="4">
        <v>0</v>
      </c>
      <c r="E1111" s="4">
        <f t="shared" si="81"/>
        <v>10800</v>
      </c>
      <c r="F1111" s="4">
        <f t="shared" si="82"/>
        <v>46720</v>
      </c>
      <c r="G1111" s="4">
        <f t="shared" si="83"/>
        <v>-35920</v>
      </c>
    </row>
    <row r="1112" spans="2:7" x14ac:dyDescent="0.3">
      <c r="B1112" s="2">
        <v>1099</v>
      </c>
      <c r="C1112" s="2">
        <f t="shared" si="84"/>
        <v>1149000</v>
      </c>
      <c r="D1112" s="4">
        <v>0</v>
      </c>
      <c r="E1112" s="4">
        <f t="shared" si="81"/>
        <v>10800</v>
      </c>
      <c r="F1112" s="4">
        <f t="shared" si="82"/>
        <v>46760</v>
      </c>
      <c r="G1112" s="4">
        <f t="shared" si="83"/>
        <v>-35960</v>
      </c>
    </row>
    <row r="1113" spans="2:7" x14ac:dyDescent="0.3">
      <c r="B1113" s="2">
        <v>1100</v>
      </c>
      <c r="C1113" s="2">
        <f t="shared" si="84"/>
        <v>1150000</v>
      </c>
      <c r="D1113" s="4">
        <v>0</v>
      </c>
      <c r="E1113" s="4">
        <f t="shared" si="81"/>
        <v>10800</v>
      </c>
      <c r="F1113" s="4">
        <f t="shared" si="82"/>
        <v>46800</v>
      </c>
      <c r="G1113" s="4">
        <f t="shared" si="83"/>
        <v>-36000</v>
      </c>
    </row>
    <row r="1114" spans="2:7" x14ac:dyDescent="0.3">
      <c r="B1114" s="2">
        <v>1101</v>
      </c>
      <c r="C1114" s="2">
        <f t="shared" si="84"/>
        <v>1151000</v>
      </c>
      <c r="D1114" s="4">
        <v>0</v>
      </c>
      <c r="E1114" s="4">
        <f t="shared" si="81"/>
        <v>10800</v>
      </c>
      <c r="F1114" s="4">
        <f t="shared" si="82"/>
        <v>46840</v>
      </c>
      <c r="G1114" s="4">
        <f t="shared" si="83"/>
        <v>-36040</v>
      </c>
    </row>
    <row r="1115" spans="2:7" x14ac:dyDescent="0.3">
      <c r="B1115" s="2">
        <v>1102</v>
      </c>
      <c r="C1115" s="2">
        <f t="shared" si="84"/>
        <v>1152000</v>
      </c>
      <c r="D1115" s="4">
        <v>0</v>
      </c>
      <c r="E1115" s="4">
        <f t="shared" si="81"/>
        <v>10800</v>
      </c>
      <c r="F1115" s="4">
        <f t="shared" si="82"/>
        <v>46880</v>
      </c>
      <c r="G1115" s="4">
        <f t="shared" si="83"/>
        <v>-36080</v>
      </c>
    </row>
    <row r="1116" spans="2:7" x14ac:dyDescent="0.3">
      <c r="B1116" s="2">
        <v>1103</v>
      </c>
      <c r="C1116" s="2">
        <f t="shared" si="84"/>
        <v>1153000</v>
      </c>
      <c r="D1116" s="4">
        <v>0</v>
      </c>
      <c r="E1116" s="4">
        <f t="shared" si="81"/>
        <v>10800</v>
      </c>
      <c r="F1116" s="4">
        <f t="shared" si="82"/>
        <v>46920</v>
      </c>
      <c r="G1116" s="4">
        <f t="shared" si="83"/>
        <v>-36120</v>
      </c>
    </row>
    <row r="1117" spans="2:7" x14ac:dyDescent="0.3">
      <c r="B1117" s="2">
        <v>1104</v>
      </c>
      <c r="C1117" s="2">
        <f t="shared" si="84"/>
        <v>1154000</v>
      </c>
      <c r="D1117" s="4">
        <v>0</v>
      </c>
      <c r="E1117" s="4">
        <f t="shared" si="81"/>
        <v>10800</v>
      </c>
      <c r="F1117" s="4">
        <f t="shared" si="82"/>
        <v>46960</v>
      </c>
      <c r="G1117" s="4">
        <f t="shared" si="83"/>
        <v>-36160</v>
      </c>
    </row>
    <row r="1118" spans="2:7" x14ac:dyDescent="0.3">
      <c r="B1118" s="2">
        <v>1105</v>
      </c>
      <c r="C1118" s="2">
        <f t="shared" si="84"/>
        <v>1155000</v>
      </c>
      <c r="D1118" s="4">
        <v>0</v>
      </c>
      <c r="E1118" s="4">
        <f t="shared" si="81"/>
        <v>10800</v>
      </c>
      <c r="F1118" s="4">
        <f t="shared" si="82"/>
        <v>47000</v>
      </c>
      <c r="G1118" s="4">
        <f t="shared" si="83"/>
        <v>-36200</v>
      </c>
    </row>
    <row r="1119" spans="2:7" x14ac:dyDescent="0.3">
      <c r="B1119" s="2">
        <v>1106</v>
      </c>
      <c r="C1119" s="2">
        <f t="shared" si="84"/>
        <v>1156000</v>
      </c>
      <c r="D1119" s="4">
        <v>0</v>
      </c>
      <c r="E1119" s="4">
        <f t="shared" si="81"/>
        <v>10800</v>
      </c>
      <c r="F1119" s="4">
        <f t="shared" si="82"/>
        <v>47040</v>
      </c>
      <c r="G1119" s="4">
        <f t="shared" si="83"/>
        <v>-36240</v>
      </c>
    </row>
    <row r="1120" spans="2:7" x14ac:dyDescent="0.3">
      <c r="B1120" s="2">
        <v>1107</v>
      </c>
      <c r="C1120" s="2">
        <f t="shared" si="84"/>
        <v>1157000</v>
      </c>
      <c r="D1120" s="4">
        <v>0</v>
      </c>
      <c r="E1120" s="4">
        <f t="shared" si="81"/>
        <v>10800</v>
      </c>
      <c r="F1120" s="4">
        <f t="shared" si="82"/>
        <v>47080</v>
      </c>
      <c r="G1120" s="4">
        <f t="shared" si="83"/>
        <v>-36280</v>
      </c>
    </row>
    <row r="1121" spans="2:7" x14ac:dyDescent="0.3">
      <c r="B1121" s="2">
        <v>1108</v>
      </c>
      <c r="C1121" s="2">
        <f t="shared" si="84"/>
        <v>1158000</v>
      </c>
      <c r="D1121" s="4">
        <v>0</v>
      </c>
      <c r="E1121" s="4">
        <f t="shared" si="81"/>
        <v>10800</v>
      </c>
      <c r="F1121" s="4">
        <f t="shared" si="82"/>
        <v>47120</v>
      </c>
      <c r="G1121" s="4">
        <f t="shared" si="83"/>
        <v>-36320</v>
      </c>
    </row>
    <row r="1122" spans="2:7" x14ac:dyDescent="0.3">
      <c r="B1122" s="2">
        <v>1109</v>
      </c>
      <c r="C1122" s="2">
        <f t="shared" si="84"/>
        <v>1159000</v>
      </c>
      <c r="D1122" s="4">
        <v>0</v>
      </c>
      <c r="E1122" s="4">
        <f t="shared" si="81"/>
        <v>10800</v>
      </c>
      <c r="F1122" s="4">
        <f t="shared" si="82"/>
        <v>47160</v>
      </c>
      <c r="G1122" s="4">
        <f t="shared" si="83"/>
        <v>-36360</v>
      </c>
    </row>
    <row r="1123" spans="2:7" x14ac:dyDescent="0.3">
      <c r="B1123" s="2">
        <v>1110</v>
      </c>
      <c r="C1123" s="2">
        <f t="shared" si="84"/>
        <v>1160000</v>
      </c>
      <c r="D1123" s="4">
        <v>0</v>
      </c>
      <c r="E1123" s="4">
        <f t="shared" si="81"/>
        <v>10800</v>
      </c>
      <c r="F1123" s="4">
        <f t="shared" si="82"/>
        <v>47200</v>
      </c>
      <c r="G1123" s="4">
        <f t="shared" si="83"/>
        <v>-36400</v>
      </c>
    </row>
    <row r="1124" spans="2:7" x14ac:dyDescent="0.3">
      <c r="B1124" s="2">
        <v>1111</v>
      </c>
      <c r="C1124" s="2">
        <f t="shared" si="84"/>
        <v>1161000</v>
      </c>
      <c r="D1124" s="4">
        <v>0</v>
      </c>
      <c r="E1124" s="4">
        <f t="shared" si="81"/>
        <v>10800</v>
      </c>
      <c r="F1124" s="4">
        <f t="shared" si="82"/>
        <v>47240</v>
      </c>
      <c r="G1124" s="4">
        <f t="shared" si="83"/>
        <v>-36440</v>
      </c>
    </row>
    <row r="1125" spans="2:7" x14ac:dyDescent="0.3">
      <c r="B1125" s="2">
        <v>1112</v>
      </c>
      <c r="C1125" s="2">
        <f t="shared" si="84"/>
        <v>1162000</v>
      </c>
      <c r="D1125" s="4">
        <v>0</v>
      </c>
      <c r="E1125" s="4">
        <f t="shared" si="81"/>
        <v>10800</v>
      </c>
      <c r="F1125" s="4">
        <f t="shared" si="82"/>
        <v>47280</v>
      </c>
      <c r="G1125" s="4">
        <f t="shared" si="83"/>
        <v>-36480</v>
      </c>
    </row>
    <row r="1126" spans="2:7" x14ac:dyDescent="0.3">
      <c r="B1126" s="2">
        <v>1113</v>
      </c>
      <c r="C1126" s="2">
        <f t="shared" si="84"/>
        <v>1163000</v>
      </c>
      <c r="D1126" s="4">
        <v>0</v>
      </c>
      <c r="E1126" s="4">
        <f t="shared" si="81"/>
        <v>10800</v>
      </c>
      <c r="F1126" s="4">
        <f t="shared" si="82"/>
        <v>47320</v>
      </c>
      <c r="G1126" s="4">
        <f t="shared" si="83"/>
        <v>-36520</v>
      </c>
    </row>
    <row r="1127" spans="2:7" x14ac:dyDescent="0.3">
      <c r="B1127" s="2">
        <v>1114</v>
      </c>
      <c r="C1127" s="2">
        <f t="shared" si="84"/>
        <v>1164000</v>
      </c>
      <c r="D1127" s="4">
        <v>0</v>
      </c>
      <c r="E1127" s="4">
        <f t="shared" si="81"/>
        <v>10800</v>
      </c>
      <c r="F1127" s="4">
        <f t="shared" si="82"/>
        <v>47360</v>
      </c>
      <c r="G1127" s="4">
        <f t="shared" si="83"/>
        <v>-36560</v>
      </c>
    </row>
    <row r="1128" spans="2:7" x14ac:dyDescent="0.3">
      <c r="B1128" s="2">
        <v>1115</v>
      </c>
      <c r="C1128" s="2">
        <f t="shared" si="84"/>
        <v>1165000</v>
      </c>
      <c r="D1128" s="4">
        <v>0</v>
      </c>
      <c r="E1128" s="4">
        <f t="shared" si="81"/>
        <v>10800</v>
      </c>
      <c r="F1128" s="4">
        <f t="shared" si="82"/>
        <v>47400</v>
      </c>
      <c r="G1128" s="4">
        <f t="shared" si="83"/>
        <v>-36600</v>
      </c>
    </row>
    <row r="1129" spans="2:7" x14ac:dyDescent="0.3">
      <c r="B1129" s="2">
        <v>1116</v>
      </c>
      <c r="C1129" s="2">
        <f t="shared" si="84"/>
        <v>1166000</v>
      </c>
      <c r="D1129" s="4">
        <v>0</v>
      </c>
      <c r="E1129" s="4">
        <f t="shared" si="81"/>
        <v>10800</v>
      </c>
      <c r="F1129" s="4">
        <f t="shared" si="82"/>
        <v>47440</v>
      </c>
      <c r="G1129" s="4">
        <f t="shared" si="83"/>
        <v>-36640</v>
      </c>
    </row>
    <row r="1130" spans="2:7" x14ac:dyDescent="0.3">
      <c r="B1130" s="2">
        <v>1117</v>
      </c>
      <c r="C1130" s="2">
        <f t="shared" si="84"/>
        <v>1167000</v>
      </c>
      <c r="D1130" s="4">
        <v>0</v>
      </c>
      <c r="E1130" s="4">
        <f t="shared" si="81"/>
        <v>10800</v>
      </c>
      <c r="F1130" s="4">
        <f t="shared" si="82"/>
        <v>47480</v>
      </c>
      <c r="G1130" s="4">
        <f t="shared" si="83"/>
        <v>-36680</v>
      </c>
    </row>
    <row r="1131" spans="2:7" x14ac:dyDescent="0.3">
      <c r="B1131" s="2">
        <v>1118</v>
      </c>
      <c r="C1131" s="2">
        <f t="shared" si="84"/>
        <v>1168000</v>
      </c>
      <c r="D1131" s="4">
        <v>0</v>
      </c>
      <c r="E1131" s="4">
        <f t="shared" si="81"/>
        <v>10800</v>
      </c>
      <c r="F1131" s="4">
        <f t="shared" si="82"/>
        <v>47520</v>
      </c>
      <c r="G1131" s="4">
        <f t="shared" si="83"/>
        <v>-36720</v>
      </c>
    </row>
    <row r="1132" spans="2:7" x14ac:dyDescent="0.3">
      <c r="B1132" s="2">
        <v>1119</v>
      </c>
      <c r="C1132" s="2">
        <f t="shared" si="84"/>
        <v>1169000</v>
      </c>
      <c r="D1132" s="4">
        <v>0</v>
      </c>
      <c r="E1132" s="4">
        <f t="shared" si="81"/>
        <v>10800</v>
      </c>
      <c r="F1132" s="4">
        <f t="shared" si="82"/>
        <v>47560</v>
      </c>
      <c r="G1132" s="4">
        <f t="shared" si="83"/>
        <v>-36760</v>
      </c>
    </row>
    <row r="1133" spans="2:7" x14ac:dyDescent="0.3">
      <c r="B1133" s="2">
        <v>1120</v>
      </c>
      <c r="C1133" s="2">
        <f t="shared" si="84"/>
        <v>1170000</v>
      </c>
      <c r="D1133" s="4">
        <v>0</v>
      </c>
      <c r="E1133" s="4">
        <f t="shared" si="81"/>
        <v>10800</v>
      </c>
      <c r="F1133" s="4">
        <f t="shared" si="82"/>
        <v>47600</v>
      </c>
      <c r="G1133" s="4">
        <f t="shared" si="83"/>
        <v>-36800</v>
      </c>
    </row>
    <row r="1134" spans="2:7" x14ac:dyDescent="0.3">
      <c r="B1134" s="2">
        <v>1121</v>
      </c>
      <c r="C1134" s="2">
        <f t="shared" si="84"/>
        <v>1171000</v>
      </c>
      <c r="D1134" s="4">
        <v>0</v>
      </c>
      <c r="E1134" s="4">
        <f t="shared" si="81"/>
        <v>10800</v>
      </c>
      <c r="F1134" s="4">
        <f t="shared" si="82"/>
        <v>47640</v>
      </c>
      <c r="G1134" s="4">
        <f t="shared" si="83"/>
        <v>-36840</v>
      </c>
    </row>
    <row r="1135" spans="2:7" x14ac:dyDescent="0.3">
      <c r="B1135" s="2">
        <v>1122</v>
      </c>
      <c r="C1135" s="2">
        <f t="shared" si="84"/>
        <v>1172000</v>
      </c>
      <c r="D1135" s="4">
        <v>0</v>
      </c>
      <c r="E1135" s="4">
        <f t="shared" si="81"/>
        <v>10800</v>
      </c>
      <c r="F1135" s="4">
        <f t="shared" si="82"/>
        <v>47680</v>
      </c>
      <c r="G1135" s="4">
        <f t="shared" si="83"/>
        <v>-36880</v>
      </c>
    </row>
    <row r="1136" spans="2:7" x14ac:dyDescent="0.3">
      <c r="B1136" s="2">
        <v>1123</v>
      </c>
      <c r="C1136" s="2">
        <f t="shared" si="84"/>
        <v>1173000</v>
      </c>
      <c r="D1136" s="4">
        <v>0</v>
      </c>
      <c r="E1136" s="4">
        <f t="shared" si="81"/>
        <v>10800</v>
      </c>
      <c r="F1136" s="4">
        <f t="shared" si="82"/>
        <v>47720</v>
      </c>
      <c r="G1136" s="4">
        <f t="shared" si="83"/>
        <v>-36920</v>
      </c>
    </row>
    <row r="1137" spans="2:7" x14ac:dyDescent="0.3">
      <c r="B1137" s="2">
        <v>1124</v>
      </c>
      <c r="C1137" s="2">
        <f t="shared" si="84"/>
        <v>1174000</v>
      </c>
      <c r="D1137" s="4">
        <v>0</v>
      </c>
      <c r="E1137" s="4">
        <f t="shared" si="81"/>
        <v>10800</v>
      </c>
      <c r="F1137" s="4">
        <f t="shared" si="82"/>
        <v>47760</v>
      </c>
      <c r="G1137" s="4">
        <f t="shared" si="83"/>
        <v>-36960</v>
      </c>
    </row>
    <row r="1138" spans="2:7" x14ac:dyDescent="0.3">
      <c r="B1138" s="2">
        <v>1125</v>
      </c>
      <c r="C1138" s="2">
        <f t="shared" si="84"/>
        <v>1175000</v>
      </c>
      <c r="D1138" s="4">
        <v>0</v>
      </c>
      <c r="E1138" s="4">
        <f t="shared" si="81"/>
        <v>10800</v>
      </c>
      <c r="F1138" s="4">
        <f t="shared" si="82"/>
        <v>47800</v>
      </c>
      <c r="G1138" s="4">
        <f t="shared" si="83"/>
        <v>-37000</v>
      </c>
    </row>
    <row r="1139" spans="2:7" x14ac:dyDescent="0.3">
      <c r="B1139" s="2">
        <v>1126</v>
      </c>
      <c r="C1139" s="2">
        <f t="shared" si="84"/>
        <v>1176000</v>
      </c>
      <c r="D1139" s="4">
        <v>0</v>
      </c>
      <c r="E1139" s="4">
        <f t="shared" si="81"/>
        <v>10800</v>
      </c>
      <c r="F1139" s="4">
        <f t="shared" si="82"/>
        <v>47840</v>
      </c>
      <c r="G1139" s="4">
        <f t="shared" si="83"/>
        <v>-37040</v>
      </c>
    </row>
    <row r="1140" spans="2:7" x14ac:dyDescent="0.3">
      <c r="B1140" s="2">
        <v>1127</v>
      </c>
      <c r="C1140" s="2">
        <f t="shared" si="84"/>
        <v>1177000</v>
      </c>
      <c r="D1140" s="4">
        <v>0</v>
      </c>
      <c r="E1140" s="4">
        <f t="shared" si="81"/>
        <v>10800</v>
      </c>
      <c r="F1140" s="4">
        <f t="shared" si="82"/>
        <v>47880</v>
      </c>
      <c r="G1140" s="4">
        <f t="shared" si="83"/>
        <v>-37080</v>
      </c>
    </row>
    <row r="1141" spans="2:7" x14ac:dyDescent="0.3">
      <c r="B1141" s="2">
        <v>1128</v>
      </c>
      <c r="C1141" s="2">
        <f t="shared" si="84"/>
        <v>1178000</v>
      </c>
      <c r="D1141" s="4">
        <v>0</v>
      </c>
      <c r="E1141" s="4">
        <f t="shared" si="81"/>
        <v>10800</v>
      </c>
      <c r="F1141" s="4">
        <f t="shared" si="82"/>
        <v>47920</v>
      </c>
      <c r="G1141" s="4">
        <f t="shared" si="83"/>
        <v>-37120</v>
      </c>
    </row>
    <row r="1142" spans="2:7" x14ac:dyDescent="0.3">
      <c r="B1142" s="2">
        <v>1129</v>
      </c>
      <c r="C1142" s="2">
        <f t="shared" si="84"/>
        <v>1179000</v>
      </c>
      <c r="D1142" s="4">
        <v>0</v>
      </c>
      <c r="E1142" s="4">
        <f t="shared" si="81"/>
        <v>10800</v>
      </c>
      <c r="F1142" s="4">
        <f t="shared" si="82"/>
        <v>47960</v>
      </c>
      <c r="G1142" s="4">
        <f t="shared" si="83"/>
        <v>-37160</v>
      </c>
    </row>
    <row r="1143" spans="2:7" x14ac:dyDescent="0.3">
      <c r="B1143" s="2">
        <v>1130</v>
      </c>
      <c r="C1143" s="2">
        <f t="shared" si="84"/>
        <v>1180000</v>
      </c>
      <c r="D1143" s="4">
        <v>0</v>
      </c>
      <c r="E1143" s="4">
        <f t="shared" si="81"/>
        <v>10800</v>
      </c>
      <c r="F1143" s="4">
        <f t="shared" si="82"/>
        <v>48000</v>
      </c>
      <c r="G1143" s="4">
        <f t="shared" si="83"/>
        <v>-37200</v>
      </c>
    </row>
    <row r="1144" spans="2:7" x14ac:dyDescent="0.3">
      <c r="B1144" s="2">
        <v>1131</v>
      </c>
      <c r="C1144" s="2">
        <f t="shared" si="84"/>
        <v>1181000</v>
      </c>
      <c r="D1144" s="4">
        <v>0</v>
      </c>
      <c r="E1144" s="4">
        <f t="shared" si="81"/>
        <v>10800</v>
      </c>
      <c r="F1144" s="4">
        <f t="shared" si="82"/>
        <v>48040</v>
      </c>
      <c r="G1144" s="4">
        <f t="shared" si="83"/>
        <v>-37240</v>
      </c>
    </row>
    <row r="1145" spans="2:7" x14ac:dyDescent="0.3">
      <c r="B1145" s="2">
        <v>1132</v>
      </c>
      <c r="C1145" s="2">
        <f t="shared" si="84"/>
        <v>1182000</v>
      </c>
      <c r="D1145" s="4">
        <v>0</v>
      </c>
      <c r="E1145" s="4">
        <f t="shared" si="81"/>
        <v>10800</v>
      </c>
      <c r="F1145" s="4">
        <f t="shared" si="82"/>
        <v>48080</v>
      </c>
      <c r="G1145" s="4">
        <f t="shared" si="83"/>
        <v>-37280</v>
      </c>
    </row>
    <row r="1146" spans="2:7" x14ac:dyDescent="0.3">
      <c r="B1146" s="2">
        <v>1133</v>
      </c>
      <c r="C1146" s="2">
        <f t="shared" si="84"/>
        <v>1183000</v>
      </c>
      <c r="D1146" s="4">
        <v>0</v>
      </c>
      <c r="E1146" s="4">
        <f t="shared" si="81"/>
        <v>10800</v>
      </c>
      <c r="F1146" s="4">
        <f t="shared" si="82"/>
        <v>48120</v>
      </c>
      <c r="G1146" s="4">
        <f t="shared" si="83"/>
        <v>-37320</v>
      </c>
    </row>
    <row r="1147" spans="2:7" x14ac:dyDescent="0.3">
      <c r="B1147" s="2">
        <v>1134</v>
      </c>
      <c r="C1147" s="2">
        <f t="shared" si="84"/>
        <v>1184000</v>
      </c>
      <c r="D1147" s="4">
        <v>0</v>
      </c>
      <c r="E1147" s="4">
        <f t="shared" si="81"/>
        <v>10800</v>
      </c>
      <c r="F1147" s="4">
        <f t="shared" si="82"/>
        <v>48160</v>
      </c>
      <c r="G1147" s="4">
        <f t="shared" si="83"/>
        <v>-37360</v>
      </c>
    </row>
    <row r="1148" spans="2:7" x14ac:dyDescent="0.3">
      <c r="B1148" s="2">
        <v>1135</v>
      </c>
      <c r="C1148" s="2">
        <f t="shared" si="84"/>
        <v>1185000</v>
      </c>
      <c r="D1148" s="4">
        <v>0</v>
      </c>
      <c r="E1148" s="4">
        <f t="shared" si="81"/>
        <v>10800</v>
      </c>
      <c r="F1148" s="4">
        <f t="shared" si="82"/>
        <v>48200</v>
      </c>
      <c r="G1148" s="4">
        <f t="shared" si="83"/>
        <v>-37400</v>
      </c>
    </row>
    <row r="1149" spans="2:7" x14ac:dyDescent="0.3">
      <c r="B1149" s="2">
        <v>1136</v>
      </c>
      <c r="C1149" s="2">
        <f t="shared" si="84"/>
        <v>1186000</v>
      </c>
      <c r="D1149" s="4">
        <v>0</v>
      </c>
      <c r="E1149" s="4">
        <f t="shared" si="81"/>
        <v>10800</v>
      </c>
      <c r="F1149" s="4">
        <f t="shared" si="82"/>
        <v>48240</v>
      </c>
      <c r="G1149" s="4">
        <f t="shared" si="83"/>
        <v>-37440</v>
      </c>
    </row>
    <row r="1150" spans="2:7" x14ac:dyDescent="0.3">
      <c r="B1150" s="2">
        <v>1137</v>
      </c>
      <c r="C1150" s="2">
        <f t="shared" si="84"/>
        <v>1187000</v>
      </c>
      <c r="D1150" s="4">
        <v>0</v>
      </c>
      <c r="E1150" s="4">
        <f t="shared" si="81"/>
        <v>10800</v>
      </c>
      <c r="F1150" s="4">
        <f t="shared" si="82"/>
        <v>48280</v>
      </c>
      <c r="G1150" s="4">
        <f t="shared" si="83"/>
        <v>-37480</v>
      </c>
    </row>
    <row r="1151" spans="2:7" x14ac:dyDescent="0.3">
      <c r="B1151" s="2">
        <v>1138</v>
      </c>
      <c r="C1151" s="2">
        <f t="shared" si="84"/>
        <v>1188000</v>
      </c>
      <c r="D1151" s="4">
        <v>0</v>
      </c>
      <c r="E1151" s="4">
        <f t="shared" si="81"/>
        <v>10800</v>
      </c>
      <c r="F1151" s="4">
        <f t="shared" si="82"/>
        <v>48320</v>
      </c>
      <c r="G1151" s="4">
        <f t="shared" si="83"/>
        <v>-37520</v>
      </c>
    </row>
    <row r="1152" spans="2:7" x14ac:dyDescent="0.3">
      <c r="B1152" s="2">
        <v>1139</v>
      </c>
      <c r="C1152" s="2">
        <f t="shared" si="84"/>
        <v>1189000</v>
      </c>
      <c r="D1152" s="4">
        <v>0</v>
      </c>
      <c r="E1152" s="4">
        <f t="shared" si="81"/>
        <v>10800</v>
      </c>
      <c r="F1152" s="4">
        <f t="shared" si="82"/>
        <v>48360</v>
      </c>
      <c r="G1152" s="4">
        <f t="shared" si="83"/>
        <v>-37560</v>
      </c>
    </row>
    <row r="1153" spans="2:7" x14ac:dyDescent="0.3">
      <c r="B1153" s="2">
        <v>1140</v>
      </c>
      <c r="C1153" s="2">
        <f t="shared" si="84"/>
        <v>1190000</v>
      </c>
      <c r="D1153" s="4">
        <v>0</v>
      </c>
      <c r="E1153" s="4">
        <f t="shared" si="81"/>
        <v>10800</v>
      </c>
      <c r="F1153" s="4">
        <f t="shared" si="82"/>
        <v>48400</v>
      </c>
      <c r="G1153" s="4">
        <f t="shared" si="83"/>
        <v>-37600</v>
      </c>
    </row>
    <row r="1154" spans="2:7" x14ac:dyDescent="0.3">
      <c r="B1154" s="2">
        <v>1141</v>
      </c>
      <c r="C1154" s="2">
        <f t="shared" si="84"/>
        <v>1191000</v>
      </c>
      <c r="D1154" s="4">
        <v>0</v>
      </c>
      <c r="E1154" s="4">
        <f t="shared" si="81"/>
        <v>10800</v>
      </c>
      <c r="F1154" s="4">
        <f t="shared" si="82"/>
        <v>48440</v>
      </c>
      <c r="G1154" s="4">
        <f t="shared" si="83"/>
        <v>-37640</v>
      </c>
    </row>
    <row r="1155" spans="2:7" x14ac:dyDescent="0.3">
      <c r="B1155" s="2">
        <v>1142</v>
      </c>
      <c r="C1155" s="2">
        <f t="shared" si="84"/>
        <v>1192000</v>
      </c>
      <c r="D1155" s="4">
        <v>0</v>
      </c>
      <c r="E1155" s="4">
        <f t="shared" si="81"/>
        <v>10800</v>
      </c>
      <c r="F1155" s="4">
        <f t="shared" si="82"/>
        <v>48480</v>
      </c>
      <c r="G1155" s="4">
        <f t="shared" si="83"/>
        <v>-37680</v>
      </c>
    </row>
  </sheetData>
  <sheetProtection algorithmName="SHA-512" hashValue="IAJ8oM013vV9hz8u8wroXr3/ObxxK+md6uM93UNrGRc7U23M1S2Qz3bCEyymyBvGAzqDVVenZpflkNH/n3qOTw==" saltValue="cX+UmJNjrGALWmJcbyRdbw==" spinCount="100000" sheet="1" objects="1" scenarios="1"/>
  <mergeCells count="10">
    <mergeCell ref="B2:C2"/>
    <mergeCell ref="E2:F2"/>
    <mergeCell ref="B11:G11"/>
    <mergeCell ref="I2:P2"/>
    <mergeCell ref="I3:P3"/>
    <mergeCell ref="I7:P8"/>
    <mergeCell ref="I6:P6"/>
    <mergeCell ref="I4:P4"/>
    <mergeCell ref="I5:P5"/>
    <mergeCell ref="I10:P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E6C4-BEE2-4E5F-A84B-0027AB2642D9}">
  <sheetPr codeName="Sheet5"/>
  <dimension ref="B2:P55"/>
  <sheetViews>
    <sheetView workbookViewId="0">
      <selection activeCell="I6" sqref="I6:P6"/>
    </sheetView>
  </sheetViews>
  <sheetFormatPr defaultRowHeight="14.4" x14ac:dyDescent="0.3"/>
  <cols>
    <col min="2" max="2" width="22.109375" bestFit="1" customWidth="1"/>
    <col min="3" max="3" width="15.88671875" bestFit="1" customWidth="1"/>
    <col min="4" max="4" width="11.88671875" style="1" bestFit="1" customWidth="1"/>
    <col min="5" max="5" width="18.44140625" bestFit="1" customWidth="1"/>
    <col min="6" max="6" width="17.5546875" bestFit="1" customWidth="1"/>
    <col min="7" max="7" width="39.44140625" bestFit="1" customWidth="1"/>
  </cols>
  <sheetData>
    <row r="2" spans="2:16" ht="15" thickBot="1" x14ac:dyDescent="0.35">
      <c r="B2" s="34" t="s">
        <v>38</v>
      </c>
      <c r="C2" s="34"/>
      <c r="E2" s="34" t="s">
        <v>39</v>
      </c>
      <c r="F2" s="34"/>
      <c r="I2" s="39" t="s">
        <v>65</v>
      </c>
      <c r="J2" s="39"/>
      <c r="K2" s="39"/>
      <c r="L2" s="39"/>
      <c r="M2" s="39"/>
      <c r="N2" s="39"/>
      <c r="O2" s="39"/>
      <c r="P2" s="39"/>
    </row>
    <row r="3" spans="2:16" ht="15" thickTop="1" x14ac:dyDescent="0.3">
      <c r="B3" s="2" t="s">
        <v>41</v>
      </c>
      <c r="C3" s="4">
        <v>10000</v>
      </c>
      <c r="E3" s="2" t="s">
        <v>40</v>
      </c>
      <c r="F3" s="4">
        <v>800</v>
      </c>
    </row>
    <row r="4" spans="2:16" x14ac:dyDescent="0.3">
      <c r="B4" s="2" t="s">
        <v>42</v>
      </c>
      <c r="C4" s="4">
        <v>800</v>
      </c>
      <c r="E4" s="2" t="s">
        <v>47</v>
      </c>
      <c r="F4" s="4">
        <v>0.04</v>
      </c>
      <c r="I4" s="61" t="s">
        <v>85</v>
      </c>
      <c r="J4" s="61"/>
      <c r="K4" s="61"/>
      <c r="L4" s="61"/>
      <c r="M4" s="61"/>
      <c r="N4" s="61"/>
      <c r="O4" s="61"/>
      <c r="P4" s="61"/>
    </row>
    <row r="5" spans="2:16" x14ac:dyDescent="0.3">
      <c r="B5" s="2" t="s">
        <v>43</v>
      </c>
      <c r="C5" s="4">
        <v>1000</v>
      </c>
    </row>
    <row r="6" spans="2:16" x14ac:dyDescent="0.3">
      <c r="B6" s="2" t="s">
        <v>44</v>
      </c>
      <c r="C6" s="2">
        <v>1</v>
      </c>
      <c r="I6" s="28" t="s">
        <v>89</v>
      </c>
      <c r="J6" s="29"/>
      <c r="K6" s="29"/>
      <c r="L6" s="29"/>
      <c r="M6" s="29"/>
      <c r="N6" s="29"/>
      <c r="O6" s="29"/>
      <c r="P6" s="30"/>
    </row>
    <row r="7" spans="2:16" x14ac:dyDescent="0.3">
      <c r="B7" s="2" t="s">
        <v>45</v>
      </c>
      <c r="C7" s="2">
        <v>1</v>
      </c>
    </row>
    <row r="8" spans="2:16" x14ac:dyDescent="0.3">
      <c r="B8" s="2" t="s">
        <v>46</v>
      </c>
      <c r="C8" s="2">
        <v>50000</v>
      </c>
    </row>
    <row r="11" spans="2:16" ht="18" x14ac:dyDescent="0.35">
      <c r="B11" s="60" t="s">
        <v>48</v>
      </c>
      <c r="C11" s="60"/>
      <c r="D11" s="60"/>
      <c r="E11" s="60"/>
      <c r="F11" s="60"/>
      <c r="G11" s="60"/>
    </row>
    <row r="12" spans="2:16" s="14" customFormat="1" x14ac:dyDescent="0.3">
      <c r="B12" s="7" t="s">
        <v>49</v>
      </c>
      <c r="C12" s="7" t="s">
        <v>50</v>
      </c>
      <c r="D12" s="5" t="s">
        <v>43</v>
      </c>
      <c r="E12" s="7" t="s">
        <v>51</v>
      </c>
      <c r="F12" s="7" t="s">
        <v>52</v>
      </c>
      <c r="G12" s="5" t="s">
        <v>53</v>
      </c>
    </row>
    <row r="13" spans="2:16" x14ac:dyDescent="0.3">
      <c r="B13" s="2">
        <v>0</v>
      </c>
      <c r="C13" s="2">
        <f>$C$8+(B13*1000)</f>
        <v>50000</v>
      </c>
      <c r="D13" s="4">
        <f>IF(C13&lt;=50000,$C$5,$C$5-((C13-50000)/1000)*$C$7)</f>
        <v>1000</v>
      </c>
      <c r="E13" s="4">
        <f>$C$3+$C$4*$C$6-D13</f>
        <v>9800</v>
      </c>
      <c r="F13" s="4">
        <f>$F$3*$C$6+$F$4*C13</f>
        <v>2800</v>
      </c>
      <c r="G13" s="4">
        <f>E13-F13</f>
        <v>7000</v>
      </c>
    </row>
    <row r="14" spans="2:16" x14ac:dyDescent="0.3">
      <c r="B14" s="2">
        <v>100</v>
      </c>
      <c r="C14" s="2">
        <f t="shared" ref="C14:C31" si="0">$C$8+(B14*1000)</f>
        <v>150000</v>
      </c>
      <c r="D14" s="4">
        <f t="shared" ref="D14:D31" si="1">IF(C14&lt;=50000,$C$5,$C$5-((C14-50000)/1000)*$C$7)</f>
        <v>900</v>
      </c>
      <c r="E14" s="4">
        <f t="shared" ref="E14:E31" si="2">$C$3+$C$4*$C$6-D14</f>
        <v>9900</v>
      </c>
      <c r="F14" s="4">
        <f t="shared" ref="F14:F31" si="3">$F$3*$C$6+$F$4*C14</f>
        <v>6800</v>
      </c>
      <c r="G14" s="4">
        <f t="shared" ref="G14:G31" si="4">E14-F14</f>
        <v>3100</v>
      </c>
    </row>
    <row r="15" spans="2:16" x14ac:dyDescent="0.3">
      <c r="B15" s="2">
        <v>110</v>
      </c>
      <c r="C15" s="2">
        <f t="shared" si="0"/>
        <v>160000</v>
      </c>
      <c r="D15" s="4">
        <f t="shared" si="1"/>
        <v>890</v>
      </c>
      <c r="E15" s="4">
        <f t="shared" si="2"/>
        <v>9910</v>
      </c>
      <c r="F15" s="4">
        <f t="shared" si="3"/>
        <v>7200</v>
      </c>
      <c r="G15" s="4">
        <f t="shared" si="4"/>
        <v>2710</v>
      </c>
    </row>
    <row r="16" spans="2:16" x14ac:dyDescent="0.3">
      <c r="B16" s="2">
        <v>120</v>
      </c>
      <c r="C16" s="2">
        <f t="shared" si="0"/>
        <v>170000</v>
      </c>
      <c r="D16" s="4">
        <f t="shared" si="1"/>
        <v>880</v>
      </c>
      <c r="E16" s="4">
        <f t="shared" si="2"/>
        <v>9920</v>
      </c>
      <c r="F16" s="4">
        <f t="shared" si="3"/>
        <v>7600</v>
      </c>
      <c r="G16" s="4">
        <f t="shared" si="4"/>
        <v>2320</v>
      </c>
    </row>
    <row r="17" spans="2:7" x14ac:dyDescent="0.3">
      <c r="B17" s="2">
        <v>130</v>
      </c>
      <c r="C17" s="2">
        <f t="shared" si="0"/>
        <v>180000</v>
      </c>
      <c r="D17" s="4">
        <f t="shared" si="1"/>
        <v>870</v>
      </c>
      <c r="E17" s="4">
        <f t="shared" si="2"/>
        <v>9930</v>
      </c>
      <c r="F17" s="4">
        <f t="shared" si="3"/>
        <v>8000</v>
      </c>
      <c r="G17" s="4">
        <f t="shared" si="4"/>
        <v>1930</v>
      </c>
    </row>
    <row r="18" spans="2:7" x14ac:dyDescent="0.3">
      <c r="B18" s="2">
        <v>140</v>
      </c>
      <c r="C18" s="2">
        <f t="shared" si="0"/>
        <v>190000</v>
      </c>
      <c r="D18" s="4">
        <f t="shared" si="1"/>
        <v>860</v>
      </c>
      <c r="E18" s="4">
        <f t="shared" si="2"/>
        <v>9940</v>
      </c>
      <c r="F18" s="4">
        <f t="shared" si="3"/>
        <v>8400</v>
      </c>
      <c r="G18" s="4">
        <f t="shared" si="4"/>
        <v>1540</v>
      </c>
    </row>
    <row r="19" spans="2:7" x14ac:dyDescent="0.3">
      <c r="B19" s="2">
        <v>150</v>
      </c>
      <c r="C19" s="2">
        <f t="shared" si="0"/>
        <v>200000</v>
      </c>
      <c r="D19" s="4">
        <f t="shared" si="1"/>
        <v>850</v>
      </c>
      <c r="E19" s="4">
        <f t="shared" si="2"/>
        <v>9950</v>
      </c>
      <c r="F19" s="4">
        <f t="shared" si="3"/>
        <v>8800</v>
      </c>
      <c r="G19" s="4">
        <f t="shared" si="4"/>
        <v>1150</v>
      </c>
    </row>
    <row r="20" spans="2:7" x14ac:dyDescent="0.3">
      <c r="B20" s="2">
        <v>160</v>
      </c>
      <c r="C20" s="2">
        <f t="shared" si="0"/>
        <v>210000</v>
      </c>
      <c r="D20" s="4">
        <f t="shared" si="1"/>
        <v>840</v>
      </c>
      <c r="E20" s="4">
        <f t="shared" si="2"/>
        <v>9960</v>
      </c>
      <c r="F20" s="4">
        <f t="shared" si="3"/>
        <v>9200</v>
      </c>
      <c r="G20" s="4">
        <f t="shared" si="4"/>
        <v>760</v>
      </c>
    </row>
    <row r="21" spans="2:7" x14ac:dyDescent="0.3">
      <c r="B21" s="2">
        <v>170</v>
      </c>
      <c r="C21" s="2">
        <f t="shared" si="0"/>
        <v>220000</v>
      </c>
      <c r="D21" s="4">
        <f t="shared" si="1"/>
        <v>830</v>
      </c>
      <c r="E21" s="4">
        <f t="shared" si="2"/>
        <v>9970</v>
      </c>
      <c r="F21" s="4">
        <f t="shared" si="3"/>
        <v>9600</v>
      </c>
      <c r="G21" s="4">
        <f t="shared" si="4"/>
        <v>370</v>
      </c>
    </row>
    <row r="22" spans="2:7" x14ac:dyDescent="0.3">
      <c r="B22" s="2">
        <v>171</v>
      </c>
      <c r="C22" s="2">
        <f t="shared" si="0"/>
        <v>221000</v>
      </c>
      <c r="D22" s="4">
        <f t="shared" si="1"/>
        <v>829</v>
      </c>
      <c r="E22" s="4">
        <f t="shared" si="2"/>
        <v>9971</v>
      </c>
      <c r="F22" s="4">
        <f t="shared" si="3"/>
        <v>9640</v>
      </c>
      <c r="G22" s="4">
        <f t="shared" si="4"/>
        <v>331</v>
      </c>
    </row>
    <row r="23" spans="2:7" x14ac:dyDescent="0.3">
      <c r="B23" s="2">
        <v>172</v>
      </c>
      <c r="C23" s="2">
        <f t="shared" si="0"/>
        <v>222000</v>
      </c>
      <c r="D23" s="4">
        <f t="shared" si="1"/>
        <v>828</v>
      </c>
      <c r="E23" s="4">
        <f t="shared" si="2"/>
        <v>9972</v>
      </c>
      <c r="F23" s="4">
        <f t="shared" si="3"/>
        <v>9680</v>
      </c>
      <c r="G23" s="4">
        <f t="shared" si="4"/>
        <v>292</v>
      </c>
    </row>
    <row r="24" spans="2:7" x14ac:dyDescent="0.3">
      <c r="B24" s="2">
        <v>173</v>
      </c>
      <c r="C24" s="2">
        <f t="shared" si="0"/>
        <v>223000</v>
      </c>
      <c r="D24" s="4">
        <f t="shared" si="1"/>
        <v>827</v>
      </c>
      <c r="E24" s="4">
        <f t="shared" si="2"/>
        <v>9973</v>
      </c>
      <c r="F24" s="4">
        <f t="shared" si="3"/>
        <v>9720</v>
      </c>
      <c r="G24" s="4">
        <f t="shared" si="4"/>
        <v>253</v>
      </c>
    </row>
    <row r="25" spans="2:7" x14ac:dyDescent="0.3">
      <c r="B25" s="2">
        <v>174</v>
      </c>
      <c r="C25" s="2">
        <f t="shared" si="0"/>
        <v>224000</v>
      </c>
      <c r="D25" s="4">
        <f t="shared" si="1"/>
        <v>826</v>
      </c>
      <c r="E25" s="4">
        <f t="shared" si="2"/>
        <v>9974</v>
      </c>
      <c r="F25" s="4">
        <f t="shared" si="3"/>
        <v>9760</v>
      </c>
      <c r="G25" s="4">
        <f t="shared" si="4"/>
        <v>214</v>
      </c>
    </row>
    <row r="26" spans="2:7" x14ac:dyDescent="0.3">
      <c r="B26" s="2">
        <v>175</v>
      </c>
      <c r="C26" s="2">
        <f t="shared" si="0"/>
        <v>225000</v>
      </c>
      <c r="D26" s="4">
        <f t="shared" si="1"/>
        <v>825</v>
      </c>
      <c r="E26" s="4">
        <f t="shared" si="2"/>
        <v>9975</v>
      </c>
      <c r="F26" s="4">
        <f t="shared" si="3"/>
        <v>9800</v>
      </c>
      <c r="G26" s="4">
        <f t="shared" si="4"/>
        <v>175</v>
      </c>
    </row>
    <row r="27" spans="2:7" x14ac:dyDescent="0.3">
      <c r="B27" s="2">
        <v>176</v>
      </c>
      <c r="C27" s="2">
        <f t="shared" si="0"/>
        <v>226000</v>
      </c>
      <c r="D27" s="4">
        <f t="shared" si="1"/>
        <v>824</v>
      </c>
      <c r="E27" s="4">
        <f t="shared" si="2"/>
        <v>9976</v>
      </c>
      <c r="F27" s="4">
        <f t="shared" si="3"/>
        <v>9840</v>
      </c>
      <c r="G27" s="4">
        <f t="shared" si="4"/>
        <v>136</v>
      </c>
    </row>
    <row r="28" spans="2:7" x14ac:dyDescent="0.3">
      <c r="B28" s="2">
        <v>177</v>
      </c>
      <c r="C28" s="2">
        <f t="shared" si="0"/>
        <v>227000</v>
      </c>
      <c r="D28" s="4">
        <f t="shared" si="1"/>
        <v>823</v>
      </c>
      <c r="E28" s="4">
        <f t="shared" si="2"/>
        <v>9977</v>
      </c>
      <c r="F28" s="4">
        <f t="shared" si="3"/>
        <v>9880</v>
      </c>
      <c r="G28" s="4">
        <f t="shared" si="4"/>
        <v>97</v>
      </c>
    </row>
    <row r="29" spans="2:7" x14ac:dyDescent="0.3">
      <c r="B29" s="2">
        <v>178</v>
      </c>
      <c r="C29" s="2">
        <f t="shared" si="0"/>
        <v>228000</v>
      </c>
      <c r="D29" s="4">
        <f t="shared" si="1"/>
        <v>822</v>
      </c>
      <c r="E29" s="4">
        <f t="shared" si="2"/>
        <v>9978</v>
      </c>
      <c r="F29" s="4">
        <f t="shared" si="3"/>
        <v>9920</v>
      </c>
      <c r="G29" s="4">
        <f t="shared" si="4"/>
        <v>58</v>
      </c>
    </row>
    <row r="30" spans="2:7" x14ac:dyDescent="0.3">
      <c r="B30" s="2">
        <v>179</v>
      </c>
      <c r="C30" s="2">
        <f t="shared" si="0"/>
        <v>229000</v>
      </c>
      <c r="D30" s="4">
        <f t="shared" si="1"/>
        <v>821</v>
      </c>
      <c r="E30" s="4">
        <f t="shared" si="2"/>
        <v>9979</v>
      </c>
      <c r="F30" s="4">
        <f t="shared" si="3"/>
        <v>9960</v>
      </c>
      <c r="G30" s="4">
        <f t="shared" si="4"/>
        <v>19</v>
      </c>
    </row>
    <row r="31" spans="2:7" x14ac:dyDescent="0.3">
      <c r="B31" s="2">
        <v>180</v>
      </c>
      <c r="C31" s="2">
        <f t="shared" si="0"/>
        <v>230000</v>
      </c>
      <c r="D31" s="4">
        <f t="shared" si="1"/>
        <v>820</v>
      </c>
      <c r="E31" s="4">
        <f t="shared" si="2"/>
        <v>9980</v>
      </c>
      <c r="F31" s="4">
        <f t="shared" si="3"/>
        <v>10000</v>
      </c>
      <c r="G31" s="4">
        <f t="shared" si="4"/>
        <v>-20</v>
      </c>
    </row>
    <row r="34" spans="2:11" s="14" customFormat="1" ht="18" x14ac:dyDescent="0.35">
      <c r="B34" s="60" t="s">
        <v>54</v>
      </c>
      <c r="C34" s="60"/>
      <c r="D34" s="60"/>
      <c r="E34" s="60"/>
      <c r="F34" s="60"/>
      <c r="G34" s="60"/>
    </row>
    <row r="35" spans="2:11" s="14" customFormat="1" x14ac:dyDescent="0.3">
      <c r="B35" s="7" t="s">
        <v>49</v>
      </c>
      <c r="C35" s="7" t="s">
        <v>50</v>
      </c>
      <c r="D35" s="5" t="s">
        <v>43</v>
      </c>
      <c r="E35" s="7" t="s">
        <v>51</v>
      </c>
      <c r="F35" s="7" t="s">
        <v>52</v>
      </c>
      <c r="G35" s="5" t="s">
        <v>53</v>
      </c>
    </row>
    <row r="36" spans="2:11" x14ac:dyDescent="0.3">
      <c r="B36" s="2">
        <v>179.1</v>
      </c>
      <c r="C36" s="2">
        <f>$C$8+(B36*1000)</f>
        <v>229100</v>
      </c>
      <c r="D36" s="4">
        <f>IF(C36&lt;=50000,$C$5,$C$5-((C36-50000)/1000)*$C$7)</f>
        <v>820.9</v>
      </c>
      <c r="E36" s="4">
        <f>$C$3+$C$4*$C$6-D36</f>
        <v>9979.1</v>
      </c>
      <c r="F36" s="4">
        <f>$F$3*$C$6+$F$4*C36</f>
        <v>9964</v>
      </c>
      <c r="G36" s="16">
        <f>E36-F36</f>
        <v>15.100000000000364</v>
      </c>
    </row>
    <row r="37" spans="2:11" x14ac:dyDescent="0.3">
      <c r="B37" s="2">
        <v>179.2</v>
      </c>
      <c r="C37" s="2">
        <f t="shared" ref="C37:C55" si="5">$C$8+(B37*1000)</f>
        <v>229200</v>
      </c>
      <c r="D37" s="4">
        <f t="shared" ref="D37:D55" si="6">IF(C37&lt;=50000,$C$5,$C$5-((C37-50000)/1000)*$C$7)</f>
        <v>820.8</v>
      </c>
      <c r="E37" s="4">
        <f t="shared" ref="E37:E55" si="7">$C$3+$C$4*$C$6-D37</f>
        <v>9979.2000000000007</v>
      </c>
      <c r="F37" s="4">
        <f t="shared" ref="F37:F55" si="8">$F$3*$C$6+$F$4*C37</f>
        <v>9968</v>
      </c>
      <c r="G37" s="4">
        <f t="shared" ref="G37:G55" si="9">E37-F37</f>
        <v>11.200000000000728</v>
      </c>
    </row>
    <row r="38" spans="2:11" x14ac:dyDescent="0.3">
      <c r="B38" s="2">
        <v>179.3</v>
      </c>
      <c r="C38" s="2">
        <f t="shared" si="5"/>
        <v>229300</v>
      </c>
      <c r="D38" s="4">
        <f t="shared" si="6"/>
        <v>820.7</v>
      </c>
      <c r="E38" s="4">
        <f t="shared" si="7"/>
        <v>9979.2999999999993</v>
      </c>
      <c r="F38" s="4">
        <f t="shared" si="8"/>
        <v>9972</v>
      </c>
      <c r="G38" s="4">
        <f t="shared" si="9"/>
        <v>7.2999999999992724</v>
      </c>
    </row>
    <row r="39" spans="2:11" x14ac:dyDescent="0.3">
      <c r="B39" s="2">
        <v>179.4</v>
      </c>
      <c r="C39" s="2">
        <f t="shared" si="5"/>
        <v>229400</v>
      </c>
      <c r="D39" s="4">
        <f t="shared" si="6"/>
        <v>820.6</v>
      </c>
      <c r="E39" s="4">
        <f t="shared" si="7"/>
        <v>9979.4</v>
      </c>
      <c r="F39" s="4">
        <f t="shared" si="8"/>
        <v>9976</v>
      </c>
      <c r="G39" s="4">
        <f t="shared" si="9"/>
        <v>3.3999999999996362</v>
      </c>
      <c r="K39" s="17"/>
    </row>
    <row r="40" spans="2:11" x14ac:dyDescent="0.3">
      <c r="B40" s="2">
        <v>179.41</v>
      </c>
      <c r="C40" s="2">
        <f t="shared" si="5"/>
        <v>229410</v>
      </c>
      <c r="D40" s="4">
        <f t="shared" si="6"/>
        <v>820.59</v>
      </c>
      <c r="E40" s="4">
        <f t="shared" si="7"/>
        <v>9979.41</v>
      </c>
      <c r="F40" s="4">
        <f t="shared" si="8"/>
        <v>9976.4</v>
      </c>
      <c r="G40" s="4">
        <f t="shared" si="9"/>
        <v>3.0100000000002183</v>
      </c>
    </row>
    <row r="41" spans="2:11" x14ac:dyDescent="0.3">
      <c r="B41" s="2">
        <v>179.42</v>
      </c>
      <c r="C41" s="2">
        <f t="shared" si="5"/>
        <v>229420</v>
      </c>
      <c r="D41" s="4">
        <f t="shared" si="6"/>
        <v>820.58</v>
      </c>
      <c r="E41" s="4">
        <f t="shared" si="7"/>
        <v>9979.42</v>
      </c>
      <c r="F41" s="4">
        <f t="shared" si="8"/>
        <v>9976.8000000000011</v>
      </c>
      <c r="G41" s="4">
        <f t="shared" si="9"/>
        <v>2.6199999999989814</v>
      </c>
    </row>
    <row r="42" spans="2:11" x14ac:dyDescent="0.3">
      <c r="B42" s="2">
        <v>179.43</v>
      </c>
      <c r="C42" s="2">
        <f t="shared" si="5"/>
        <v>229430</v>
      </c>
      <c r="D42" s="4">
        <f t="shared" si="6"/>
        <v>820.56999999999994</v>
      </c>
      <c r="E42" s="4">
        <f t="shared" si="7"/>
        <v>9979.43</v>
      </c>
      <c r="F42" s="4">
        <f t="shared" si="8"/>
        <v>9977.2000000000007</v>
      </c>
      <c r="G42" s="4">
        <f t="shared" si="9"/>
        <v>2.2299999999995634</v>
      </c>
    </row>
    <row r="43" spans="2:11" x14ac:dyDescent="0.3">
      <c r="B43" s="2">
        <v>179.44</v>
      </c>
      <c r="C43" s="2">
        <f t="shared" si="5"/>
        <v>229440</v>
      </c>
      <c r="D43" s="4">
        <f t="shared" si="6"/>
        <v>820.56</v>
      </c>
      <c r="E43" s="4">
        <f t="shared" si="7"/>
        <v>9979.44</v>
      </c>
      <c r="F43" s="4">
        <f t="shared" si="8"/>
        <v>9977.6</v>
      </c>
      <c r="G43" s="4">
        <f t="shared" si="9"/>
        <v>1.8400000000001455</v>
      </c>
    </row>
    <row r="44" spans="2:11" x14ac:dyDescent="0.3">
      <c r="B44" s="2">
        <v>179.45</v>
      </c>
      <c r="C44" s="2">
        <f t="shared" si="5"/>
        <v>229450</v>
      </c>
      <c r="D44" s="4">
        <f t="shared" si="6"/>
        <v>820.55</v>
      </c>
      <c r="E44" s="4">
        <f t="shared" si="7"/>
        <v>9979.4500000000007</v>
      </c>
      <c r="F44" s="4">
        <f t="shared" si="8"/>
        <v>9978</v>
      </c>
      <c r="G44" s="4">
        <f t="shared" si="9"/>
        <v>1.4500000000007276</v>
      </c>
    </row>
    <row r="45" spans="2:11" x14ac:dyDescent="0.3">
      <c r="B45" s="2">
        <v>179.46</v>
      </c>
      <c r="C45" s="2">
        <f t="shared" si="5"/>
        <v>229460</v>
      </c>
      <c r="D45" s="4">
        <f t="shared" si="6"/>
        <v>820.54</v>
      </c>
      <c r="E45" s="4">
        <f t="shared" si="7"/>
        <v>9979.4599999999991</v>
      </c>
      <c r="F45" s="4">
        <f t="shared" si="8"/>
        <v>9978.4</v>
      </c>
      <c r="G45" s="4">
        <f t="shared" si="9"/>
        <v>1.0599999999994907</v>
      </c>
    </row>
    <row r="46" spans="2:11" x14ac:dyDescent="0.3">
      <c r="B46" s="2">
        <v>179.47</v>
      </c>
      <c r="C46" s="2">
        <f t="shared" si="5"/>
        <v>229470</v>
      </c>
      <c r="D46" s="4">
        <f t="shared" si="6"/>
        <v>820.53</v>
      </c>
      <c r="E46" s="4">
        <f t="shared" si="7"/>
        <v>9979.4699999999993</v>
      </c>
      <c r="F46" s="4">
        <f t="shared" si="8"/>
        <v>9978.8000000000011</v>
      </c>
      <c r="G46" s="4">
        <f t="shared" si="9"/>
        <v>0.66999999999825377</v>
      </c>
    </row>
    <row r="47" spans="2:11" x14ac:dyDescent="0.3">
      <c r="B47" s="2">
        <v>179.48</v>
      </c>
      <c r="C47" s="2">
        <f t="shared" si="5"/>
        <v>229480</v>
      </c>
      <c r="D47" s="4">
        <f t="shared" si="6"/>
        <v>820.52</v>
      </c>
      <c r="E47" s="4">
        <f t="shared" si="7"/>
        <v>9979.48</v>
      </c>
      <c r="F47" s="4">
        <f t="shared" si="8"/>
        <v>9979.2000000000007</v>
      </c>
      <c r="G47" s="4">
        <f t="shared" si="9"/>
        <v>0.27999999999883585</v>
      </c>
    </row>
    <row r="48" spans="2:11" x14ac:dyDescent="0.3">
      <c r="B48" s="2">
        <v>179.48099999999999</v>
      </c>
      <c r="C48" s="2">
        <f t="shared" si="5"/>
        <v>229481</v>
      </c>
      <c r="D48" s="4">
        <f t="shared" si="6"/>
        <v>820.51900000000001</v>
      </c>
      <c r="E48" s="4">
        <f t="shared" si="7"/>
        <v>9979.4809999999998</v>
      </c>
      <c r="F48" s="4">
        <f t="shared" si="8"/>
        <v>9979.24</v>
      </c>
      <c r="G48" s="4">
        <f t="shared" si="9"/>
        <v>0.24099999999998545</v>
      </c>
    </row>
    <row r="49" spans="2:7" x14ac:dyDescent="0.3">
      <c r="B49" s="2">
        <v>179.482</v>
      </c>
      <c r="C49" s="2">
        <f t="shared" si="5"/>
        <v>229482</v>
      </c>
      <c r="D49" s="4">
        <f t="shared" si="6"/>
        <v>820.51800000000003</v>
      </c>
      <c r="E49" s="4">
        <f t="shared" si="7"/>
        <v>9979.482</v>
      </c>
      <c r="F49" s="4">
        <f t="shared" si="8"/>
        <v>9979.2800000000007</v>
      </c>
      <c r="G49" s="4">
        <f t="shared" si="9"/>
        <v>0.20199999999931606</v>
      </c>
    </row>
    <row r="50" spans="2:7" x14ac:dyDescent="0.3">
      <c r="B50" s="2">
        <v>179.483</v>
      </c>
      <c r="C50" s="2">
        <f t="shared" si="5"/>
        <v>229483</v>
      </c>
      <c r="D50" s="4">
        <f t="shared" si="6"/>
        <v>820.51700000000005</v>
      </c>
      <c r="E50" s="4">
        <f t="shared" si="7"/>
        <v>9979.4830000000002</v>
      </c>
      <c r="F50" s="4">
        <f t="shared" si="8"/>
        <v>9979.32</v>
      </c>
      <c r="G50" s="4">
        <f t="shared" si="9"/>
        <v>0.16300000000046566</v>
      </c>
    </row>
    <row r="51" spans="2:7" x14ac:dyDescent="0.3">
      <c r="B51" s="2">
        <v>179.48400000000001</v>
      </c>
      <c r="C51" s="2">
        <f t="shared" si="5"/>
        <v>229484</v>
      </c>
      <c r="D51" s="4">
        <f t="shared" si="6"/>
        <v>820.51599999999996</v>
      </c>
      <c r="E51" s="4">
        <f t="shared" si="7"/>
        <v>9979.4840000000004</v>
      </c>
      <c r="F51" s="4">
        <f t="shared" si="8"/>
        <v>9979.36</v>
      </c>
      <c r="G51" s="4">
        <f t="shared" si="9"/>
        <v>0.12399999999979627</v>
      </c>
    </row>
    <row r="52" spans="2:7" x14ac:dyDescent="0.3">
      <c r="B52" s="2">
        <v>179.48500000000001</v>
      </c>
      <c r="C52" s="2">
        <f t="shared" si="5"/>
        <v>229485</v>
      </c>
      <c r="D52" s="4">
        <f t="shared" si="6"/>
        <v>820.51499999999999</v>
      </c>
      <c r="E52" s="4">
        <f t="shared" si="7"/>
        <v>9979.4850000000006</v>
      </c>
      <c r="F52" s="4">
        <f t="shared" si="8"/>
        <v>9979.4</v>
      </c>
      <c r="G52" s="4">
        <f t="shared" si="9"/>
        <v>8.5000000000945874E-2</v>
      </c>
    </row>
    <row r="53" spans="2:7" x14ac:dyDescent="0.3">
      <c r="B53" s="2">
        <v>179.48599999999999</v>
      </c>
      <c r="C53" s="2">
        <f t="shared" si="5"/>
        <v>229486</v>
      </c>
      <c r="D53" s="4">
        <f t="shared" si="6"/>
        <v>820.51400000000001</v>
      </c>
      <c r="E53" s="4">
        <f t="shared" si="7"/>
        <v>9979.4860000000008</v>
      </c>
      <c r="F53" s="4">
        <f t="shared" si="8"/>
        <v>9979.44</v>
      </c>
      <c r="G53" s="4">
        <f t="shared" si="9"/>
        <v>4.6000000000276486E-2</v>
      </c>
    </row>
    <row r="54" spans="2:7" x14ac:dyDescent="0.3">
      <c r="B54" s="2">
        <v>179.48699999999999</v>
      </c>
      <c r="C54" s="2">
        <f t="shared" si="5"/>
        <v>229487</v>
      </c>
      <c r="D54" s="4">
        <f t="shared" si="6"/>
        <v>820.51300000000003</v>
      </c>
      <c r="E54" s="4">
        <f t="shared" si="7"/>
        <v>9979.4869999999992</v>
      </c>
      <c r="F54" s="4">
        <f t="shared" si="8"/>
        <v>9979.48</v>
      </c>
      <c r="G54" s="4">
        <f t="shared" si="9"/>
        <v>6.9999999996070983E-3</v>
      </c>
    </row>
    <row r="55" spans="2:7" x14ac:dyDescent="0.3">
      <c r="B55" s="2">
        <v>179.488</v>
      </c>
      <c r="C55" s="2">
        <f t="shared" si="5"/>
        <v>229488</v>
      </c>
      <c r="D55" s="4">
        <f t="shared" si="6"/>
        <v>820.51199999999994</v>
      </c>
      <c r="E55" s="4">
        <f t="shared" si="7"/>
        <v>9979.4879999999994</v>
      </c>
      <c r="F55" s="4">
        <f t="shared" si="8"/>
        <v>9979.52</v>
      </c>
      <c r="G55" s="4">
        <f t="shared" si="9"/>
        <v>-3.200000000106229E-2</v>
      </c>
    </row>
  </sheetData>
  <sheetProtection algorithmName="SHA-512" hashValue="cLAgpM9dZ1QzGy1UUyIFvhWM+nk3D8W1aM+HsxG6TL4bmB9xxxa+t+5zoDFE93QRoUdRwYKrcPeBCtjJMM58jw==" saltValue="1ba39bKP5uP/PGt9Ko2Gzg==" spinCount="100000" sheet="1" objects="1" scenarios="1"/>
  <mergeCells count="7">
    <mergeCell ref="B2:C2"/>
    <mergeCell ref="E2:F2"/>
    <mergeCell ref="B11:G11"/>
    <mergeCell ref="B34:G34"/>
    <mergeCell ref="I2:P2"/>
    <mergeCell ref="I4:P4"/>
    <mergeCell ref="I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8A31-CDB3-476C-915C-9F3F38F4EDB0}">
  <sheetPr codeName="Sheet6"/>
  <dimension ref="B2:P39"/>
  <sheetViews>
    <sheetView workbookViewId="0">
      <selection activeCell="I7" sqref="I7:P7"/>
    </sheetView>
  </sheetViews>
  <sheetFormatPr defaultRowHeight="14.4" x14ac:dyDescent="0.3"/>
  <cols>
    <col min="2" max="2" width="22.109375" bestFit="1" customWidth="1"/>
    <col min="3" max="3" width="15.88671875" bestFit="1" customWidth="1"/>
    <col min="4" max="4" width="11.5546875" bestFit="1" customWidth="1"/>
    <col min="5" max="5" width="18.44140625" bestFit="1" customWidth="1"/>
    <col min="6" max="6" width="17.5546875" bestFit="1" customWidth="1"/>
    <col min="7" max="7" width="39.44140625" bestFit="1" customWidth="1"/>
  </cols>
  <sheetData>
    <row r="2" spans="2:16" ht="15" thickBot="1" x14ac:dyDescent="0.35">
      <c r="B2" s="34" t="s">
        <v>38</v>
      </c>
      <c r="C2" s="34"/>
      <c r="E2" s="34" t="s">
        <v>39</v>
      </c>
      <c r="F2" s="34"/>
      <c r="I2" s="39" t="s">
        <v>65</v>
      </c>
      <c r="J2" s="39"/>
      <c r="K2" s="39"/>
      <c r="L2" s="39"/>
      <c r="M2" s="39"/>
      <c r="N2" s="39"/>
      <c r="O2" s="39"/>
      <c r="P2" s="39"/>
    </row>
    <row r="3" spans="2:16" ht="15" thickTop="1" x14ac:dyDescent="0.3">
      <c r="B3" s="2" t="s">
        <v>41</v>
      </c>
      <c r="C3" s="4">
        <v>10000</v>
      </c>
      <c r="E3" s="2" t="s">
        <v>40</v>
      </c>
      <c r="F3" s="4">
        <v>800</v>
      </c>
    </row>
    <row r="4" spans="2:16" x14ac:dyDescent="0.3">
      <c r="B4" s="2" t="s">
        <v>42</v>
      </c>
      <c r="C4" s="4">
        <v>800</v>
      </c>
      <c r="E4" s="2" t="s">
        <v>47</v>
      </c>
      <c r="F4" s="4">
        <v>0.04</v>
      </c>
      <c r="I4" s="32" t="s">
        <v>82</v>
      </c>
      <c r="J4" s="32"/>
      <c r="K4" s="32"/>
      <c r="L4" s="32"/>
      <c r="M4" s="32"/>
      <c r="N4" s="32"/>
      <c r="O4" s="32"/>
      <c r="P4" s="32"/>
    </row>
    <row r="5" spans="2:16" x14ac:dyDescent="0.3">
      <c r="B5" s="2" t="s">
        <v>43</v>
      </c>
      <c r="C5" s="4">
        <v>1000</v>
      </c>
      <c r="I5" s="32"/>
      <c r="J5" s="32"/>
      <c r="K5" s="32"/>
      <c r="L5" s="32"/>
      <c r="M5" s="32"/>
      <c r="N5" s="32"/>
      <c r="O5" s="32"/>
      <c r="P5" s="32"/>
    </row>
    <row r="6" spans="2:16" x14ac:dyDescent="0.3">
      <c r="B6" s="2" t="s">
        <v>44</v>
      </c>
      <c r="C6" s="2">
        <v>1</v>
      </c>
    </row>
    <row r="7" spans="2:16" x14ac:dyDescent="0.3">
      <c r="B7" s="2" t="s">
        <v>45</v>
      </c>
      <c r="C7" s="2">
        <v>1</v>
      </c>
      <c r="I7" s="28" t="s">
        <v>89</v>
      </c>
      <c r="J7" s="29"/>
      <c r="K7" s="29"/>
      <c r="L7" s="29"/>
      <c r="M7" s="29"/>
      <c r="N7" s="29"/>
      <c r="O7" s="29"/>
      <c r="P7" s="30"/>
    </row>
    <row r="8" spans="2:16" x14ac:dyDescent="0.3">
      <c r="B8" s="2" t="s">
        <v>46</v>
      </c>
      <c r="C8" s="2">
        <v>50000</v>
      </c>
    </row>
    <row r="11" spans="2:16" ht="18" x14ac:dyDescent="0.35">
      <c r="B11" s="60" t="s">
        <v>48</v>
      </c>
      <c r="C11" s="60"/>
      <c r="D11" s="60"/>
      <c r="E11" s="60"/>
      <c r="F11" s="60"/>
      <c r="G11" s="60"/>
    </row>
    <row r="12" spans="2:16" s="14" customFormat="1" x14ac:dyDescent="0.3">
      <c r="B12" s="7" t="s">
        <v>49</v>
      </c>
      <c r="C12" s="7" t="s">
        <v>50</v>
      </c>
      <c r="D12" s="7" t="s">
        <v>43</v>
      </c>
      <c r="E12" s="7" t="s">
        <v>51</v>
      </c>
      <c r="F12" s="7" t="s">
        <v>52</v>
      </c>
      <c r="G12" s="5" t="s">
        <v>53</v>
      </c>
    </row>
    <row r="13" spans="2:16" x14ac:dyDescent="0.3">
      <c r="B13" s="2">
        <v>0</v>
      </c>
      <c r="C13" s="2">
        <f>$C$8+(B13*1000)</f>
        <v>50000</v>
      </c>
      <c r="D13" s="4">
        <f>IF(C13&lt;=50000,$C$5,$C$5-((C13-50000)/1000)*$C$7)</f>
        <v>1000</v>
      </c>
      <c r="E13" s="4">
        <f>$C$3+$C$4*$C$6-D13</f>
        <v>9800</v>
      </c>
      <c r="F13" s="4">
        <f>$F$3*$C$6+$F$4*C13</f>
        <v>2800</v>
      </c>
      <c r="G13" s="4">
        <f>E13-F13</f>
        <v>7000</v>
      </c>
    </row>
    <row r="14" spans="2:16" x14ac:dyDescent="0.3">
      <c r="B14" s="2">
        <v>100</v>
      </c>
      <c r="C14" s="2">
        <f t="shared" ref="C14:C31" si="0">$C$8+(B14*1000)</f>
        <v>150000</v>
      </c>
      <c r="D14" s="4">
        <f t="shared" ref="D14:D31" si="1">IF(C14&lt;=50000,$C$5,$C$5-((C14-50000)/1000)*$C$7)</f>
        <v>900</v>
      </c>
      <c r="E14" s="4">
        <f t="shared" ref="E14:E31" si="2">$C$3+$C$4*$C$6-D14</f>
        <v>9900</v>
      </c>
      <c r="F14" s="4">
        <f t="shared" ref="F14:F31" si="3">$F$3*$C$6+$F$4*C14</f>
        <v>6800</v>
      </c>
      <c r="G14" s="4">
        <f t="shared" ref="G14:G31" si="4">E14-F14</f>
        <v>3100</v>
      </c>
    </row>
    <row r="15" spans="2:16" x14ac:dyDescent="0.3">
      <c r="B15" s="2">
        <v>110</v>
      </c>
      <c r="C15" s="2">
        <f t="shared" si="0"/>
        <v>160000</v>
      </c>
      <c r="D15" s="4">
        <f t="shared" si="1"/>
        <v>890</v>
      </c>
      <c r="E15" s="4">
        <f t="shared" si="2"/>
        <v>9910</v>
      </c>
      <c r="F15" s="4">
        <f t="shared" si="3"/>
        <v>7200</v>
      </c>
      <c r="G15" s="4">
        <f t="shared" si="4"/>
        <v>2710</v>
      </c>
    </row>
    <row r="16" spans="2:16" x14ac:dyDescent="0.3">
      <c r="B16" s="2">
        <v>120</v>
      </c>
      <c r="C16" s="2">
        <f t="shared" si="0"/>
        <v>170000</v>
      </c>
      <c r="D16" s="4">
        <f t="shared" si="1"/>
        <v>880</v>
      </c>
      <c r="E16" s="4">
        <f t="shared" si="2"/>
        <v>9920</v>
      </c>
      <c r="F16" s="4">
        <f t="shared" si="3"/>
        <v>7600</v>
      </c>
      <c r="G16" s="4">
        <f t="shared" si="4"/>
        <v>2320</v>
      </c>
    </row>
    <row r="17" spans="2:7" x14ac:dyDescent="0.3">
      <c r="B17" s="2">
        <v>130</v>
      </c>
      <c r="C17" s="2">
        <f t="shared" si="0"/>
        <v>180000</v>
      </c>
      <c r="D17" s="4">
        <f t="shared" si="1"/>
        <v>870</v>
      </c>
      <c r="E17" s="4">
        <f t="shared" si="2"/>
        <v>9930</v>
      </c>
      <c r="F17" s="4">
        <f t="shared" si="3"/>
        <v>8000</v>
      </c>
      <c r="G17" s="4">
        <f t="shared" si="4"/>
        <v>1930</v>
      </c>
    </row>
    <row r="18" spans="2:7" x14ac:dyDescent="0.3">
      <c r="B18" s="2">
        <v>140</v>
      </c>
      <c r="C18" s="2">
        <f t="shared" si="0"/>
        <v>190000</v>
      </c>
      <c r="D18" s="4">
        <f t="shared" si="1"/>
        <v>860</v>
      </c>
      <c r="E18" s="4">
        <f t="shared" si="2"/>
        <v>9940</v>
      </c>
      <c r="F18" s="4">
        <f t="shared" si="3"/>
        <v>8400</v>
      </c>
      <c r="G18" s="4">
        <f t="shared" si="4"/>
        <v>1540</v>
      </c>
    </row>
    <row r="19" spans="2:7" x14ac:dyDescent="0.3">
      <c r="B19" s="2">
        <v>150</v>
      </c>
      <c r="C19" s="2">
        <f t="shared" si="0"/>
        <v>200000</v>
      </c>
      <c r="D19" s="4">
        <f t="shared" si="1"/>
        <v>850</v>
      </c>
      <c r="E19" s="4">
        <f t="shared" si="2"/>
        <v>9950</v>
      </c>
      <c r="F19" s="4">
        <f t="shared" si="3"/>
        <v>8800</v>
      </c>
      <c r="G19" s="4">
        <f t="shared" si="4"/>
        <v>1150</v>
      </c>
    </row>
    <row r="20" spans="2:7" x14ac:dyDescent="0.3">
      <c r="B20" s="2">
        <v>160</v>
      </c>
      <c r="C20" s="2">
        <f t="shared" si="0"/>
        <v>210000</v>
      </c>
      <c r="D20" s="4">
        <f t="shared" si="1"/>
        <v>840</v>
      </c>
      <c r="E20" s="4">
        <f t="shared" si="2"/>
        <v>9960</v>
      </c>
      <c r="F20" s="4">
        <f t="shared" si="3"/>
        <v>9200</v>
      </c>
      <c r="G20" s="4">
        <f t="shared" si="4"/>
        <v>760</v>
      </c>
    </row>
    <row r="21" spans="2:7" x14ac:dyDescent="0.3">
      <c r="B21" s="2">
        <v>170</v>
      </c>
      <c r="C21" s="2">
        <f t="shared" si="0"/>
        <v>220000</v>
      </c>
      <c r="D21" s="4">
        <f t="shared" si="1"/>
        <v>830</v>
      </c>
      <c r="E21" s="4">
        <f t="shared" si="2"/>
        <v>9970</v>
      </c>
      <c r="F21" s="4">
        <f t="shared" si="3"/>
        <v>9600</v>
      </c>
      <c r="G21" s="4">
        <f t="shared" si="4"/>
        <v>370</v>
      </c>
    </row>
    <row r="22" spans="2:7" x14ac:dyDescent="0.3">
      <c r="B22" s="2">
        <v>171</v>
      </c>
      <c r="C22" s="2">
        <f t="shared" si="0"/>
        <v>221000</v>
      </c>
      <c r="D22" s="4">
        <f t="shared" si="1"/>
        <v>829</v>
      </c>
      <c r="E22" s="4">
        <f t="shared" si="2"/>
        <v>9971</v>
      </c>
      <c r="F22" s="4">
        <f t="shared" si="3"/>
        <v>9640</v>
      </c>
      <c r="G22" s="4">
        <f t="shared" si="4"/>
        <v>331</v>
      </c>
    </row>
    <row r="23" spans="2:7" x14ac:dyDescent="0.3">
      <c r="B23" s="2">
        <v>172</v>
      </c>
      <c r="C23" s="2">
        <f t="shared" si="0"/>
        <v>222000</v>
      </c>
      <c r="D23" s="4">
        <f t="shared" si="1"/>
        <v>828</v>
      </c>
      <c r="E23" s="4">
        <f t="shared" si="2"/>
        <v>9972</v>
      </c>
      <c r="F23" s="4">
        <f t="shared" si="3"/>
        <v>9680</v>
      </c>
      <c r="G23" s="4">
        <f t="shared" si="4"/>
        <v>292</v>
      </c>
    </row>
    <row r="24" spans="2:7" x14ac:dyDescent="0.3">
      <c r="B24" s="2">
        <v>173</v>
      </c>
      <c r="C24" s="2">
        <f t="shared" si="0"/>
        <v>223000</v>
      </c>
      <c r="D24" s="4">
        <f t="shared" si="1"/>
        <v>827</v>
      </c>
      <c r="E24" s="4">
        <f t="shared" si="2"/>
        <v>9973</v>
      </c>
      <c r="F24" s="4">
        <f t="shared" si="3"/>
        <v>9720</v>
      </c>
      <c r="G24" s="4">
        <f t="shared" si="4"/>
        <v>253</v>
      </c>
    </row>
    <row r="25" spans="2:7" x14ac:dyDescent="0.3">
      <c r="B25" s="2">
        <v>174</v>
      </c>
      <c r="C25" s="2">
        <f t="shared" si="0"/>
        <v>224000</v>
      </c>
      <c r="D25" s="4">
        <f t="shared" si="1"/>
        <v>826</v>
      </c>
      <c r="E25" s="4">
        <f t="shared" si="2"/>
        <v>9974</v>
      </c>
      <c r="F25" s="4">
        <f t="shared" si="3"/>
        <v>9760</v>
      </c>
      <c r="G25" s="4">
        <f t="shared" si="4"/>
        <v>214</v>
      </c>
    </row>
    <row r="26" spans="2:7" x14ac:dyDescent="0.3">
      <c r="B26" s="2">
        <v>175</v>
      </c>
      <c r="C26" s="2">
        <f t="shared" si="0"/>
        <v>225000</v>
      </c>
      <c r="D26" s="4">
        <f t="shared" si="1"/>
        <v>825</v>
      </c>
      <c r="E26" s="4">
        <f t="shared" si="2"/>
        <v>9975</v>
      </c>
      <c r="F26" s="4">
        <f t="shared" si="3"/>
        <v>9800</v>
      </c>
      <c r="G26" s="4">
        <f t="shared" si="4"/>
        <v>175</v>
      </c>
    </row>
    <row r="27" spans="2:7" x14ac:dyDescent="0.3">
      <c r="B27" s="2">
        <v>176</v>
      </c>
      <c r="C27" s="2">
        <f t="shared" si="0"/>
        <v>226000</v>
      </c>
      <c r="D27" s="4">
        <f t="shared" si="1"/>
        <v>824</v>
      </c>
      <c r="E27" s="4">
        <f t="shared" si="2"/>
        <v>9976</v>
      </c>
      <c r="F27" s="4">
        <f t="shared" si="3"/>
        <v>9840</v>
      </c>
      <c r="G27" s="4">
        <f t="shared" si="4"/>
        <v>136</v>
      </c>
    </row>
    <row r="28" spans="2:7" x14ac:dyDescent="0.3">
      <c r="B28" s="2">
        <v>177</v>
      </c>
      <c r="C28" s="2">
        <f t="shared" si="0"/>
        <v>227000</v>
      </c>
      <c r="D28" s="4">
        <f t="shared" si="1"/>
        <v>823</v>
      </c>
      <c r="E28" s="4">
        <f t="shared" si="2"/>
        <v>9977</v>
      </c>
      <c r="F28" s="4">
        <f t="shared" si="3"/>
        <v>9880</v>
      </c>
      <c r="G28" s="4">
        <f t="shared" si="4"/>
        <v>97</v>
      </c>
    </row>
    <row r="29" spans="2:7" x14ac:dyDescent="0.3">
      <c r="B29" s="2">
        <v>178</v>
      </c>
      <c r="C29" s="2">
        <f t="shared" si="0"/>
        <v>228000</v>
      </c>
      <c r="D29" s="4">
        <f t="shared" si="1"/>
        <v>822</v>
      </c>
      <c r="E29" s="4">
        <f t="shared" si="2"/>
        <v>9978</v>
      </c>
      <c r="F29" s="4">
        <f t="shared" si="3"/>
        <v>9920</v>
      </c>
      <c r="G29" s="4">
        <f t="shared" si="4"/>
        <v>58</v>
      </c>
    </row>
    <row r="30" spans="2:7" x14ac:dyDescent="0.3">
      <c r="B30" s="9">
        <v>179</v>
      </c>
      <c r="C30" s="2">
        <f t="shared" si="0"/>
        <v>229000</v>
      </c>
      <c r="D30" s="4">
        <f t="shared" si="1"/>
        <v>821</v>
      </c>
      <c r="E30" s="4">
        <f t="shared" si="2"/>
        <v>9979</v>
      </c>
      <c r="F30" s="4">
        <f t="shared" si="3"/>
        <v>9960</v>
      </c>
      <c r="G30" s="4">
        <f t="shared" si="4"/>
        <v>19</v>
      </c>
    </row>
    <row r="31" spans="2:7" x14ac:dyDescent="0.3">
      <c r="B31" s="2">
        <v>180</v>
      </c>
      <c r="C31" s="2">
        <f t="shared" si="0"/>
        <v>230000</v>
      </c>
      <c r="D31" s="4">
        <f t="shared" si="1"/>
        <v>820</v>
      </c>
      <c r="E31" s="4">
        <f t="shared" si="2"/>
        <v>9980</v>
      </c>
      <c r="F31" s="4">
        <f t="shared" si="3"/>
        <v>10000</v>
      </c>
      <c r="G31" s="4">
        <f t="shared" si="4"/>
        <v>-20</v>
      </c>
    </row>
    <row r="34" spans="2:7" ht="18" x14ac:dyDescent="0.35">
      <c r="B34" s="58" t="s">
        <v>54</v>
      </c>
      <c r="C34" s="58"/>
      <c r="D34" s="58"/>
      <c r="E34" s="58"/>
      <c r="F34" s="58"/>
      <c r="G34" s="58"/>
    </row>
    <row r="35" spans="2:7" s="14" customFormat="1" x14ac:dyDescent="0.3">
      <c r="B35" s="7" t="s">
        <v>49</v>
      </c>
      <c r="C35" s="7" t="s">
        <v>50</v>
      </c>
      <c r="D35" s="7" t="s">
        <v>43</v>
      </c>
      <c r="E35" s="7" t="s">
        <v>51</v>
      </c>
      <c r="F35" s="7" t="s">
        <v>52</v>
      </c>
      <c r="G35" s="5" t="s">
        <v>53</v>
      </c>
    </row>
    <row r="36" spans="2:7" x14ac:dyDescent="0.3">
      <c r="B36" s="2">
        <v>179.48717948717999</v>
      </c>
      <c r="C36" s="2">
        <f>$C$8+(B36*1000)</f>
        <v>229487.17948717999</v>
      </c>
      <c r="D36" s="8">
        <f>IF(C36&lt;=50000,$C$5,$C$5-((C36-50000)/1000)*$C$7)</f>
        <v>820.51282051281999</v>
      </c>
      <c r="E36" s="2">
        <f>$C$3+$C$4*$C$6-D36</f>
        <v>9979.4871794871797</v>
      </c>
      <c r="F36" s="2">
        <f>$F$3*$C$6+$F$4*C36</f>
        <v>9979.4871794871997</v>
      </c>
      <c r="G36" s="2">
        <f>E36-F36</f>
        <v>-2.0008883439004421E-11</v>
      </c>
    </row>
    <row r="38" spans="2:7" ht="14.4" customHeight="1" x14ac:dyDescent="0.3">
      <c r="B38" s="62" t="s">
        <v>64</v>
      </c>
      <c r="C38" s="62"/>
      <c r="D38" s="62"/>
    </row>
    <row r="39" spans="2:7" x14ac:dyDescent="0.3">
      <c r="B39" s="62"/>
      <c r="C39" s="62"/>
      <c r="D39" s="62"/>
    </row>
  </sheetData>
  <sheetProtection algorithmName="SHA-512" hashValue="Lz95s+fh2k4fGc84pdEW0Pdhf3YJyQujvEEJG/prlRHowYw/SXUWSRAPwvWIX30KKSGWRGFMIgDNeRxWfllUZQ==" saltValue="oI/q9pkz/WvK8g+jZJsahg==" spinCount="100000" sheet="1" objects="1" scenarios="1"/>
  <mergeCells count="8">
    <mergeCell ref="B34:G34"/>
    <mergeCell ref="B38:D39"/>
    <mergeCell ref="I4:P5"/>
    <mergeCell ref="I2:P2"/>
    <mergeCell ref="B2:C2"/>
    <mergeCell ref="E2:F2"/>
    <mergeCell ref="B11:G11"/>
    <mergeCell ref="I7:P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AD67-A54C-4DC7-B139-2ECB1B16C635}">
  <sheetPr codeName="Sheet7"/>
  <dimension ref="B2:S25"/>
  <sheetViews>
    <sheetView workbookViewId="0">
      <selection activeCell="E22" sqref="E22"/>
    </sheetView>
  </sheetViews>
  <sheetFormatPr defaultRowHeight="14.4" x14ac:dyDescent="0.3"/>
  <cols>
    <col min="2" max="2" width="23" bestFit="1" customWidth="1"/>
    <col min="3" max="3" width="15.88671875" bestFit="1" customWidth="1"/>
    <col min="5" max="5" width="22.33203125" bestFit="1" customWidth="1"/>
    <col min="6" max="6" width="10.44140625" bestFit="1" customWidth="1"/>
    <col min="7" max="7" width="22.33203125" bestFit="1" customWidth="1"/>
    <col min="8" max="9" width="10.44140625" bestFit="1" customWidth="1"/>
    <col min="10" max="10" width="11.44140625" bestFit="1" customWidth="1"/>
  </cols>
  <sheetData>
    <row r="2" spans="2:19" ht="15" thickBot="1" x14ac:dyDescent="0.35">
      <c r="B2" s="34" t="s">
        <v>0</v>
      </c>
      <c r="C2" s="34"/>
      <c r="G2" s="64" t="s">
        <v>1</v>
      </c>
      <c r="H2" s="64"/>
      <c r="L2" s="39" t="s">
        <v>65</v>
      </c>
      <c r="M2" s="39"/>
      <c r="N2" s="39"/>
      <c r="O2" s="39"/>
      <c r="P2" s="39"/>
      <c r="Q2" s="39"/>
      <c r="R2" s="39"/>
      <c r="S2" s="39"/>
    </row>
    <row r="3" spans="2:19" ht="15" thickTop="1" x14ac:dyDescent="0.3">
      <c r="B3" s="2" t="s">
        <v>2</v>
      </c>
      <c r="C3" s="3">
        <v>10000</v>
      </c>
      <c r="G3" s="2" t="s">
        <v>4</v>
      </c>
      <c r="H3" s="4">
        <v>1500</v>
      </c>
    </row>
    <row r="4" spans="2:19" x14ac:dyDescent="0.3">
      <c r="B4" s="2" t="s">
        <v>3</v>
      </c>
      <c r="C4" s="3">
        <v>800</v>
      </c>
      <c r="G4" s="2" t="s">
        <v>22</v>
      </c>
      <c r="H4" s="4">
        <v>7.0000000000000007E-2</v>
      </c>
      <c r="L4" s="54" t="s">
        <v>86</v>
      </c>
      <c r="M4" s="54"/>
      <c r="N4" s="54"/>
      <c r="O4" s="54"/>
      <c r="P4" s="54"/>
      <c r="Q4" s="54"/>
      <c r="R4" s="54"/>
      <c r="S4" s="54"/>
    </row>
    <row r="5" spans="2:19" x14ac:dyDescent="0.3">
      <c r="B5" s="2" t="s">
        <v>19</v>
      </c>
      <c r="C5" s="3">
        <v>1000</v>
      </c>
      <c r="G5" s="2" t="s">
        <v>5</v>
      </c>
      <c r="H5" s="2">
        <v>50000</v>
      </c>
      <c r="L5" s="54"/>
      <c r="M5" s="54"/>
      <c r="N5" s="54"/>
      <c r="O5" s="54"/>
      <c r="P5" s="54"/>
      <c r="Q5" s="54"/>
      <c r="R5" s="54"/>
      <c r="S5" s="54"/>
    </row>
    <row r="6" spans="2:19" x14ac:dyDescent="0.3">
      <c r="B6" s="2" t="s">
        <v>55</v>
      </c>
      <c r="C6" s="10">
        <v>3</v>
      </c>
      <c r="G6" s="2" t="s">
        <v>57</v>
      </c>
      <c r="H6" s="4">
        <f>H4*H5</f>
        <v>3500.0000000000005</v>
      </c>
      <c r="L6" s="40" t="s">
        <v>87</v>
      </c>
      <c r="M6" s="41"/>
      <c r="N6" s="41"/>
      <c r="O6" s="41"/>
      <c r="P6" s="41"/>
      <c r="Q6" s="41"/>
      <c r="R6" s="41"/>
      <c r="S6" s="42"/>
    </row>
    <row r="7" spans="2:19" x14ac:dyDescent="0.3">
      <c r="B7" s="2" t="s">
        <v>56</v>
      </c>
      <c r="C7" s="11">
        <v>0.2</v>
      </c>
      <c r="L7" s="32" t="s">
        <v>88</v>
      </c>
      <c r="M7" s="32"/>
      <c r="N7" s="32"/>
      <c r="O7" s="32"/>
      <c r="P7" s="32"/>
      <c r="Q7" s="32"/>
      <c r="R7" s="32"/>
      <c r="S7" s="32"/>
    </row>
    <row r="8" spans="2:19" x14ac:dyDescent="0.3">
      <c r="L8" s="32"/>
      <c r="M8" s="32"/>
      <c r="N8" s="32"/>
      <c r="O8" s="32"/>
      <c r="P8" s="32"/>
      <c r="Q8" s="32"/>
      <c r="R8" s="32"/>
      <c r="S8" s="32"/>
    </row>
    <row r="9" spans="2:19" x14ac:dyDescent="0.3">
      <c r="B9" s="34" t="s">
        <v>12</v>
      </c>
      <c r="C9" s="34"/>
      <c r="D9" s="34"/>
      <c r="E9" s="34"/>
      <c r="G9" s="34" t="s">
        <v>13</v>
      </c>
      <c r="H9" s="34"/>
      <c r="I9" s="34"/>
      <c r="J9" s="34"/>
    </row>
    <row r="10" spans="2:19" s="14" customFormat="1" x14ac:dyDescent="0.3">
      <c r="B10" s="7"/>
      <c r="C10" s="7" t="s">
        <v>14</v>
      </c>
      <c r="D10" s="7" t="s">
        <v>15</v>
      </c>
      <c r="E10" s="7" t="s">
        <v>16</v>
      </c>
      <c r="G10" s="7"/>
      <c r="H10" s="7" t="s">
        <v>14</v>
      </c>
      <c r="I10" s="7" t="s">
        <v>15</v>
      </c>
      <c r="J10" s="7" t="s">
        <v>16</v>
      </c>
      <c r="L10" s="28" t="s">
        <v>89</v>
      </c>
      <c r="M10" s="29"/>
      <c r="N10" s="29"/>
      <c r="O10" s="29"/>
      <c r="P10" s="29"/>
      <c r="Q10" s="29"/>
      <c r="R10" s="29"/>
      <c r="S10" s="30"/>
    </row>
    <row r="11" spans="2:19" x14ac:dyDescent="0.3">
      <c r="B11" s="2"/>
      <c r="C11" s="2"/>
      <c r="D11" s="2"/>
      <c r="E11" s="2"/>
      <c r="G11" s="2"/>
      <c r="H11" s="2"/>
      <c r="I11" s="2"/>
      <c r="J11" s="2"/>
    </row>
    <row r="12" spans="2:19" x14ac:dyDescent="0.3">
      <c r="B12" s="2" t="s">
        <v>17</v>
      </c>
      <c r="C12" s="4">
        <v>10000</v>
      </c>
      <c r="D12" s="4">
        <v>0</v>
      </c>
      <c r="E12" s="4">
        <v>0</v>
      </c>
      <c r="G12" s="2" t="s">
        <v>4</v>
      </c>
      <c r="H12" s="4">
        <v>1500</v>
      </c>
      <c r="I12" s="4">
        <v>1500</v>
      </c>
      <c r="J12" s="4">
        <v>1500</v>
      </c>
    </row>
    <row r="13" spans="2:19" x14ac:dyDescent="0.3">
      <c r="B13" s="2" t="s">
        <v>18</v>
      </c>
      <c r="C13" s="4">
        <v>800</v>
      </c>
      <c r="D13" s="4">
        <v>800</v>
      </c>
      <c r="E13" s="4">
        <v>800</v>
      </c>
      <c r="G13" s="2" t="s">
        <v>22</v>
      </c>
      <c r="H13" s="4">
        <v>7.0000000000000007E-2</v>
      </c>
      <c r="I13" s="4">
        <v>7.0000000000000007E-2</v>
      </c>
      <c r="J13" s="4">
        <v>7.0000000000000007E-2</v>
      </c>
    </row>
    <row r="14" spans="2:19" x14ac:dyDescent="0.3">
      <c r="B14" s="2" t="s">
        <v>19</v>
      </c>
      <c r="C14" s="4">
        <v>0</v>
      </c>
      <c r="D14" s="4">
        <v>0</v>
      </c>
      <c r="E14" s="4">
        <v>1000</v>
      </c>
      <c r="G14" s="2" t="s">
        <v>23</v>
      </c>
      <c r="H14" s="4">
        <f>H13*H15</f>
        <v>3500.0000000000005</v>
      </c>
      <c r="I14" s="4">
        <f t="shared" ref="I14:J14" si="0">I13*I15</f>
        <v>3500.0000000000005</v>
      </c>
      <c r="J14" s="4">
        <f t="shared" si="0"/>
        <v>3500.0000000000005</v>
      </c>
    </row>
    <row r="15" spans="2:19" x14ac:dyDescent="0.3">
      <c r="B15" s="2" t="s">
        <v>20</v>
      </c>
      <c r="C15" s="4">
        <f>SUM(C12:C14)</f>
        <v>10800</v>
      </c>
      <c r="D15" s="4">
        <f t="shared" ref="D15" si="1">SUM(D12:D14)</f>
        <v>800</v>
      </c>
      <c r="E15" s="4">
        <f>SUM(E12:E13)-E14</f>
        <v>-200</v>
      </c>
      <c r="G15" s="2" t="s">
        <v>5</v>
      </c>
      <c r="H15" s="2">
        <v>50000</v>
      </c>
      <c r="I15" s="2">
        <v>50000</v>
      </c>
      <c r="J15" s="2">
        <v>50000</v>
      </c>
    </row>
    <row r="16" spans="2:19" x14ac:dyDescent="0.3">
      <c r="B16" s="2"/>
      <c r="C16" s="4"/>
      <c r="D16" s="4"/>
      <c r="E16" s="2"/>
      <c r="G16" s="2" t="s">
        <v>20</v>
      </c>
      <c r="H16" s="4">
        <f>H12+H14</f>
        <v>5000</v>
      </c>
      <c r="I16" s="4">
        <f t="shared" ref="I16:J16" si="2">I12+I14</f>
        <v>5000</v>
      </c>
      <c r="J16" s="4">
        <f t="shared" si="2"/>
        <v>5000</v>
      </c>
    </row>
    <row r="17" spans="2:10" x14ac:dyDescent="0.3">
      <c r="B17" s="35" t="s">
        <v>21</v>
      </c>
      <c r="C17" s="35"/>
      <c r="D17" s="35"/>
      <c r="E17" s="5">
        <f>SUM(C15:E15)</f>
        <v>11400</v>
      </c>
      <c r="G17" s="36" t="s">
        <v>21</v>
      </c>
      <c r="H17" s="37"/>
      <c r="I17" s="38"/>
      <c r="J17" s="5">
        <f>SUM(H16:J16)</f>
        <v>15000</v>
      </c>
    </row>
    <row r="18" spans="2:10" x14ac:dyDescent="0.3">
      <c r="B18" s="2"/>
      <c r="C18" s="2"/>
      <c r="D18" s="2"/>
      <c r="E18" s="2"/>
      <c r="G18" s="2"/>
      <c r="H18" s="2"/>
      <c r="I18" s="2"/>
      <c r="J18" s="2"/>
    </row>
    <row r="19" spans="2:10" x14ac:dyDescent="0.3">
      <c r="B19" s="65" t="s">
        <v>62</v>
      </c>
      <c r="C19" s="65"/>
      <c r="D19" s="65"/>
      <c r="E19" s="13">
        <f>FV(C7,C6,-C4,-C3)-C5</f>
        <v>19192</v>
      </c>
      <c r="G19" s="65" t="s">
        <v>63</v>
      </c>
      <c r="H19" s="65"/>
      <c r="I19" s="65"/>
      <c r="J19" s="12">
        <f>FV(C7,C6,-H6,-H3)</f>
        <v>15332</v>
      </c>
    </row>
    <row r="22" spans="2:10" x14ac:dyDescent="0.3">
      <c r="B22" s="63" t="s">
        <v>10</v>
      </c>
      <c r="C22" s="2" t="s">
        <v>11</v>
      </c>
    </row>
    <row r="23" spans="2:10" x14ac:dyDescent="0.3">
      <c r="B23" s="63"/>
      <c r="C23" s="2" t="s">
        <v>9</v>
      </c>
    </row>
    <row r="24" spans="2:10" x14ac:dyDescent="0.3">
      <c r="B24" s="63"/>
      <c r="C24" s="2" t="s">
        <v>58</v>
      </c>
    </row>
    <row r="25" spans="2:10" x14ac:dyDescent="0.3">
      <c r="B25" s="63"/>
      <c r="C25" s="15" t="s">
        <v>59</v>
      </c>
    </row>
  </sheetData>
  <sheetProtection algorithmName="SHA-512" hashValue="INY3sRsPgJIdUzPrdbsmF07YE6bwOWTTViJuCJ5jkleZ6K7QaQH3JqI/eDsma1uu/paI+aVRT+aIBuJMMm07rQ==" saltValue="3eN9W+2iCkHP9M7W7q4bhw==" spinCount="100000" sheet="1" objects="1" scenarios="1"/>
  <mergeCells count="14">
    <mergeCell ref="L2:S2"/>
    <mergeCell ref="L4:S5"/>
    <mergeCell ref="L7:S8"/>
    <mergeCell ref="L6:S6"/>
    <mergeCell ref="B22:B25"/>
    <mergeCell ref="G17:I17"/>
    <mergeCell ref="B2:C2"/>
    <mergeCell ref="G2:H2"/>
    <mergeCell ref="B9:E9"/>
    <mergeCell ref="G9:J9"/>
    <mergeCell ref="B17:D17"/>
    <mergeCell ref="B19:D19"/>
    <mergeCell ref="G19:I19"/>
    <mergeCell ref="L10:S10"/>
  </mergeCells>
  <conditionalFormatting sqref="C22">
    <cfRule type="containsText" dxfId="11" priority="7" operator="containsText" text="cheapest">
      <formula>NOT(ISERROR(SEARCH("cheapest",C22)))</formula>
    </cfRule>
  </conditionalFormatting>
  <conditionalFormatting sqref="C23">
    <cfRule type="containsText" dxfId="10" priority="6" operator="containsText" text="Expensive">
      <formula>NOT(ISERROR(SEARCH("Expensive",C23)))</formula>
    </cfRule>
  </conditionalFormatting>
  <conditionalFormatting sqref="C24">
    <cfRule type="cellIs" dxfId="9" priority="2" operator="equal">
      <formula>$C$24</formula>
    </cfRule>
  </conditionalFormatting>
  <conditionalFormatting sqref="C25">
    <cfRule type="cellIs" dxfId="8" priority="1" operator="equal">
      <formula>$C$25</formula>
    </cfRule>
  </conditionalFormatting>
  <conditionalFormatting sqref="E17">
    <cfRule type="cellIs" dxfId="7" priority="13" operator="equal">
      <formula>11400</formula>
    </cfRule>
    <cfRule type="cellIs" dxfId="6" priority="14" operator="equal">
      <formula>" £11,400.00 "</formula>
    </cfRule>
  </conditionalFormatting>
  <conditionalFormatting sqref="E19">
    <cfRule type="cellIs" dxfId="5" priority="3" operator="equal">
      <formula>$E$19</formula>
    </cfRule>
  </conditionalFormatting>
  <conditionalFormatting sqref="J17">
    <cfRule type="cellIs" dxfId="4" priority="10" operator="equal">
      <formula>$J$17</formula>
    </cfRule>
    <cfRule type="cellIs" dxfId="3" priority="11" operator="equal">
      <formula>$J$11</formula>
    </cfRule>
    <cfRule type="cellIs" dxfId="2" priority="12" operator="equal">
      <formula>" £15,000.00 "</formula>
    </cfRule>
  </conditionalFormatting>
  <conditionalFormatting sqref="J19">
    <cfRule type="cellIs" dxfId="1" priority="5" operator="equal">
      <formula>$J$19</formula>
    </cfRule>
    <cfRule type="cellIs" dxfId="0" priority="8" operator="equal">
      <formula>$J$19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1.0</vt:lpstr>
      <vt:lpstr>Task 1.1</vt:lpstr>
      <vt:lpstr>Task 1.2</vt:lpstr>
      <vt:lpstr>Task 1.3</vt:lpstr>
      <vt:lpstr>Task 1.3(1)</vt:lpstr>
      <vt:lpstr>Task 1.3(Optional)</vt:lpstr>
      <vt:lpstr>Task 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PAWAR</dc:creator>
  <cp:lastModifiedBy>YASH PAWAR</cp:lastModifiedBy>
  <dcterms:created xsi:type="dcterms:W3CDTF">2024-07-16T11:31:27Z</dcterms:created>
  <dcterms:modified xsi:type="dcterms:W3CDTF">2024-08-17T22:34:48Z</dcterms:modified>
</cp:coreProperties>
</file>