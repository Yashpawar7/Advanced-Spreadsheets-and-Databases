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LL DOCUMENTS\ASTON NOTES\Referred\SUBMISSION\"/>
    </mc:Choice>
  </mc:AlternateContent>
  <xr:revisionPtr revIDLastSave="0" documentId="13_ncr:1_{CF42C7F2-8161-4D32-859D-C06DD123BEB3}" xr6:coauthVersionLast="47" xr6:coauthVersionMax="47" xr10:uidLastSave="{00000000-0000-0000-0000-000000000000}"/>
  <bookViews>
    <workbookView xWindow="-108" yWindow="-108" windowWidth="23256" windowHeight="13896" activeTab="4" xr2:uid="{712E8F72-4340-4581-851B-9E59DCFF92EA}"/>
  </bookViews>
  <sheets>
    <sheet name="Task 3.0 TOURING HOLIDAY" sheetId="1" r:id="rId1"/>
    <sheet name="Task 3.1" sheetId="4" r:id="rId2"/>
    <sheet name="Task 3.2" sheetId="5" r:id="rId3"/>
    <sheet name="Task 3.3" sheetId="6" r:id="rId4"/>
    <sheet name="Task 3.4" sheetId="7" r:id="rId5"/>
  </sheets>
  <definedNames>
    <definedName name="FORECAST">'Task 3.0 TOURING HOLIDAY'!$C$16:$H$17</definedName>
    <definedName name="HOTEL" localSheetId="3">'Task 3.3'!$C$26:$L$27</definedName>
    <definedName name="HOTEL" localSheetId="4">'Task 3.4'!$C$26:$L$27</definedName>
    <definedName name="HOTEL">'Task 3.2'!$C$26:$L$27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E7" i="7" s="1"/>
  <c r="D11" i="7"/>
  <c r="E11" i="7" s="1"/>
  <c r="D10" i="7"/>
  <c r="E10" i="7" s="1"/>
  <c r="D9" i="7"/>
  <c r="E9" i="7" s="1"/>
  <c r="D8" i="7"/>
  <c r="E8" i="7" s="1"/>
  <c r="D6" i="7"/>
  <c r="E6" i="7" s="1"/>
  <c r="D5" i="7"/>
  <c r="E5" i="7" s="1"/>
  <c r="D4" i="7"/>
  <c r="E4" i="7" s="1"/>
  <c r="D3" i="7"/>
  <c r="E3" i="7" s="1"/>
  <c r="D11" i="6"/>
  <c r="E11" i="6" s="1"/>
  <c r="D10" i="6"/>
  <c r="E10" i="6" s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E13" i="7" l="1"/>
  <c r="E12" i="7"/>
  <c r="C30" i="7" s="1"/>
  <c r="E13" i="6"/>
  <c r="E12" i="6"/>
  <c r="C29" i="6" s="1"/>
  <c r="E12" i="5"/>
  <c r="C29" i="5" s="1"/>
  <c r="E13" i="5"/>
  <c r="D11" i="4" l="1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4" i="1"/>
  <c r="D5" i="1"/>
  <c r="D6" i="1"/>
  <c r="D7" i="1"/>
  <c r="D8" i="1"/>
  <c r="D9" i="1"/>
  <c r="D10" i="1"/>
  <c r="D11" i="1"/>
  <c r="D12" i="1"/>
  <c r="D3" i="1"/>
  <c r="E13" i="4" l="1"/>
  <c r="E12" i="4"/>
</calcChain>
</file>

<file path=xl/sharedStrings.xml><?xml version="1.0" encoding="utf-8"?>
<sst xmlns="http://schemas.openxmlformats.org/spreadsheetml/2006/main" count="188" uniqueCount="64">
  <si>
    <t>CITY</t>
  </si>
  <si>
    <t>TEMP</t>
  </si>
  <si>
    <t>FORECAST</t>
  </si>
  <si>
    <t>VISIT</t>
  </si>
  <si>
    <t>ROME</t>
  </si>
  <si>
    <t>NAPLES</t>
  </si>
  <si>
    <t>CATANIA</t>
  </si>
  <si>
    <t>CATANZARO</t>
  </si>
  <si>
    <t>MILAN</t>
  </si>
  <si>
    <t>VENICE</t>
  </si>
  <si>
    <t>PISA</t>
  </si>
  <si>
    <t>CAGLIARI</t>
  </si>
  <si>
    <t>BARI</t>
  </si>
  <si>
    <t>COSENZA</t>
  </si>
  <si>
    <t>COLD</t>
  </si>
  <si>
    <t>VERY COOL</t>
  </si>
  <si>
    <t>COOL</t>
  </si>
  <si>
    <t>FAIR</t>
  </si>
  <si>
    <t>HOT</t>
  </si>
  <si>
    <t>VERY HOT</t>
  </si>
  <si>
    <t xml:space="preserve"> </t>
  </si>
  <si>
    <t>TOTAL STOPS</t>
  </si>
  <si>
    <t>OVERNIGHT STOPS</t>
  </si>
  <si>
    <t xml:space="preserve">Basic cost of the holiday </t>
  </si>
  <si>
    <t>Insurance cost surcharge</t>
  </si>
  <si>
    <t>STOPS</t>
  </si>
  <si>
    <t>HOTEL COST</t>
  </si>
  <si>
    <t>Total Cost of Holiday</t>
  </si>
  <si>
    <t>LOOKUP TABLE (FORECAST)</t>
  </si>
  <si>
    <t>LOOKUP TABLE (HOTEL)</t>
  </si>
  <si>
    <t xml:space="preserve">TOURING HOLIDAY </t>
  </si>
  <si>
    <t>Entered the column headings and data in CITY &amp; TEMP columns and aligned them properly</t>
  </si>
  <si>
    <t>Altered the widths of the columns in the worksheet so that all entries are displayed in full.</t>
  </si>
  <si>
    <t>STEPS:</t>
  </si>
  <si>
    <t>Made Corrections to this sheet by changing the Temperature of Naples to 29 &amp; Deleted the row "Bari"</t>
  </si>
  <si>
    <t>In the VISIT column, enterd IF Statement Formula that produced 1 if the weather forecast was FAIR and left the cell empty otherwise</t>
  </si>
  <si>
    <t>Added Overnight Stops below Total Stops &amp; used count function to calculate the number of Overnight stays</t>
  </si>
  <si>
    <t>Added Basic cost of the holiday &amp; Insurance cost surcharge as £ 270 &amp; £ 25 respectively</t>
  </si>
  <si>
    <t>Created a Lookup table named "FORECAST" and added values for Temp &amp; Forecast (Table range: 0 - VERY HOT)</t>
  </si>
  <si>
    <t>Calculated the Total cost of the holiday by adding Basic cost of holiday + Insurance cost surcharge + hotel cost using HLOOKUP</t>
  </si>
  <si>
    <t>Formated all monetary values as currency</t>
  </si>
  <si>
    <t>Right aligned the data shown in the FORECAST column</t>
  </si>
  <si>
    <t>Altered column widths so that all data can be seen</t>
  </si>
  <si>
    <t>Changed the Y-Axis scale from 20 - 35</t>
  </si>
  <si>
    <t>Added a Bar chart showing the temperatures recorded for each city.</t>
  </si>
  <si>
    <t>Legend: None</t>
  </si>
  <si>
    <t>Created a Copy of Task 3.3 sheet and renamed it to Task 3.4</t>
  </si>
  <si>
    <t>A copy of Average Temperatures graph was added automatically to this sheet as it was copied from the previous sheet</t>
  </si>
  <si>
    <t>Hid rows 15 to 27 containing all the Lookup tables, Basic cost of holiday and Insurance cost surcharge values</t>
  </si>
  <si>
    <r>
      <t xml:space="preserve">Formatted the worksheet so that </t>
    </r>
    <r>
      <rPr>
        <b/>
        <sz val="11"/>
        <color theme="1"/>
        <rFont val="Aptos Narrow"/>
        <family val="2"/>
        <scheme val="minor"/>
      </rPr>
      <t>"TOURING HOLIDAY"</t>
    </r>
    <r>
      <rPr>
        <sz val="11"/>
        <color theme="1"/>
        <rFont val="Aptos Narrow"/>
        <family val="2"/>
        <scheme val="minor"/>
      </rPr>
      <t xml:space="preserve"> is shown in Times New Roman, 14 points, bold as well as the label and value for</t>
    </r>
    <r>
      <rPr>
        <b/>
        <sz val="11"/>
        <color theme="1"/>
        <rFont val="Aptos Narrow"/>
        <family val="2"/>
        <scheme val="minor"/>
      </rPr>
      <t xml:space="preserve"> "Total Cost of Holiday" </t>
    </r>
    <r>
      <rPr>
        <sz val="11"/>
        <color theme="1"/>
        <rFont val="Aptos Narrow"/>
        <family val="2"/>
        <scheme val="minor"/>
      </rPr>
      <t>are shown in bold</t>
    </r>
  </si>
  <si>
    <r>
      <t xml:space="preserve">Added Total Stops at the end of Forecast column &amp; used the </t>
    </r>
    <r>
      <rPr>
        <b/>
        <sz val="11"/>
        <color theme="1"/>
        <rFont val="Aptos Narrow"/>
        <family val="2"/>
        <scheme val="minor"/>
      </rPr>
      <t>COUNT</t>
    </r>
    <r>
      <rPr>
        <sz val="11"/>
        <color theme="1"/>
        <rFont val="Aptos Narrow"/>
        <family val="2"/>
        <scheme val="minor"/>
      </rPr>
      <t xml:space="preserve"> function to calculate the number of 1 present in VISIT column</t>
    </r>
  </si>
  <si>
    <r>
      <t xml:space="preserve">Formula: </t>
    </r>
    <r>
      <rPr>
        <b/>
        <sz val="11"/>
        <color theme="1"/>
        <rFont val="Aptos Narrow"/>
        <family val="2"/>
        <scheme val="minor"/>
      </rPr>
      <t>=IF(D3="FAIR",1,"")</t>
    </r>
    <r>
      <rPr>
        <sz val="11"/>
        <color theme="1"/>
        <rFont val="Aptos Narrow"/>
        <family val="2"/>
        <scheme val="minor"/>
      </rPr>
      <t xml:space="preserve"> (Was replicated to following rows)</t>
    </r>
  </si>
  <si>
    <r>
      <t xml:space="preserve">Formula: </t>
    </r>
    <r>
      <rPr>
        <b/>
        <sz val="11"/>
        <color theme="1"/>
        <rFont val="Aptos Narrow"/>
        <family val="2"/>
        <scheme val="minor"/>
      </rPr>
      <t>=COUNT(E3:E11)</t>
    </r>
  </si>
  <si>
    <r>
      <t xml:space="preserve">Formula: </t>
    </r>
    <r>
      <rPr>
        <b/>
        <sz val="11"/>
        <color theme="1"/>
        <rFont val="Aptos Narrow"/>
        <family val="2"/>
        <scheme val="minor"/>
      </rPr>
      <t>=COUNT(E3:E11)-1</t>
    </r>
  </si>
  <si>
    <r>
      <t xml:space="preserve">Created a new worksheet and titled it </t>
    </r>
    <r>
      <rPr>
        <b/>
        <sz val="11"/>
        <color theme="1"/>
        <rFont val="Aptos Narrow"/>
        <family val="2"/>
        <scheme val="minor"/>
      </rPr>
      <t>"TOURING HOLIDAY"</t>
    </r>
  </si>
  <si>
    <r>
      <t>Used a</t>
    </r>
    <r>
      <rPr>
        <b/>
        <sz val="11"/>
        <color theme="1"/>
        <rFont val="Aptos Narrow"/>
        <family val="2"/>
        <scheme val="minor"/>
      </rPr>
      <t xml:space="preserve"> HLOOKUP</t>
    </r>
    <r>
      <rPr>
        <sz val="11"/>
        <color theme="1"/>
        <rFont val="Aptos Narrow"/>
        <family val="2"/>
        <scheme val="minor"/>
      </rPr>
      <t xml:space="preserve"> formula to calculate the weather forecast in FORECAST column for all the Cities</t>
    </r>
  </si>
  <si>
    <r>
      <t xml:space="preserve">Used a </t>
    </r>
    <r>
      <rPr>
        <b/>
        <sz val="11"/>
        <color theme="1"/>
        <rFont val="Aptos Narrow"/>
        <family val="2"/>
        <scheme val="minor"/>
      </rPr>
      <t>HLOOKUP</t>
    </r>
    <r>
      <rPr>
        <sz val="11"/>
        <color theme="1"/>
        <rFont val="Aptos Narrow"/>
        <family val="2"/>
        <scheme val="minor"/>
      </rPr>
      <t xml:space="preserve"> formula to calculate the weather forecast in FORECAST column for all the Cities</t>
    </r>
  </si>
  <si>
    <r>
      <t xml:space="preserve">Formula: </t>
    </r>
    <r>
      <rPr>
        <b/>
        <sz val="11"/>
        <color theme="1"/>
        <rFont val="Aptos Narrow"/>
        <family val="2"/>
        <scheme val="minor"/>
      </rPr>
      <t>=HLOOKUP(C3,FORECAST,2)</t>
    </r>
    <r>
      <rPr>
        <sz val="11"/>
        <color theme="1"/>
        <rFont val="Aptos Narrow"/>
        <family val="2"/>
        <scheme val="minor"/>
      </rPr>
      <t xml:space="preserve"> (Was replicated to all Rows)</t>
    </r>
  </si>
  <si>
    <r>
      <t xml:space="preserve">Created a new lookup table at the foot of the worksheet named </t>
    </r>
    <r>
      <rPr>
        <b/>
        <sz val="11"/>
        <color theme="1"/>
        <rFont val="Aptos Narrow"/>
        <family val="2"/>
        <scheme val="minor"/>
      </rPr>
      <t>"HOTEL"</t>
    </r>
    <r>
      <rPr>
        <sz val="11"/>
        <color theme="1"/>
        <rFont val="Aptos Narrow"/>
        <family val="2"/>
        <scheme val="minor"/>
      </rPr>
      <t xml:space="preserve"> and added values for Stops &amp; Hotel Cost. (Table Range: 1 - £205)</t>
    </r>
  </si>
  <si>
    <r>
      <t xml:space="preserve">Formula: </t>
    </r>
    <r>
      <rPr>
        <b/>
        <sz val="11"/>
        <color theme="1"/>
        <rFont val="Aptos Narrow"/>
        <family val="2"/>
        <scheme val="minor"/>
      </rPr>
      <t>=C21+C23+HLOOKUP(E12,HOTEL,2)</t>
    </r>
  </si>
  <si>
    <r>
      <t xml:space="preserve">Renamed the Y-Axis title as </t>
    </r>
    <r>
      <rPr>
        <b/>
        <sz val="11"/>
        <color theme="1"/>
        <rFont val="Aptos Narrow"/>
        <family val="2"/>
        <scheme val="minor"/>
      </rPr>
      <t>"Av. Temp"</t>
    </r>
  </si>
  <si>
    <r>
      <t xml:space="preserve">Renamed the X-Axist title as </t>
    </r>
    <r>
      <rPr>
        <b/>
        <sz val="11"/>
        <color theme="1"/>
        <rFont val="Calibri"/>
        <family val="2"/>
      </rPr>
      <t>"City"</t>
    </r>
  </si>
  <si>
    <r>
      <t xml:space="preserve">Changed the Chart title to </t>
    </r>
    <r>
      <rPr>
        <b/>
        <sz val="11"/>
        <color theme="1"/>
        <rFont val="Aptos Narrow"/>
        <family val="2"/>
        <scheme val="minor"/>
      </rPr>
      <t>"Average Temperatures"</t>
    </r>
  </si>
  <si>
    <r>
      <t>Note: This Sheet is Password Protected, To unlock this sheet use "</t>
    </r>
    <r>
      <rPr>
        <b/>
        <i/>
        <sz val="11"/>
        <color rgb="FF9C0006"/>
        <rFont val="Aptos Narrow"/>
        <family val="2"/>
        <scheme val="minor"/>
      </rPr>
      <t>qwer</t>
    </r>
    <r>
      <rPr>
        <i/>
        <sz val="11"/>
        <color rgb="FF9C0006"/>
        <rFont val="Aptos Narrow"/>
        <family val="2"/>
        <scheme val="minor"/>
      </rPr>
      <t>" as password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</si>
</sst>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610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</font>
    <font>
      <i/>
      <sz val="11"/>
      <color rgb="FF9C0006"/>
      <name val="Aptos Narrow"/>
      <family val="2"/>
      <scheme val="minor"/>
    </font>
    <font>
      <b/>
      <i/>
      <sz val="11"/>
      <color rgb="FF9C0006"/>
      <name val="Aptos Narrow"/>
      <family val="2"/>
      <scheme val="minor"/>
    </font>
    <font>
      <b/>
      <sz val="11"/>
      <color rgb="FF0061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1" applyNumberFormat="0" applyFont="0" applyAlignment="0" applyProtection="0"/>
    <xf numFmtId="0" fontId="4" fillId="0" borderId="2" applyNumberFormat="0" applyFill="0" applyAlignment="0" applyProtection="0"/>
  </cellStyleXfs>
  <cellXfs count="48">
    <xf numFmtId="0" fontId="0" fillId="0" borderId="0" xfId="0"/>
    <xf numFmtId="0" fontId="0" fillId="0" borderId="3" xfId="0" applyBorder="1" applyAlignment="1">
      <alignment horizontal="right"/>
    </xf>
    <xf numFmtId="0" fontId="0" fillId="0" borderId="3" xfId="0" applyBorder="1"/>
    <xf numFmtId="0" fontId="4" fillId="0" borderId="3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/>
    <xf numFmtId="0" fontId="6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0" fillId="0" borderId="10" xfId="0" applyBorder="1"/>
    <xf numFmtId="0" fontId="4" fillId="0" borderId="10" xfId="0" applyFont="1" applyBorder="1"/>
    <xf numFmtId="0" fontId="4" fillId="0" borderId="5" xfId="0" applyFont="1" applyBorder="1"/>
    <xf numFmtId="164" fontId="0" fillId="0" borderId="0" xfId="0" applyNumberForma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2" borderId="3" xfId="1" applyFont="1" applyBorder="1"/>
    <xf numFmtId="164" fontId="7" fillId="2" borderId="3" xfId="1" applyNumberFormat="1" applyFont="1" applyBorder="1"/>
    <xf numFmtId="0" fontId="4" fillId="0" borderId="3" xfId="0" applyFont="1" applyBorder="1"/>
    <xf numFmtId="0" fontId="4" fillId="0" borderId="0" xfId="0" applyFont="1"/>
    <xf numFmtId="164" fontId="4" fillId="0" borderId="0" xfId="0" applyNumberFormat="1" applyFont="1"/>
    <xf numFmtId="164" fontId="0" fillId="0" borderId="3" xfId="0" applyNumberFormat="1" applyBorder="1"/>
    <xf numFmtId="0" fontId="4" fillId="0" borderId="4" xfId="0" applyFont="1" applyBorder="1"/>
    <xf numFmtId="0" fontId="4" fillId="0" borderId="9" xfId="0" applyFont="1" applyBorder="1"/>
    <xf numFmtId="164" fontId="0" fillId="0" borderId="3" xfId="0" applyNumberFormat="1" applyBorder="1" applyAlignment="1">
      <alignment horizontal="right"/>
    </xf>
    <xf numFmtId="0" fontId="12" fillId="2" borderId="3" xfId="1" applyFont="1" applyBorder="1"/>
    <xf numFmtId="164" fontId="12" fillId="2" borderId="3" xfId="1" applyNumberFormat="1" applyFont="1" applyBorder="1"/>
    <xf numFmtId="0" fontId="4" fillId="4" borderId="3" xfId="3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0" fillId="3" borderId="5" xfId="2" applyFont="1" applyBorder="1" applyAlignment="1">
      <alignment horizontal="center" wrapText="1"/>
    </xf>
    <xf numFmtId="0" fontId="10" fillId="3" borderId="12" xfId="2" applyFont="1" applyBorder="1" applyAlignment="1">
      <alignment horizontal="center" wrapText="1"/>
    </xf>
    <xf numFmtId="0" fontId="10" fillId="3" borderId="4" xfId="2" applyFont="1" applyBorder="1" applyAlignment="1">
      <alignment horizontal="center" wrapText="1"/>
    </xf>
    <xf numFmtId="0" fontId="4" fillId="5" borderId="2" xfId="4" applyFill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4" fillId="4" borderId="3" xfId="3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4" borderId="3" xfId="3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4" xfId="0" applyBorder="1" applyAlignment="1">
      <alignment horizontal="left"/>
    </xf>
  </cellXfs>
  <cellStyles count="5">
    <cellStyle name="Bad" xfId="2" builtinId="27"/>
    <cellStyle name="Good" xfId="1" builtinId="26"/>
    <cellStyle name="Normal" xfId="0" builtinId="0"/>
    <cellStyle name="Note" xfId="3" builtinId="10"/>
    <cellStyle name="Total" xfId="4" builtinId="25"/>
  </cellStyles>
  <dxfs count="55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Temperatures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3.3'!$C$2</c:f>
              <c:strCache>
                <c:ptCount val="1"/>
                <c:pt idx="0">
                  <c:v>TEMP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3.3'!$B$3:$B$11</c:f>
              <c:strCache>
                <c:ptCount val="9"/>
                <c:pt idx="0">
                  <c:v>ROME</c:v>
                </c:pt>
                <c:pt idx="1">
                  <c:v>NAPLES</c:v>
                </c:pt>
                <c:pt idx="2">
                  <c:v>CATANIA</c:v>
                </c:pt>
                <c:pt idx="3">
                  <c:v>CATANZARO</c:v>
                </c:pt>
                <c:pt idx="4">
                  <c:v>MILAN</c:v>
                </c:pt>
                <c:pt idx="5">
                  <c:v>VENICE</c:v>
                </c:pt>
                <c:pt idx="6">
                  <c:v>PISA</c:v>
                </c:pt>
                <c:pt idx="7">
                  <c:v>CAGLIARI</c:v>
                </c:pt>
                <c:pt idx="8">
                  <c:v>COSENZA</c:v>
                </c:pt>
              </c:strCache>
            </c:strRef>
          </c:cat>
          <c:val>
            <c:numRef>
              <c:f>'Task 3.3'!$C$3:$C$11</c:f>
              <c:numCache>
                <c:formatCode>General</c:formatCode>
                <c:ptCount val="9"/>
                <c:pt idx="0">
                  <c:v>26</c:v>
                </c:pt>
                <c:pt idx="1">
                  <c:v>29</c:v>
                </c:pt>
                <c:pt idx="2">
                  <c:v>24</c:v>
                </c:pt>
                <c:pt idx="3">
                  <c:v>27</c:v>
                </c:pt>
                <c:pt idx="4">
                  <c:v>29</c:v>
                </c:pt>
                <c:pt idx="5">
                  <c:v>31</c:v>
                </c:pt>
                <c:pt idx="6">
                  <c:v>28</c:v>
                </c:pt>
                <c:pt idx="7">
                  <c:v>24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1-45F3-BACF-3D8BB2F74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41812944"/>
        <c:axId val="1541822064"/>
      </c:barChart>
      <c:catAx>
        <c:axId val="15418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22064"/>
        <c:crosses val="autoZero"/>
        <c:auto val="1"/>
        <c:lblAlgn val="ctr"/>
        <c:lblOffset val="100"/>
        <c:noMultiLvlLbl val="0"/>
      </c:catAx>
      <c:valAx>
        <c:axId val="1541822064"/>
        <c:scaling>
          <c:orientation val="minMax"/>
          <c:max val="3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Av. Temp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12944"/>
        <c:crosses val="autoZero"/>
        <c:crossBetween val="between"/>
        <c:majorUnit val="1"/>
        <c:min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Average Temperatures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3.4'!$C$2</c:f>
              <c:strCache>
                <c:ptCount val="1"/>
                <c:pt idx="0">
                  <c:v>TEMP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3.4'!$B$3:$B$11</c:f>
              <c:strCache>
                <c:ptCount val="9"/>
                <c:pt idx="0">
                  <c:v>ROME</c:v>
                </c:pt>
                <c:pt idx="1">
                  <c:v>NAPLES</c:v>
                </c:pt>
                <c:pt idx="2">
                  <c:v>CATANIA</c:v>
                </c:pt>
                <c:pt idx="3">
                  <c:v>CATANZARO</c:v>
                </c:pt>
                <c:pt idx="4">
                  <c:v>MILAN</c:v>
                </c:pt>
                <c:pt idx="5">
                  <c:v>VENICE</c:v>
                </c:pt>
                <c:pt idx="6">
                  <c:v>PISA</c:v>
                </c:pt>
                <c:pt idx="7">
                  <c:v>CAGLIARI</c:v>
                </c:pt>
                <c:pt idx="8">
                  <c:v>COSENZA</c:v>
                </c:pt>
              </c:strCache>
            </c:strRef>
          </c:cat>
          <c:val>
            <c:numRef>
              <c:f>'Task 3.4'!$C$3:$C$11</c:f>
              <c:numCache>
                <c:formatCode>General</c:formatCode>
                <c:ptCount val="9"/>
                <c:pt idx="0">
                  <c:v>26</c:v>
                </c:pt>
                <c:pt idx="1">
                  <c:v>29</c:v>
                </c:pt>
                <c:pt idx="2">
                  <c:v>24</c:v>
                </c:pt>
                <c:pt idx="3">
                  <c:v>27</c:v>
                </c:pt>
                <c:pt idx="4">
                  <c:v>29</c:v>
                </c:pt>
                <c:pt idx="5">
                  <c:v>31</c:v>
                </c:pt>
                <c:pt idx="6">
                  <c:v>28</c:v>
                </c:pt>
                <c:pt idx="7">
                  <c:v>24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A-43BB-81C1-7D820A22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2944"/>
        <c:axId val="1541822064"/>
      </c:barChart>
      <c:catAx>
        <c:axId val="15418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City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22064"/>
        <c:crosses val="autoZero"/>
        <c:auto val="1"/>
        <c:lblAlgn val="ctr"/>
        <c:lblOffset val="100"/>
        <c:noMultiLvlLbl val="0"/>
      </c:catAx>
      <c:valAx>
        <c:axId val="1541822064"/>
        <c:scaling>
          <c:orientation val="minMax"/>
          <c:max val="3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Av. Temp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12944"/>
        <c:crosses val="autoZero"/>
        <c:crossBetween val="between"/>
        <c:majorUnit val="1"/>
        <c:min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30</xdr:row>
      <xdr:rowOff>3810</xdr:rowOff>
    </xdr:from>
    <xdr:to>
      <xdr:col>11</xdr:col>
      <xdr:colOff>15240</xdr:colOff>
      <xdr:row>51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B4D256-23E9-B607-49AA-D35D7D9BC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32</xdr:row>
      <xdr:rowOff>3810</xdr:rowOff>
    </xdr:from>
    <xdr:to>
      <xdr:col>11</xdr:col>
      <xdr:colOff>15240</xdr:colOff>
      <xdr:row>53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BDC38-7A28-41BE-9C84-368252060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773ACB-25E1-4185-95FD-5F659101117E}" name="Table2" displayName="Table2" ref="B2:E12" headerRowBorderDxfId="54" tableBorderDxfId="53" totalsRowBorderDxfId="52">
  <autoFilter ref="B2:E12" xr:uid="{D2773ACB-25E1-4185-95FD-5F659101117E}">
    <filterColumn colId="0" hiddenButton="1"/>
    <filterColumn colId="1" hiddenButton="1"/>
    <filterColumn colId="2" hiddenButton="1"/>
    <filterColumn colId="3" hiddenButton="1"/>
  </autoFilter>
  <tableColumns count="4">
    <tableColumn id="1" xr3:uid="{2CA3182C-664F-4A7A-8585-5496CC980057}" name="CITY" totalsRowLabel="Total" dataDxfId="51" totalsRowDxfId="50"/>
    <tableColumn id="2" xr3:uid="{EE1F11CB-2950-49F1-AB67-CBCF0AD04E1F}" name="TEMP" dataDxfId="49" totalsRowDxfId="48"/>
    <tableColumn id="3" xr3:uid="{75D1012A-13F4-4C5B-A45E-2F4E1992F88D}" name="FORECAST" dataDxfId="47" totalsRowDxfId="46">
      <calculatedColumnFormula>HLOOKUP(C3,FORECAST,2)</calculatedColumnFormula>
    </tableColumn>
    <tableColumn id="4" xr3:uid="{C1305857-DACB-4A61-89CE-904DD4BEEFB5}" name="VISIT" totalsRowFunction="count" dataDxfId="45" totalsRowDxfId="44"/>
  </tableColumns>
  <tableStyleInfo name="TableStyleMedium6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146E5-673E-46F9-8B6D-48A28B5F8C0F}" name="Table24" displayName="Table24" ref="B2:E13" headerRowBorderDxfId="43" tableBorderDxfId="42" totalsRowBorderDxfId="41">
  <autoFilter ref="B2:E13" xr:uid="{6DC146E5-673E-46F9-8B6D-48A28B5F8C0F}">
    <filterColumn colId="0" hiddenButton="1"/>
    <filterColumn colId="1" hiddenButton="1"/>
    <filterColumn colId="2" hiddenButton="1"/>
    <filterColumn colId="3" hiddenButton="1"/>
  </autoFilter>
  <tableColumns count="4">
    <tableColumn id="1" xr3:uid="{730050FC-D1E5-4EB9-B017-9920C05DA11E}" name="CITY" totalsRowLabel="Total" dataDxfId="40" totalsRowDxfId="39"/>
    <tableColumn id="2" xr3:uid="{0D9355CB-A959-4A2E-A0BE-36A8B977E491}" name="TEMP" dataDxfId="38" totalsRowDxfId="37"/>
    <tableColumn id="3" xr3:uid="{334BAB64-EB7A-4879-B71D-11B670C06B28}" name="FORECAST" dataDxfId="36" totalsRowDxfId="35">
      <calculatedColumnFormula>HLOOKUP(C3,FORECAST,2)</calculatedColumnFormula>
    </tableColumn>
    <tableColumn id="4" xr3:uid="{11EA8400-AD25-4820-866E-2965BD6EB85D}" name="VISIT" totalsRowFunction="count" dataDxfId="34" totalsRowDxfId="33">
      <calculatedColumnFormula>IF(D3="FAIR",1,"")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6D709A-4932-47BC-B6F3-606CBA37A06A}" name="Table245" displayName="Table245" ref="B2:E13" headerRowBorderDxfId="32" tableBorderDxfId="31" totalsRowBorderDxfId="30">
  <autoFilter ref="B2:E13" xr:uid="{6DC146E5-673E-46F9-8B6D-48A28B5F8C0F}">
    <filterColumn colId="0" hiddenButton="1"/>
    <filterColumn colId="1" hiddenButton="1"/>
    <filterColumn colId="2" hiddenButton="1"/>
    <filterColumn colId="3" hiddenButton="1"/>
  </autoFilter>
  <tableColumns count="4">
    <tableColumn id="1" xr3:uid="{FE409ACF-D05D-40F5-A06D-1334B88F051E}" name="CITY" totalsRowLabel="Total" dataDxfId="29" totalsRowDxfId="28"/>
    <tableColumn id="2" xr3:uid="{820EE0F2-941D-463F-AD0C-5A281BC1AD00}" name="TEMP" dataDxfId="27" totalsRowDxfId="26"/>
    <tableColumn id="3" xr3:uid="{407AF128-98D7-4347-8397-2FDDD010A22B}" name="FORECAST" dataDxfId="25" totalsRowDxfId="24">
      <calculatedColumnFormula>HLOOKUP(C3,FORECAST,2)</calculatedColumnFormula>
    </tableColumn>
    <tableColumn id="4" xr3:uid="{F1723CEC-5C94-4155-988D-2EAF75517171}" name="VISIT" totalsRowFunction="count" dataDxfId="23" totalsRowDxfId="22">
      <calculatedColumnFormula>IF(D3="FAIR",1,"")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9216D7-E2C2-4E4D-A002-48609B527BEE}" name="Table2456" displayName="Table2456" ref="B2:E13" headerRowBorderDxfId="21" tableBorderDxfId="20" totalsRowBorderDxfId="19">
  <autoFilter ref="B2:E13" xr:uid="{6DC146E5-673E-46F9-8B6D-48A28B5F8C0F}">
    <filterColumn colId="0" hiddenButton="1"/>
    <filterColumn colId="1" hiddenButton="1"/>
    <filterColumn colId="2" hiddenButton="1"/>
    <filterColumn colId="3" hiddenButton="1"/>
  </autoFilter>
  <tableColumns count="4">
    <tableColumn id="1" xr3:uid="{D396CB77-33F0-4744-AD84-41B2A48BD65E}" name="CITY" totalsRowLabel="Total" dataDxfId="18" totalsRowDxfId="17"/>
    <tableColumn id="2" xr3:uid="{18098D8A-2622-4B8B-8F28-60003B3268B1}" name="TEMP" dataDxfId="16" totalsRowDxfId="15"/>
    <tableColumn id="3" xr3:uid="{51E58BCA-099E-40AA-A0DC-6E8E2C5B6FA0}" name="FORECAST" dataDxfId="14" totalsRowDxfId="13">
      <calculatedColumnFormula>HLOOKUP(C3,FORECAST,2)</calculatedColumnFormula>
    </tableColumn>
    <tableColumn id="4" xr3:uid="{6766CFF5-9394-4978-8B89-E7A3D820D8F3}" name="VISIT" totalsRowFunction="count" dataDxfId="12" totalsRowDxfId="11">
      <calculatedColumnFormula>IF(D3="FAIR",1,"")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8D204D-6AD8-42CA-A135-AEF151FB2184}" name="Table24567" displayName="Table24567" ref="B2:E13" headerRowBorderDxfId="10" tableBorderDxfId="9" totalsRowBorderDxfId="8">
  <autoFilter ref="B2:E13" xr:uid="{6DC146E5-673E-46F9-8B6D-48A28B5F8C0F}">
    <filterColumn colId="0" hiddenButton="1"/>
    <filterColumn colId="1" hiddenButton="1"/>
    <filterColumn colId="2" hiddenButton="1"/>
    <filterColumn colId="3" hiddenButton="1"/>
  </autoFilter>
  <tableColumns count="4">
    <tableColumn id="1" xr3:uid="{B30DA3C7-0A22-4AF9-8268-CDC93602E16F}" name="CITY" totalsRowLabel="Total" dataDxfId="7" totalsRowDxfId="6"/>
    <tableColumn id="2" xr3:uid="{D36A1BAF-2DE9-4EF6-82B7-BEA187224B72}" name="TEMP" dataDxfId="5" totalsRowDxfId="4"/>
    <tableColumn id="3" xr3:uid="{8CEB4EAD-B76E-4AE5-A68A-E809729F44E9}" name="FORECAST" dataDxfId="3" totalsRowDxfId="2">
      <calculatedColumnFormula>HLOOKUP(C3,FORECAST,2)</calculatedColumnFormula>
    </tableColumn>
    <tableColumn id="4" xr3:uid="{E542B786-7464-4B06-81B9-66F968B2F060}" name="VISIT" totalsRowFunction="count" dataDxfId="1" totalsRowDxfId="0">
      <calculatedColumnFormula>IF(D3="FAIR",1,"")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3CB0-9FC5-403A-B0AF-8861FBCEB181}">
  <sheetPr codeName="Sheet1"/>
  <dimension ref="B2:Q17"/>
  <sheetViews>
    <sheetView zoomScaleNormal="100" workbookViewId="0">
      <selection activeCell="J14" sqref="J14:Q14"/>
    </sheetView>
  </sheetViews>
  <sheetFormatPr defaultRowHeight="14.4" x14ac:dyDescent="0.3"/>
  <cols>
    <col min="2" max="2" width="11.109375" bestFit="1" customWidth="1"/>
    <col min="3" max="3" width="9.88671875" customWidth="1"/>
    <col min="4" max="4" width="12.44140625" customWidth="1"/>
    <col min="5" max="5" width="10.44140625" customWidth="1"/>
    <col min="8" max="8" width="9.109375" bestFit="1" customWidth="1"/>
  </cols>
  <sheetData>
    <row r="2" spans="2:17" ht="16.2" thickBot="1" x14ac:dyDescent="0.35">
      <c r="B2" s="9" t="s">
        <v>0</v>
      </c>
      <c r="C2" s="10" t="s">
        <v>1</v>
      </c>
      <c r="D2" s="10" t="s">
        <v>2</v>
      </c>
      <c r="E2" s="11" t="s">
        <v>3</v>
      </c>
      <c r="J2" s="35" t="s">
        <v>33</v>
      </c>
      <c r="K2" s="35"/>
      <c r="L2" s="35"/>
      <c r="M2" s="35"/>
      <c r="N2" s="35"/>
      <c r="O2" s="35"/>
      <c r="P2" s="35"/>
      <c r="Q2" s="35"/>
    </row>
    <row r="3" spans="2:17" ht="15" thickTop="1" x14ac:dyDescent="0.3">
      <c r="B3" s="7" t="s">
        <v>4</v>
      </c>
      <c r="C3" s="2">
        <v>26</v>
      </c>
      <c r="D3" s="2" t="str">
        <f t="shared" ref="D3:D12" si="0">HLOOKUP(C3,FORECAST,2)</f>
        <v>FAIR</v>
      </c>
      <c r="E3" s="8"/>
      <c r="J3" s="30" t="s">
        <v>54</v>
      </c>
      <c r="K3" s="30"/>
      <c r="L3" s="30"/>
      <c r="M3" s="30"/>
      <c r="N3" s="30"/>
      <c r="O3" s="30"/>
      <c r="P3" s="30"/>
      <c r="Q3" s="30"/>
    </row>
    <row r="4" spans="2:17" ht="14.4" customHeight="1" x14ac:dyDescent="0.3">
      <c r="B4" s="7" t="s">
        <v>5</v>
      </c>
      <c r="C4" s="2">
        <v>30</v>
      </c>
      <c r="D4" s="2" t="str">
        <f t="shared" si="0"/>
        <v>HOT</v>
      </c>
      <c r="E4" s="8"/>
      <c r="J4" s="31" t="s">
        <v>31</v>
      </c>
      <c r="K4" s="31"/>
      <c r="L4" s="31"/>
      <c r="M4" s="31"/>
      <c r="N4" s="31"/>
      <c r="O4" s="31"/>
      <c r="P4" s="31"/>
      <c r="Q4" s="31"/>
    </row>
    <row r="5" spans="2:17" ht="14.4" customHeight="1" x14ac:dyDescent="0.3">
      <c r="B5" s="7" t="s">
        <v>6</v>
      </c>
      <c r="C5" s="2">
        <v>24</v>
      </c>
      <c r="D5" s="2" t="str">
        <f t="shared" si="0"/>
        <v>COOL</v>
      </c>
      <c r="E5" s="8"/>
      <c r="J5" s="31" t="s">
        <v>38</v>
      </c>
      <c r="K5" s="31"/>
      <c r="L5" s="31"/>
      <c r="M5" s="31"/>
      <c r="N5" s="31"/>
      <c r="O5" s="31"/>
      <c r="P5" s="31"/>
      <c r="Q5" s="31"/>
    </row>
    <row r="6" spans="2:17" ht="14.4" customHeight="1" x14ac:dyDescent="0.3">
      <c r="B6" s="7" t="s">
        <v>7</v>
      </c>
      <c r="C6" s="2">
        <v>27</v>
      </c>
      <c r="D6" s="2" t="str">
        <f t="shared" si="0"/>
        <v>FAIR</v>
      </c>
      <c r="E6" s="8"/>
      <c r="J6" s="31"/>
      <c r="K6" s="31"/>
      <c r="L6" s="31"/>
      <c r="M6" s="31"/>
      <c r="N6" s="31"/>
      <c r="O6" s="31"/>
      <c r="P6" s="31"/>
      <c r="Q6" s="31"/>
    </row>
    <row r="7" spans="2:17" x14ac:dyDescent="0.3">
      <c r="B7" s="7" t="s">
        <v>8</v>
      </c>
      <c r="C7" s="2">
        <v>29</v>
      </c>
      <c r="D7" s="2" t="str">
        <f t="shared" si="0"/>
        <v>FAIR</v>
      </c>
      <c r="E7" s="8"/>
      <c r="J7" s="31" t="s">
        <v>55</v>
      </c>
      <c r="K7" s="31"/>
      <c r="L7" s="31"/>
      <c r="M7" s="31"/>
      <c r="N7" s="31"/>
      <c r="O7" s="31"/>
      <c r="P7" s="31"/>
      <c r="Q7" s="31"/>
    </row>
    <row r="8" spans="2:17" x14ac:dyDescent="0.3">
      <c r="B8" s="7" t="s">
        <v>9</v>
      </c>
      <c r="C8" s="2">
        <v>31</v>
      </c>
      <c r="D8" s="2" t="str">
        <f t="shared" si="0"/>
        <v>HOT</v>
      </c>
      <c r="E8" s="8"/>
      <c r="J8" s="31"/>
      <c r="K8" s="31"/>
      <c r="L8" s="31"/>
      <c r="M8" s="31"/>
      <c r="N8" s="31"/>
      <c r="O8" s="31"/>
      <c r="P8" s="31"/>
      <c r="Q8" s="31"/>
    </row>
    <row r="9" spans="2:17" x14ac:dyDescent="0.3">
      <c r="B9" s="7" t="s">
        <v>10</v>
      </c>
      <c r="C9" s="2">
        <v>28</v>
      </c>
      <c r="D9" s="2" t="str">
        <f t="shared" si="0"/>
        <v>FAIR</v>
      </c>
      <c r="E9" s="8"/>
      <c r="J9" s="31" t="s">
        <v>56</v>
      </c>
      <c r="K9" s="31"/>
      <c r="L9" s="31"/>
      <c r="M9" s="31"/>
      <c r="N9" s="31"/>
      <c r="O9" s="31"/>
      <c r="P9" s="31"/>
      <c r="Q9" s="31"/>
    </row>
    <row r="10" spans="2:17" x14ac:dyDescent="0.3">
      <c r="B10" s="7" t="s">
        <v>11</v>
      </c>
      <c r="C10" s="2">
        <v>24</v>
      </c>
      <c r="D10" s="2" t="str">
        <f t="shared" si="0"/>
        <v>COOL</v>
      </c>
      <c r="E10" s="8"/>
      <c r="J10" s="31"/>
      <c r="K10" s="31"/>
      <c r="L10" s="31"/>
      <c r="M10" s="31"/>
      <c r="N10" s="31"/>
      <c r="O10" s="31"/>
      <c r="P10" s="31"/>
      <c r="Q10" s="31"/>
    </row>
    <row r="11" spans="2:17" x14ac:dyDescent="0.3">
      <c r="B11" s="7" t="s">
        <v>12</v>
      </c>
      <c r="C11" s="2">
        <v>22</v>
      </c>
      <c r="D11" s="2" t="str">
        <f t="shared" si="0"/>
        <v>VERY COOL</v>
      </c>
      <c r="E11" s="8"/>
      <c r="J11" s="30" t="s">
        <v>57</v>
      </c>
      <c r="K11" s="30"/>
      <c r="L11" s="30"/>
      <c r="M11" s="30"/>
      <c r="N11" s="30"/>
      <c r="O11" s="30"/>
      <c r="P11" s="30"/>
      <c r="Q11" s="30"/>
    </row>
    <row r="12" spans="2:17" x14ac:dyDescent="0.3">
      <c r="B12" s="6" t="s">
        <v>13</v>
      </c>
      <c r="C12" s="12">
        <v>29</v>
      </c>
      <c r="D12" s="12" t="str">
        <f t="shared" si="0"/>
        <v>FAIR</v>
      </c>
      <c r="E12" s="5"/>
      <c r="H12" t="s">
        <v>20</v>
      </c>
      <c r="J12" s="30" t="s">
        <v>32</v>
      </c>
      <c r="K12" s="30"/>
      <c r="L12" s="30"/>
      <c r="M12" s="30"/>
      <c r="N12" s="30"/>
      <c r="O12" s="30"/>
      <c r="P12" s="30"/>
      <c r="Q12" s="30"/>
    </row>
    <row r="14" spans="2:17" ht="14.4" customHeight="1" x14ac:dyDescent="0.3">
      <c r="J14" s="32" t="s">
        <v>63</v>
      </c>
      <c r="K14" s="33"/>
      <c r="L14" s="33"/>
      <c r="M14" s="33"/>
      <c r="N14" s="33"/>
      <c r="O14" s="33"/>
      <c r="P14" s="33"/>
      <c r="Q14" s="34"/>
    </row>
    <row r="15" spans="2:17" x14ac:dyDescent="0.3">
      <c r="B15" s="29" t="s">
        <v>28</v>
      </c>
      <c r="C15" s="29"/>
      <c r="D15" s="29"/>
      <c r="E15" s="29"/>
      <c r="F15" s="29"/>
      <c r="G15" s="29"/>
      <c r="H15" s="29"/>
    </row>
    <row r="16" spans="2:17" x14ac:dyDescent="0.3">
      <c r="B16" s="3" t="s">
        <v>1</v>
      </c>
      <c r="C16" s="1">
        <v>0</v>
      </c>
      <c r="D16" s="1">
        <v>21</v>
      </c>
      <c r="E16" s="1">
        <v>24</v>
      </c>
      <c r="F16" s="1">
        <v>26</v>
      </c>
      <c r="G16" s="1">
        <v>30</v>
      </c>
      <c r="H16" s="1">
        <v>32</v>
      </c>
    </row>
    <row r="17" spans="2:8" x14ac:dyDescent="0.3">
      <c r="B17" s="3" t="s">
        <v>2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</row>
  </sheetData>
  <sheetProtection algorithmName="SHA-512" hashValue="KTbZ5BN8gqEOx/vhrpoABix6xK0JAs1K0rRgU87dUAHVwhyr8vPAudmN8//pzDqer8sUva2/jtEIRIpIe4HxmA==" saltValue="j0h8LefFCpzoyEY7fUSLTw==" spinCount="100000" sheet="1" objects="1" scenarios="1"/>
  <mergeCells count="10">
    <mergeCell ref="J2:Q2"/>
    <mergeCell ref="J7:Q8"/>
    <mergeCell ref="J5:Q6"/>
    <mergeCell ref="J9:Q10"/>
    <mergeCell ref="J11:Q11"/>
    <mergeCell ref="B15:H15"/>
    <mergeCell ref="J3:Q3"/>
    <mergeCell ref="J4:Q4"/>
    <mergeCell ref="J12:Q12"/>
    <mergeCell ref="J14:Q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13B-AFF6-41BE-95C2-96ABFA91F097}">
  <sheetPr codeName="Sheet2"/>
  <dimension ref="B2:R18"/>
  <sheetViews>
    <sheetView workbookViewId="0">
      <selection activeCell="K15" sqref="K15:R15"/>
    </sheetView>
  </sheetViews>
  <sheetFormatPr defaultRowHeight="14.4" x14ac:dyDescent="0.3"/>
  <cols>
    <col min="2" max="2" width="11.109375" style="21" bestFit="1" customWidth="1"/>
    <col min="3" max="3" width="9.88671875" customWidth="1"/>
    <col min="4" max="4" width="16.6640625" bestFit="1" customWidth="1"/>
    <col min="5" max="5" width="12.5546875" customWidth="1"/>
    <col min="8" max="8" width="9.109375" bestFit="1" customWidth="1"/>
  </cols>
  <sheetData>
    <row r="2" spans="2:18" ht="16.2" thickBot="1" x14ac:dyDescent="0.35">
      <c r="B2" s="9" t="s">
        <v>0</v>
      </c>
      <c r="C2" s="10" t="s">
        <v>1</v>
      </c>
      <c r="D2" s="10" t="s">
        <v>2</v>
      </c>
      <c r="E2" s="11" t="s">
        <v>3</v>
      </c>
      <c r="K2" s="35" t="s">
        <v>33</v>
      </c>
      <c r="L2" s="35"/>
      <c r="M2" s="35"/>
      <c r="N2" s="35"/>
      <c r="O2" s="35"/>
      <c r="P2" s="35"/>
      <c r="Q2" s="35"/>
      <c r="R2" s="35"/>
    </row>
    <row r="3" spans="2:18" ht="15" thickTop="1" x14ac:dyDescent="0.3">
      <c r="B3" s="24" t="s">
        <v>4</v>
      </c>
      <c r="C3" s="2">
        <v>26</v>
      </c>
      <c r="D3" s="2" t="str">
        <f t="shared" ref="D3:D11" si="0">HLOOKUP(C3,FORECAST,2)</f>
        <v>FAIR</v>
      </c>
      <c r="E3" s="8">
        <f>IF(D3="FAIR",1,"")</f>
        <v>1</v>
      </c>
      <c r="K3" s="36" t="s">
        <v>34</v>
      </c>
      <c r="L3" s="36"/>
      <c r="M3" s="36"/>
      <c r="N3" s="36"/>
      <c r="O3" s="36"/>
      <c r="P3" s="36"/>
      <c r="Q3" s="36"/>
      <c r="R3" s="36"/>
    </row>
    <row r="4" spans="2:18" x14ac:dyDescent="0.3">
      <c r="B4" s="24" t="s">
        <v>5</v>
      </c>
      <c r="C4" s="2">
        <v>29</v>
      </c>
      <c r="D4" s="2" t="str">
        <f t="shared" si="0"/>
        <v>FAIR</v>
      </c>
      <c r="E4" s="8">
        <f t="shared" ref="E4:E11" si="1">IF(D4="FAIR",1,"")</f>
        <v>1</v>
      </c>
      <c r="K4" s="36"/>
      <c r="L4" s="36"/>
      <c r="M4" s="36"/>
      <c r="N4" s="36"/>
      <c r="O4" s="36"/>
      <c r="P4" s="36"/>
      <c r="Q4" s="36"/>
      <c r="R4" s="36"/>
    </row>
    <row r="5" spans="2:18" x14ac:dyDescent="0.3">
      <c r="B5" s="24" t="s">
        <v>6</v>
      </c>
      <c r="C5" s="2">
        <v>24</v>
      </c>
      <c r="D5" s="2" t="str">
        <f t="shared" si="0"/>
        <v>COOL</v>
      </c>
      <c r="E5" s="8" t="str">
        <f t="shared" si="1"/>
        <v/>
      </c>
      <c r="K5" s="36" t="s">
        <v>35</v>
      </c>
      <c r="L5" s="36"/>
      <c r="M5" s="36"/>
      <c r="N5" s="36"/>
      <c r="O5" s="36"/>
      <c r="P5" s="36"/>
      <c r="Q5" s="36"/>
      <c r="R5" s="36"/>
    </row>
    <row r="6" spans="2:18" x14ac:dyDescent="0.3">
      <c r="B6" s="24" t="s">
        <v>7</v>
      </c>
      <c r="C6" s="2">
        <v>27</v>
      </c>
      <c r="D6" s="2" t="str">
        <f t="shared" si="0"/>
        <v>FAIR</v>
      </c>
      <c r="E6" s="8">
        <f t="shared" si="1"/>
        <v>1</v>
      </c>
      <c r="K6" s="36"/>
      <c r="L6" s="36"/>
      <c r="M6" s="36"/>
      <c r="N6" s="36"/>
      <c r="O6" s="36"/>
      <c r="P6" s="36"/>
      <c r="Q6" s="36"/>
      <c r="R6" s="36"/>
    </row>
    <row r="7" spans="2:18" x14ac:dyDescent="0.3">
      <c r="B7" s="24" t="s">
        <v>8</v>
      </c>
      <c r="C7" s="2">
        <v>29</v>
      </c>
      <c r="D7" s="2" t="str">
        <f t="shared" si="0"/>
        <v>FAIR</v>
      </c>
      <c r="E7" s="8">
        <f t="shared" si="1"/>
        <v>1</v>
      </c>
      <c r="K7" s="37" t="s">
        <v>51</v>
      </c>
      <c r="L7" s="37"/>
      <c r="M7" s="37"/>
      <c r="N7" s="37"/>
      <c r="O7" s="37"/>
      <c r="P7" s="37"/>
      <c r="Q7" s="37"/>
      <c r="R7" s="37"/>
    </row>
    <row r="8" spans="2:18" x14ac:dyDescent="0.3">
      <c r="B8" s="24" t="s">
        <v>9</v>
      </c>
      <c r="C8" s="2">
        <v>31</v>
      </c>
      <c r="D8" s="2" t="str">
        <f t="shared" si="0"/>
        <v>HOT</v>
      </c>
      <c r="E8" s="8" t="str">
        <f t="shared" si="1"/>
        <v/>
      </c>
      <c r="K8" s="31" t="s">
        <v>50</v>
      </c>
      <c r="L8" s="31"/>
      <c r="M8" s="31"/>
      <c r="N8" s="31"/>
      <c r="O8" s="31"/>
      <c r="P8" s="31"/>
      <c r="Q8" s="31"/>
      <c r="R8" s="31"/>
    </row>
    <row r="9" spans="2:18" x14ac:dyDescent="0.3">
      <c r="B9" s="24" t="s">
        <v>10</v>
      </c>
      <c r="C9" s="2">
        <v>28</v>
      </c>
      <c r="D9" s="2" t="str">
        <f t="shared" si="0"/>
        <v>FAIR</v>
      </c>
      <c r="E9" s="8">
        <f t="shared" si="1"/>
        <v>1</v>
      </c>
      <c r="K9" s="31"/>
      <c r="L9" s="31"/>
      <c r="M9" s="31"/>
      <c r="N9" s="31"/>
      <c r="O9" s="31"/>
      <c r="P9" s="31"/>
      <c r="Q9" s="31"/>
      <c r="R9" s="31"/>
    </row>
    <row r="10" spans="2:18" x14ac:dyDescent="0.3">
      <c r="B10" s="24" t="s">
        <v>11</v>
      </c>
      <c r="C10" s="2">
        <v>24</v>
      </c>
      <c r="D10" s="2" t="str">
        <f t="shared" si="0"/>
        <v>COOL</v>
      </c>
      <c r="E10" s="8" t="str">
        <f t="shared" si="1"/>
        <v/>
      </c>
      <c r="K10" s="36" t="s">
        <v>52</v>
      </c>
      <c r="L10" s="36"/>
      <c r="M10" s="36"/>
      <c r="N10" s="36"/>
      <c r="O10" s="36"/>
      <c r="P10" s="36"/>
      <c r="Q10" s="36"/>
      <c r="R10" s="36"/>
    </row>
    <row r="11" spans="2:18" x14ac:dyDescent="0.3">
      <c r="B11" s="25" t="s">
        <v>13</v>
      </c>
      <c r="C11" s="12">
        <v>29</v>
      </c>
      <c r="D11" s="12" t="str">
        <f t="shared" si="0"/>
        <v>FAIR</v>
      </c>
      <c r="E11" s="8">
        <f t="shared" si="1"/>
        <v>1</v>
      </c>
      <c r="H11" t="s">
        <v>20</v>
      </c>
      <c r="K11" s="31" t="s">
        <v>36</v>
      </c>
      <c r="L11" s="31"/>
      <c r="M11" s="31"/>
      <c r="N11" s="31"/>
      <c r="O11" s="31"/>
      <c r="P11" s="31"/>
      <c r="Q11" s="31"/>
      <c r="R11" s="31"/>
    </row>
    <row r="12" spans="2:18" x14ac:dyDescent="0.3">
      <c r="B12" s="25"/>
      <c r="C12" s="12"/>
      <c r="D12" s="13" t="s">
        <v>21</v>
      </c>
      <c r="E12" s="14">
        <f>COUNT(E3:E11)</f>
        <v>6</v>
      </c>
      <c r="K12" s="31"/>
      <c r="L12" s="31"/>
      <c r="M12" s="31"/>
      <c r="N12" s="31"/>
      <c r="O12" s="31"/>
      <c r="P12" s="31"/>
      <c r="Q12" s="31"/>
      <c r="R12" s="31"/>
    </row>
    <row r="13" spans="2:18" x14ac:dyDescent="0.3">
      <c r="B13" s="25"/>
      <c r="C13" s="12"/>
      <c r="D13" s="13" t="s">
        <v>22</v>
      </c>
      <c r="E13" s="14">
        <f>COUNT(E3:E11)-1</f>
        <v>5</v>
      </c>
      <c r="F13" t="s">
        <v>20</v>
      </c>
      <c r="K13" s="37" t="s">
        <v>53</v>
      </c>
      <c r="L13" s="37"/>
      <c r="M13" s="37"/>
      <c r="N13" s="37"/>
      <c r="O13" s="37"/>
      <c r="P13" s="37"/>
      <c r="Q13" s="37"/>
      <c r="R13" s="37"/>
    </row>
    <row r="15" spans="2:18" ht="14.4" customHeight="1" x14ac:dyDescent="0.3">
      <c r="K15" s="32" t="s">
        <v>63</v>
      </c>
      <c r="L15" s="33"/>
      <c r="M15" s="33"/>
      <c r="N15" s="33"/>
      <c r="O15" s="33"/>
      <c r="P15" s="33"/>
      <c r="Q15" s="33"/>
      <c r="R15" s="34"/>
    </row>
    <row r="16" spans="2:18" x14ac:dyDescent="0.3">
      <c r="B16" s="29" t="s">
        <v>28</v>
      </c>
      <c r="C16" s="29"/>
      <c r="D16" s="29"/>
      <c r="E16" s="29"/>
      <c r="F16" s="29"/>
      <c r="G16" s="29"/>
      <c r="H16" s="29"/>
    </row>
    <row r="17" spans="2:8" x14ac:dyDescent="0.3">
      <c r="B17" s="3" t="s">
        <v>1</v>
      </c>
      <c r="C17" s="1">
        <v>0</v>
      </c>
      <c r="D17" s="1">
        <v>21</v>
      </c>
      <c r="E17" s="1">
        <v>24</v>
      </c>
      <c r="F17" s="1">
        <v>26</v>
      </c>
      <c r="G17" s="1">
        <v>30</v>
      </c>
      <c r="H17" s="1">
        <v>32</v>
      </c>
    </row>
    <row r="18" spans="2:8" x14ac:dyDescent="0.3">
      <c r="B18" s="3" t="s">
        <v>2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</row>
  </sheetData>
  <sheetProtection algorithmName="SHA-512" hashValue="hZqhNCQQz2Vx7/B1osLK550sGOT0bKymJDvLIGOjkoFOS2hJ5jAZLQ99CYlkyZVyYjS7Jw0hyAzXDl5eQiXtjA==" saltValue="fvUrt1o5Rvx1BdUD5h0QcA==" spinCount="100000" sheet="1" objects="1" scenarios="1"/>
  <mergeCells count="10">
    <mergeCell ref="B16:H16"/>
    <mergeCell ref="K2:R2"/>
    <mergeCell ref="K3:R4"/>
    <mergeCell ref="K5:R6"/>
    <mergeCell ref="K7:R7"/>
    <mergeCell ref="K8:R9"/>
    <mergeCell ref="K10:R10"/>
    <mergeCell ref="K11:R12"/>
    <mergeCell ref="K13:R13"/>
    <mergeCell ref="K15:R15"/>
  </mergeCells>
  <pageMargins left="0.7" right="0.7" top="0.75" bottom="0.75" header="0.3" footer="0.3"/>
  <ignoredErrors>
    <ignoredError sqref="D12:D13 E12:E1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E24D-9299-4517-A94F-392AAE38C919}">
  <sheetPr codeName="Sheet3"/>
  <dimension ref="B2:R29"/>
  <sheetViews>
    <sheetView workbookViewId="0">
      <selection activeCell="K13" sqref="K13:R13"/>
    </sheetView>
  </sheetViews>
  <sheetFormatPr defaultRowHeight="14.4" x14ac:dyDescent="0.3"/>
  <cols>
    <col min="2" max="2" width="21.5546875" style="21" bestFit="1" customWidth="1"/>
    <col min="3" max="3" width="9.88671875" customWidth="1"/>
    <col min="4" max="4" width="16.6640625" bestFit="1" customWidth="1"/>
    <col min="5" max="5" width="15.44140625" customWidth="1"/>
    <col min="7" max="7" width="12.109375" customWidth="1"/>
    <col min="8" max="8" width="9.109375" bestFit="1" customWidth="1"/>
  </cols>
  <sheetData>
    <row r="2" spans="2:18" ht="16.2" thickBot="1" x14ac:dyDescent="0.35">
      <c r="B2" s="9" t="s">
        <v>0</v>
      </c>
      <c r="C2" s="10" t="s">
        <v>1</v>
      </c>
      <c r="D2" s="10" t="s">
        <v>2</v>
      </c>
      <c r="E2" s="11" t="s">
        <v>3</v>
      </c>
      <c r="K2" s="35" t="s">
        <v>33</v>
      </c>
      <c r="L2" s="35"/>
      <c r="M2" s="35"/>
      <c r="N2" s="35"/>
      <c r="O2" s="35"/>
      <c r="P2" s="35"/>
      <c r="Q2" s="35"/>
      <c r="R2" s="35"/>
    </row>
    <row r="3" spans="2:18" ht="15" thickTop="1" x14ac:dyDescent="0.3">
      <c r="B3" s="24" t="s">
        <v>4</v>
      </c>
      <c r="C3" s="2">
        <v>26</v>
      </c>
      <c r="D3" s="1" t="str">
        <f t="shared" ref="D3:D11" si="0">HLOOKUP(C3,FORECAST,2)</f>
        <v>FAIR</v>
      </c>
      <c r="E3" s="8">
        <f>IF(D3="FAIR",1,"")</f>
        <v>1</v>
      </c>
      <c r="K3" s="36" t="s">
        <v>37</v>
      </c>
      <c r="L3" s="36"/>
      <c r="M3" s="36"/>
      <c r="N3" s="36"/>
      <c r="O3" s="36"/>
      <c r="P3" s="36"/>
      <c r="Q3" s="36"/>
      <c r="R3" s="36"/>
    </row>
    <row r="4" spans="2:18" ht="14.4" customHeight="1" x14ac:dyDescent="0.3">
      <c r="B4" s="24" t="s">
        <v>5</v>
      </c>
      <c r="C4" s="2">
        <v>29</v>
      </c>
      <c r="D4" s="1" t="str">
        <f t="shared" si="0"/>
        <v>FAIR</v>
      </c>
      <c r="E4" s="8">
        <f t="shared" ref="E4:E11" si="1">IF(D4="FAIR",1,"")</f>
        <v>1</v>
      </c>
      <c r="K4" s="36" t="s">
        <v>58</v>
      </c>
      <c r="L4" s="36"/>
      <c r="M4" s="36"/>
      <c r="N4" s="36"/>
      <c r="O4" s="36"/>
      <c r="P4" s="36"/>
      <c r="Q4" s="36"/>
      <c r="R4" s="36"/>
    </row>
    <row r="5" spans="2:18" x14ac:dyDescent="0.3">
      <c r="B5" s="24" t="s">
        <v>6</v>
      </c>
      <c r="C5" s="2">
        <v>24</v>
      </c>
      <c r="D5" s="1" t="str">
        <f t="shared" si="0"/>
        <v>COOL</v>
      </c>
      <c r="E5" s="8" t="str">
        <f t="shared" si="1"/>
        <v/>
      </c>
      <c r="K5" s="36"/>
      <c r="L5" s="36"/>
      <c r="M5" s="36"/>
      <c r="N5" s="36"/>
      <c r="O5" s="36"/>
      <c r="P5" s="36"/>
      <c r="Q5" s="36"/>
      <c r="R5" s="36"/>
    </row>
    <row r="6" spans="2:18" x14ac:dyDescent="0.3">
      <c r="B6" s="24" t="s">
        <v>7</v>
      </c>
      <c r="C6" s="2">
        <v>27</v>
      </c>
      <c r="D6" s="1" t="str">
        <f t="shared" si="0"/>
        <v>FAIR</v>
      </c>
      <c r="E6" s="8">
        <f t="shared" si="1"/>
        <v>1</v>
      </c>
      <c r="K6" s="36" t="s">
        <v>39</v>
      </c>
      <c r="L6" s="36"/>
      <c r="M6" s="36"/>
      <c r="N6" s="36"/>
      <c r="O6" s="36"/>
      <c r="P6" s="36"/>
      <c r="Q6" s="36"/>
      <c r="R6" s="36"/>
    </row>
    <row r="7" spans="2:18" x14ac:dyDescent="0.3">
      <c r="B7" s="24" t="s">
        <v>8</v>
      </c>
      <c r="C7" s="2">
        <v>29</v>
      </c>
      <c r="D7" s="1" t="str">
        <f t="shared" si="0"/>
        <v>FAIR</v>
      </c>
      <c r="E7" s="8">
        <f t="shared" si="1"/>
        <v>1</v>
      </c>
      <c r="K7" s="36"/>
      <c r="L7" s="36"/>
      <c r="M7" s="36"/>
      <c r="N7" s="36"/>
      <c r="O7" s="36"/>
      <c r="P7" s="36"/>
      <c r="Q7" s="36"/>
      <c r="R7" s="36"/>
    </row>
    <row r="8" spans="2:18" x14ac:dyDescent="0.3">
      <c r="B8" s="24" t="s">
        <v>9</v>
      </c>
      <c r="C8" s="2">
        <v>31</v>
      </c>
      <c r="D8" s="1" t="str">
        <f t="shared" si="0"/>
        <v>HOT</v>
      </c>
      <c r="E8" s="8" t="str">
        <f t="shared" si="1"/>
        <v/>
      </c>
      <c r="K8" s="36" t="s">
        <v>59</v>
      </c>
      <c r="L8" s="36"/>
      <c r="M8" s="36"/>
      <c r="N8" s="36"/>
      <c r="O8" s="36"/>
      <c r="P8" s="36"/>
      <c r="Q8" s="36"/>
      <c r="R8" s="36"/>
    </row>
    <row r="9" spans="2:18" x14ac:dyDescent="0.3">
      <c r="B9" s="24" t="s">
        <v>10</v>
      </c>
      <c r="C9" s="2">
        <v>28</v>
      </c>
      <c r="D9" s="1" t="str">
        <f t="shared" si="0"/>
        <v>FAIR</v>
      </c>
      <c r="E9" s="8">
        <f t="shared" si="1"/>
        <v>1</v>
      </c>
      <c r="K9" s="36" t="s">
        <v>40</v>
      </c>
      <c r="L9" s="36"/>
      <c r="M9" s="36"/>
      <c r="N9" s="36"/>
      <c r="O9" s="36"/>
      <c r="P9" s="36"/>
      <c r="Q9" s="36"/>
      <c r="R9" s="36"/>
    </row>
    <row r="10" spans="2:18" x14ac:dyDescent="0.3">
      <c r="B10" s="24" t="s">
        <v>11</v>
      </c>
      <c r="C10" s="2">
        <v>24</v>
      </c>
      <c r="D10" s="1" t="str">
        <f t="shared" si="0"/>
        <v>COOL</v>
      </c>
      <c r="E10" s="8" t="str">
        <f t="shared" si="1"/>
        <v/>
      </c>
      <c r="K10" s="36" t="s">
        <v>41</v>
      </c>
      <c r="L10" s="36"/>
      <c r="M10" s="36"/>
      <c r="N10" s="36"/>
      <c r="O10" s="36"/>
      <c r="P10" s="36"/>
      <c r="Q10" s="36"/>
      <c r="R10" s="36"/>
    </row>
    <row r="11" spans="2:18" x14ac:dyDescent="0.3">
      <c r="B11" s="25" t="s">
        <v>13</v>
      </c>
      <c r="C11" s="12">
        <v>29</v>
      </c>
      <c r="D11" s="4" t="str">
        <f t="shared" si="0"/>
        <v>FAIR</v>
      </c>
      <c r="E11" s="8">
        <f t="shared" si="1"/>
        <v>1</v>
      </c>
      <c r="H11" t="s">
        <v>20</v>
      </c>
      <c r="K11" s="36" t="s">
        <v>42</v>
      </c>
      <c r="L11" s="36"/>
      <c r="M11" s="36"/>
      <c r="N11" s="36"/>
      <c r="O11" s="36"/>
      <c r="P11" s="36"/>
      <c r="Q11" s="36"/>
      <c r="R11" s="36"/>
    </row>
    <row r="12" spans="2:18" x14ac:dyDescent="0.3">
      <c r="B12" s="25"/>
      <c r="C12" s="12"/>
      <c r="D12" s="13" t="s">
        <v>21</v>
      </c>
      <c r="E12" s="14">
        <f>COUNT(E3:E11)</f>
        <v>6</v>
      </c>
    </row>
    <row r="13" spans="2:18" ht="14.4" customHeight="1" x14ac:dyDescent="0.3">
      <c r="B13" s="25"/>
      <c r="C13" s="12"/>
      <c r="D13" s="13" t="s">
        <v>22</v>
      </c>
      <c r="E13" s="14">
        <f>COUNT(E3:E11)-1</f>
        <v>5</v>
      </c>
      <c r="F13" t="s">
        <v>20</v>
      </c>
      <c r="K13" s="32" t="s">
        <v>63</v>
      </c>
      <c r="L13" s="33"/>
      <c r="M13" s="33"/>
      <c r="N13" s="33"/>
      <c r="O13" s="33"/>
      <c r="P13" s="33"/>
      <c r="Q13" s="33"/>
      <c r="R13" s="34"/>
    </row>
    <row r="16" spans="2:18" x14ac:dyDescent="0.3">
      <c r="B16" s="29" t="s">
        <v>28</v>
      </c>
      <c r="C16" s="29"/>
      <c r="D16" s="29"/>
      <c r="E16" s="29"/>
      <c r="F16" s="29"/>
      <c r="G16" s="29"/>
      <c r="H16" s="29"/>
    </row>
    <row r="17" spans="2:13" x14ac:dyDescent="0.3">
      <c r="B17" s="3" t="s">
        <v>1</v>
      </c>
      <c r="C17" s="1">
        <v>0</v>
      </c>
      <c r="D17" s="1">
        <v>21</v>
      </c>
      <c r="E17" s="1">
        <v>24</v>
      </c>
      <c r="F17" s="1">
        <v>26</v>
      </c>
      <c r="G17" s="1">
        <v>30</v>
      </c>
      <c r="H17" s="1">
        <v>32</v>
      </c>
    </row>
    <row r="18" spans="2:13" x14ac:dyDescent="0.3">
      <c r="B18" s="3" t="s">
        <v>2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M18" s="15"/>
    </row>
    <row r="19" spans="2:13" x14ac:dyDescent="0.3">
      <c r="B19" s="16"/>
      <c r="C19" s="17"/>
      <c r="D19" s="17"/>
      <c r="E19" s="17"/>
      <c r="F19" s="17"/>
      <c r="G19" s="17"/>
      <c r="H19" s="17"/>
      <c r="M19" s="15"/>
    </row>
    <row r="20" spans="2:13" x14ac:dyDescent="0.3">
      <c r="B20" s="16"/>
      <c r="C20" s="17"/>
      <c r="D20" s="17"/>
      <c r="E20" s="17"/>
      <c r="F20" s="17"/>
      <c r="G20" s="17"/>
      <c r="H20" s="17"/>
    </row>
    <row r="21" spans="2:13" x14ac:dyDescent="0.3">
      <c r="B21" s="20" t="s">
        <v>23</v>
      </c>
      <c r="C21" s="23">
        <v>270</v>
      </c>
      <c r="D21" s="17"/>
      <c r="G21" s="17"/>
      <c r="H21" s="17"/>
    </row>
    <row r="22" spans="2:13" x14ac:dyDescent="0.3">
      <c r="C22" s="22"/>
      <c r="D22" s="17"/>
      <c r="F22" s="15"/>
      <c r="G22" s="17"/>
      <c r="H22" s="17"/>
    </row>
    <row r="23" spans="2:13" x14ac:dyDescent="0.3">
      <c r="B23" s="20" t="s">
        <v>24</v>
      </c>
      <c r="C23" s="23">
        <v>25</v>
      </c>
      <c r="D23" s="17"/>
      <c r="E23" s="17"/>
      <c r="F23" s="17"/>
      <c r="G23" s="17"/>
      <c r="H23" s="17"/>
    </row>
    <row r="25" spans="2:13" x14ac:dyDescent="0.3">
      <c r="B25" s="38" t="s">
        <v>29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2:13" x14ac:dyDescent="0.3">
      <c r="B26" s="3" t="s">
        <v>25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</row>
    <row r="27" spans="2:13" x14ac:dyDescent="0.3">
      <c r="B27" s="3" t="s">
        <v>26</v>
      </c>
      <c r="C27" s="26">
        <v>50</v>
      </c>
      <c r="D27" s="26">
        <v>79</v>
      </c>
      <c r="E27" s="26">
        <v>95</v>
      </c>
      <c r="F27" s="26">
        <v>105</v>
      </c>
      <c r="G27" s="26">
        <v>123</v>
      </c>
      <c r="H27" s="26">
        <v>143</v>
      </c>
      <c r="I27" s="26">
        <v>169</v>
      </c>
      <c r="J27" s="26">
        <v>174</v>
      </c>
      <c r="K27" s="26">
        <v>186</v>
      </c>
      <c r="L27" s="26">
        <v>205</v>
      </c>
    </row>
    <row r="29" spans="2:13" x14ac:dyDescent="0.3">
      <c r="B29" s="18" t="s">
        <v>27</v>
      </c>
      <c r="C29" s="19">
        <f>C21+C23+HLOOKUP(E12,HOTEL,2)</f>
        <v>438</v>
      </c>
    </row>
  </sheetData>
  <sheetProtection algorithmName="SHA-512" hashValue="w3awgD6sCIWOO0bvG/nxZW9vnefIEOs82Gm9clsBuonCHeruMz5VmyEtBtHSJxeWEeyXDa9e1pFwpwqlJiKhwA==" saltValue="86nThf85zIRa5V9tjaiXCg==" spinCount="100000" sheet="1" objects="1" scenarios="1"/>
  <mergeCells count="11">
    <mergeCell ref="K11:R11"/>
    <mergeCell ref="K13:R13"/>
    <mergeCell ref="B16:H16"/>
    <mergeCell ref="B25:L25"/>
    <mergeCell ref="K2:R2"/>
    <mergeCell ref="K3:R3"/>
    <mergeCell ref="K4:R5"/>
    <mergeCell ref="K6:R7"/>
    <mergeCell ref="K8:R8"/>
    <mergeCell ref="K9:R9"/>
    <mergeCell ref="K10:R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BAFA-BA25-473F-89F0-5CB1E877EE5F}">
  <sheetPr codeName="Sheet4"/>
  <dimension ref="B2:R29"/>
  <sheetViews>
    <sheetView workbookViewId="0">
      <selection activeCell="K10" sqref="K10:R10"/>
    </sheetView>
  </sheetViews>
  <sheetFormatPr defaultRowHeight="14.4" x14ac:dyDescent="0.3"/>
  <cols>
    <col min="2" max="2" width="21.5546875" style="21" bestFit="1" customWidth="1"/>
    <col min="3" max="3" width="9.88671875" customWidth="1"/>
    <col min="4" max="4" width="16.6640625" bestFit="1" customWidth="1"/>
    <col min="5" max="5" width="15.44140625" customWidth="1"/>
    <col min="7" max="7" width="12.109375" customWidth="1"/>
    <col min="8" max="8" width="9.109375" bestFit="1" customWidth="1"/>
  </cols>
  <sheetData>
    <row r="2" spans="2:18" ht="16.2" thickBot="1" x14ac:dyDescent="0.35">
      <c r="B2" s="9" t="s">
        <v>0</v>
      </c>
      <c r="C2" s="10" t="s">
        <v>1</v>
      </c>
      <c r="D2" s="10" t="s">
        <v>2</v>
      </c>
      <c r="E2" s="11" t="s">
        <v>3</v>
      </c>
      <c r="K2" s="35" t="s">
        <v>33</v>
      </c>
      <c r="L2" s="35"/>
      <c r="M2" s="35"/>
      <c r="N2" s="35"/>
      <c r="O2" s="35"/>
      <c r="P2" s="35"/>
      <c r="Q2" s="35"/>
      <c r="R2" s="35"/>
    </row>
    <row r="3" spans="2:18" ht="15" thickTop="1" x14ac:dyDescent="0.3">
      <c r="B3" s="24" t="s">
        <v>4</v>
      </c>
      <c r="C3" s="2">
        <v>26</v>
      </c>
      <c r="D3" s="1" t="str">
        <f t="shared" ref="D3:D11" si="0">HLOOKUP(C3,FORECAST,2)</f>
        <v>FAIR</v>
      </c>
      <c r="E3" s="8">
        <f>IF(D3="FAIR",1,"")</f>
        <v>1</v>
      </c>
      <c r="K3" s="36" t="s">
        <v>44</v>
      </c>
      <c r="L3" s="36"/>
      <c r="M3" s="36"/>
      <c r="N3" s="36"/>
      <c r="O3" s="36"/>
      <c r="P3" s="36"/>
      <c r="Q3" s="36"/>
      <c r="R3" s="36"/>
    </row>
    <row r="4" spans="2:18" x14ac:dyDescent="0.3">
      <c r="B4" s="24" t="s">
        <v>5</v>
      </c>
      <c r="C4" s="2">
        <v>29</v>
      </c>
      <c r="D4" s="1" t="str">
        <f t="shared" si="0"/>
        <v>FAIR</v>
      </c>
      <c r="E4" s="8">
        <f t="shared" ref="E4:E11" si="1">IF(D4="FAIR",1,"")</f>
        <v>1</v>
      </c>
      <c r="K4" s="36" t="s">
        <v>60</v>
      </c>
      <c r="L4" s="36"/>
      <c r="M4" s="36"/>
      <c r="N4" s="36"/>
      <c r="O4" s="36"/>
      <c r="P4" s="36"/>
      <c r="Q4" s="36"/>
      <c r="R4" s="36"/>
    </row>
    <row r="5" spans="2:18" x14ac:dyDescent="0.3">
      <c r="B5" s="24" t="s">
        <v>6</v>
      </c>
      <c r="C5" s="2">
        <v>24</v>
      </c>
      <c r="D5" s="1" t="str">
        <f t="shared" si="0"/>
        <v>COOL</v>
      </c>
      <c r="E5" s="8" t="str">
        <f t="shared" si="1"/>
        <v/>
      </c>
      <c r="K5" s="39" t="s">
        <v>61</v>
      </c>
      <c r="L5" s="39"/>
      <c r="M5" s="39"/>
      <c r="N5" s="39"/>
      <c r="O5" s="39"/>
      <c r="P5" s="39"/>
      <c r="Q5" s="39"/>
      <c r="R5" s="39"/>
    </row>
    <row r="6" spans="2:18" x14ac:dyDescent="0.3">
      <c r="B6" s="24" t="s">
        <v>7</v>
      </c>
      <c r="C6" s="2">
        <v>27</v>
      </c>
      <c r="D6" s="1" t="str">
        <f t="shared" si="0"/>
        <v>FAIR</v>
      </c>
      <c r="E6" s="8">
        <f t="shared" si="1"/>
        <v>1</v>
      </c>
      <c r="K6" s="36" t="s">
        <v>62</v>
      </c>
      <c r="L6" s="36"/>
      <c r="M6" s="36"/>
      <c r="N6" s="36"/>
      <c r="O6" s="36"/>
      <c r="P6" s="36"/>
      <c r="Q6" s="36"/>
      <c r="R6" s="36"/>
    </row>
    <row r="7" spans="2:18" x14ac:dyDescent="0.3">
      <c r="B7" s="24" t="s">
        <v>8</v>
      </c>
      <c r="C7" s="2">
        <v>29</v>
      </c>
      <c r="D7" s="1" t="str">
        <f t="shared" si="0"/>
        <v>FAIR</v>
      </c>
      <c r="E7" s="8">
        <f t="shared" si="1"/>
        <v>1</v>
      </c>
      <c r="K7" s="36" t="s">
        <v>43</v>
      </c>
      <c r="L7" s="36"/>
      <c r="M7" s="36"/>
      <c r="N7" s="36"/>
      <c r="O7" s="36"/>
      <c r="P7" s="36"/>
      <c r="Q7" s="36"/>
      <c r="R7" s="36"/>
    </row>
    <row r="8" spans="2:18" x14ac:dyDescent="0.3">
      <c r="B8" s="24" t="s">
        <v>9</v>
      </c>
      <c r="C8" s="2">
        <v>31</v>
      </c>
      <c r="D8" s="1" t="str">
        <f t="shared" si="0"/>
        <v>HOT</v>
      </c>
      <c r="E8" s="8" t="str">
        <f t="shared" si="1"/>
        <v/>
      </c>
      <c r="K8" s="40" t="s">
        <v>45</v>
      </c>
      <c r="L8" s="41"/>
      <c r="M8" s="41"/>
      <c r="N8" s="41"/>
      <c r="O8" s="41"/>
      <c r="P8" s="41"/>
      <c r="Q8" s="41"/>
      <c r="R8" s="42"/>
    </row>
    <row r="9" spans="2:18" x14ac:dyDescent="0.3">
      <c r="B9" s="24" t="s">
        <v>10</v>
      </c>
      <c r="C9" s="2">
        <v>28</v>
      </c>
      <c r="D9" s="1" t="str">
        <f t="shared" si="0"/>
        <v>FAIR</v>
      </c>
      <c r="E9" s="8">
        <f t="shared" si="1"/>
        <v>1</v>
      </c>
    </row>
    <row r="10" spans="2:18" ht="14.4" customHeight="1" x14ac:dyDescent="0.3">
      <c r="B10" s="24" t="s">
        <v>11</v>
      </c>
      <c r="C10" s="2">
        <v>24</v>
      </c>
      <c r="D10" s="1" t="str">
        <f t="shared" si="0"/>
        <v>COOL</v>
      </c>
      <c r="E10" s="8" t="str">
        <f t="shared" si="1"/>
        <v/>
      </c>
      <c r="K10" s="32" t="s">
        <v>63</v>
      </c>
      <c r="L10" s="33"/>
      <c r="M10" s="33"/>
      <c r="N10" s="33"/>
      <c r="O10" s="33"/>
      <c r="P10" s="33"/>
      <c r="Q10" s="33"/>
      <c r="R10" s="34"/>
    </row>
    <row r="11" spans="2:18" x14ac:dyDescent="0.3">
      <c r="B11" s="25" t="s">
        <v>13</v>
      </c>
      <c r="C11" s="12">
        <v>29</v>
      </c>
      <c r="D11" s="4" t="str">
        <f t="shared" si="0"/>
        <v>FAIR</v>
      </c>
      <c r="E11" s="8">
        <f t="shared" si="1"/>
        <v>1</v>
      </c>
      <c r="H11" t="s">
        <v>20</v>
      </c>
    </row>
    <row r="12" spans="2:18" x14ac:dyDescent="0.3">
      <c r="B12" s="25"/>
      <c r="C12" s="12"/>
      <c r="D12" s="13" t="s">
        <v>21</v>
      </c>
      <c r="E12" s="14">
        <f>COUNT(E3:E11)</f>
        <v>6</v>
      </c>
    </row>
    <row r="13" spans="2:18" x14ac:dyDescent="0.3">
      <c r="B13" s="25"/>
      <c r="C13" s="12"/>
      <c r="D13" s="13" t="s">
        <v>22</v>
      </c>
      <c r="E13" s="14">
        <f>COUNT(E3:E11)-1</f>
        <v>5</v>
      </c>
      <c r="F13" t="s">
        <v>20</v>
      </c>
    </row>
    <row r="16" spans="2:18" x14ac:dyDescent="0.3">
      <c r="B16" s="29" t="s">
        <v>28</v>
      </c>
      <c r="C16" s="29"/>
      <c r="D16" s="29"/>
      <c r="E16" s="29"/>
      <c r="F16" s="29"/>
      <c r="G16" s="29"/>
      <c r="H16" s="29"/>
    </row>
    <row r="17" spans="2:13" x14ac:dyDescent="0.3">
      <c r="B17" s="3" t="s">
        <v>1</v>
      </c>
      <c r="C17" s="1">
        <v>0</v>
      </c>
      <c r="D17" s="1">
        <v>21</v>
      </c>
      <c r="E17" s="1">
        <v>24</v>
      </c>
      <c r="F17" s="1">
        <v>26</v>
      </c>
      <c r="G17" s="1">
        <v>30</v>
      </c>
      <c r="H17" s="1">
        <v>32</v>
      </c>
    </row>
    <row r="18" spans="2:13" x14ac:dyDescent="0.3">
      <c r="B18" s="3" t="s">
        <v>2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M18" s="15"/>
    </row>
    <row r="19" spans="2:13" x14ac:dyDescent="0.3">
      <c r="B19" s="16"/>
      <c r="C19" s="17"/>
      <c r="D19" s="17"/>
      <c r="E19" s="17"/>
      <c r="F19" s="17"/>
      <c r="G19" s="17"/>
      <c r="H19" s="17"/>
      <c r="M19" s="15"/>
    </row>
    <row r="20" spans="2:13" x14ac:dyDescent="0.3">
      <c r="B20" s="16"/>
      <c r="C20" s="17"/>
      <c r="D20" s="17"/>
      <c r="E20" s="17"/>
      <c r="F20" s="17"/>
      <c r="G20" s="17"/>
      <c r="H20" s="17"/>
    </row>
    <row r="21" spans="2:13" x14ac:dyDescent="0.3">
      <c r="B21" s="20" t="s">
        <v>23</v>
      </c>
      <c r="C21" s="23">
        <v>270</v>
      </c>
      <c r="D21" s="17"/>
      <c r="G21" s="17"/>
      <c r="H21" s="17"/>
    </row>
    <row r="22" spans="2:13" x14ac:dyDescent="0.3">
      <c r="C22" s="22"/>
      <c r="D22" s="17"/>
      <c r="F22" s="15"/>
      <c r="G22" s="17"/>
      <c r="H22" s="17"/>
    </row>
    <row r="23" spans="2:13" x14ac:dyDescent="0.3">
      <c r="B23" s="20" t="s">
        <v>24</v>
      </c>
      <c r="C23" s="23">
        <v>25</v>
      </c>
      <c r="D23" s="17"/>
      <c r="E23" s="17"/>
      <c r="F23" s="17"/>
      <c r="G23" s="17"/>
      <c r="H23" s="17"/>
    </row>
    <row r="25" spans="2:13" x14ac:dyDescent="0.3">
      <c r="B25" s="38" t="s">
        <v>29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2:13" x14ac:dyDescent="0.3">
      <c r="B26" s="3" t="s">
        <v>25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</row>
    <row r="27" spans="2:13" x14ac:dyDescent="0.3">
      <c r="B27" s="3" t="s">
        <v>26</v>
      </c>
      <c r="C27" s="26">
        <v>50</v>
      </c>
      <c r="D27" s="26">
        <v>79</v>
      </c>
      <c r="E27" s="26">
        <v>95</v>
      </c>
      <c r="F27" s="26">
        <v>105</v>
      </c>
      <c r="G27" s="26">
        <v>123</v>
      </c>
      <c r="H27" s="26">
        <v>143</v>
      </c>
      <c r="I27" s="26">
        <v>169</v>
      </c>
      <c r="J27" s="26">
        <v>174</v>
      </c>
      <c r="K27" s="26">
        <v>186</v>
      </c>
      <c r="L27" s="26">
        <v>205</v>
      </c>
    </row>
    <row r="29" spans="2:13" x14ac:dyDescent="0.3">
      <c r="B29" s="18" t="s">
        <v>27</v>
      </c>
      <c r="C29" s="19">
        <f>C21+C23+HLOOKUP(E12,HOTEL,2)</f>
        <v>438</v>
      </c>
    </row>
  </sheetData>
  <sheetProtection algorithmName="SHA-512" hashValue="R/x+sHLzp8Bgfc4YKMEu5QlUVT+mitYW/6lKKB9HOlFAETMJ1z0fCqSLsB8nrQQ3/i1VZVXRCFDTXl3TTRtC6Q==" saltValue="OGEUkN0xtTtPs4TOivg59w==" spinCount="100000" sheet="1" objects="1" scenarios="1"/>
  <mergeCells count="10">
    <mergeCell ref="B16:H16"/>
    <mergeCell ref="B25:L25"/>
    <mergeCell ref="K2:R2"/>
    <mergeCell ref="K5:R5"/>
    <mergeCell ref="K4:R4"/>
    <mergeCell ref="K3:R3"/>
    <mergeCell ref="K6:R6"/>
    <mergeCell ref="K7:R7"/>
    <mergeCell ref="K8:R8"/>
    <mergeCell ref="K10:R10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3D09-F0F6-4245-88FA-C4979158C2B0}">
  <sheetPr codeName="Sheet5"/>
  <dimension ref="B2:R31"/>
  <sheetViews>
    <sheetView tabSelected="1" workbookViewId="0">
      <selection activeCell="E29" sqref="E29"/>
    </sheetView>
  </sheetViews>
  <sheetFormatPr defaultRowHeight="14.4" x14ac:dyDescent="0.3"/>
  <cols>
    <col min="2" max="2" width="21.5546875" style="21" bestFit="1" customWidth="1"/>
    <col min="3" max="3" width="9.88671875" customWidth="1"/>
    <col min="4" max="4" width="16.6640625" bestFit="1" customWidth="1"/>
    <col min="5" max="5" width="15.44140625" customWidth="1"/>
    <col min="7" max="7" width="12.109375" customWidth="1"/>
    <col min="8" max="8" width="9.109375" bestFit="1" customWidth="1"/>
  </cols>
  <sheetData>
    <row r="2" spans="2:18" ht="16.2" thickBot="1" x14ac:dyDescent="0.35">
      <c r="B2" s="9" t="s">
        <v>0</v>
      </c>
      <c r="C2" s="10" t="s">
        <v>1</v>
      </c>
      <c r="D2" s="10" t="s">
        <v>2</v>
      </c>
      <c r="E2" s="11" t="s">
        <v>3</v>
      </c>
      <c r="K2" s="35" t="s">
        <v>33</v>
      </c>
      <c r="L2" s="35"/>
      <c r="M2" s="35"/>
      <c r="N2" s="35"/>
      <c r="O2" s="35"/>
      <c r="P2" s="35"/>
      <c r="Q2" s="35"/>
      <c r="R2" s="35"/>
    </row>
    <row r="3" spans="2:18" ht="15" thickTop="1" x14ac:dyDescent="0.3">
      <c r="B3" s="24" t="s">
        <v>4</v>
      </c>
      <c r="C3" s="2">
        <v>26</v>
      </c>
      <c r="D3" s="1" t="str">
        <f t="shared" ref="D3:D11" si="0">HLOOKUP(C3,FORECAST,2)</f>
        <v>FAIR</v>
      </c>
      <c r="E3" s="8">
        <f>IF(D3="FAIR",1,"")</f>
        <v>1</v>
      </c>
      <c r="K3" s="45" t="s">
        <v>46</v>
      </c>
      <c r="L3" s="46"/>
      <c r="M3" s="46"/>
      <c r="N3" s="46"/>
      <c r="O3" s="46"/>
      <c r="P3" s="46"/>
      <c r="Q3" s="46"/>
      <c r="R3" s="47"/>
    </row>
    <row r="4" spans="2:18" x14ac:dyDescent="0.3">
      <c r="B4" s="24" t="s">
        <v>5</v>
      </c>
      <c r="C4" s="2">
        <v>29</v>
      </c>
      <c r="D4" s="1" t="str">
        <f t="shared" si="0"/>
        <v>FAIR</v>
      </c>
      <c r="E4" s="8">
        <f t="shared" ref="E4:E11" si="1">IF(D4="FAIR",1,"")</f>
        <v>1</v>
      </c>
      <c r="K4" s="36" t="s">
        <v>48</v>
      </c>
      <c r="L4" s="36"/>
      <c r="M4" s="36"/>
      <c r="N4" s="36"/>
      <c r="O4" s="36"/>
      <c r="P4" s="36"/>
      <c r="Q4" s="36"/>
      <c r="R4" s="36"/>
    </row>
    <row r="5" spans="2:18" x14ac:dyDescent="0.3">
      <c r="B5" s="24" t="s">
        <v>6</v>
      </c>
      <c r="C5" s="2">
        <v>24</v>
      </c>
      <c r="D5" s="1" t="str">
        <f t="shared" si="0"/>
        <v>COOL</v>
      </c>
      <c r="E5" s="8" t="str">
        <f t="shared" si="1"/>
        <v/>
      </c>
      <c r="K5" s="36"/>
      <c r="L5" s="36"/>
      <c r="M5" s="36"/>
      <c r="N5" s="36"/>
      <c r="O5" s="36"/>
      <c r="P5" s="36"/>
      <c r="Q5" s="36"/>
      <c r="R5" s="36"/>
    </row>
    <row r="6" spans="2:18" x14ac:dyDescent="0.3">
      <c r="B6" s="24" t="s">
        <v>7</v>
      </c>
      <c r="C6" s="2">
        <v>27</v>
      </c>
      <c r="D6" s="1" t="str">
        <f t="shared" si="0"/>
        <v>FAIR</v>
      </c>
      <c r="E6" s="8">
        <f t="shared" si="1"/>
        <v>1</v>
      </c>
      <c r="K6" s="44" t="s">
        <v>49</v>
      </c>
      <c r="L6" s="44"/>
      <c r="M6" s="44"/>
      <c r="N6" s="44"/>
      <c r="O6" s="44"/>
      <c r="P6" s="44"/>
      <c r="Q6" s="44"/>
      <c r="R6" s="44"/>
    </row>
    <row r="7" spans="2:18" x14ac:dyDescent="0.3">
      <c r="B7" s="24" t="s">
        <v>8</v>
      </c>
      <c r="C7" s="2">
        <v>29</v>
      </c>
      <c r="D7" s="1" t="str">
        <f t="shared" si="0"/>
        <v>FAIR</v>
      </c>
      <c r="E7" s="8">
        <f t="shared" si="1"/>
        <v>1</v>
      </c>
      <c r="K7" s="44"/>
      <c r="L7" s="44"/>
      <c r="M7" s="44"/>
      <c r="N7" s="44"/>
      <c r="O7" s="44"/>
      <c r="P7" s="44"/>
      <c r="Q7" s="44"/>
      <c r="R7" s="44"/>
    </row>
    <row r="8" spans="2:18" x14ac:dyDescent="0.3">
      <c r="B8" s="24" t="s">
        <v>9</v>
      </c>
      <c r="C8" s="2">
        <v>31</v>
      </c>
      <c r="D8" s="1" t="str">
        <f t="shared" si="0"/>
        <v>HOT</v>
      </c>
      <c r="E8" s="8" t="str">
        <f t="shared" si="1"/>
        <v/>
      </c>
      <c r="K8" s="36" t="s">
        <v>47</v>
      </c>
      <c r="L8" s="36"/>
      <c r="M8" s="36"/>
      <c r="N8" s="36"/>
      <c r="O8" s="36"/>
      <c r="P8" s="36"/>
      <c r="Q8" s="36"/>
      <c r="R8" s="36"/>
    </row>
    <row r="9" spans="2:18" x14ac:dyDescent="0.3">
      <c r="B9" s="24" t="s">
        <v>10</v>
      </c>
      <c r="C9" s="2">
        <v>28</v>
      </c>
      <c r="D9" s="1" t="str">
        <f t="shared" si="0"/>
        <v>FAIR</v>
      </c>
      <c r="E9" s="8">
        <f t="shared" si="1"/>
        <v>1</v>
      </c>
      <c r="K9" s="36"/>
      <c r="L9" s="36"/>
      <c r="M9" s="36"/>
      <c r="N9" s="36"/>
      <c r="O9" s="36"/>
      <c r="P9" s="36"/>
      <c r="Q9" s="36"/>
      <c r="R9" s="36"/>
    </row>
    <row r="10" spans="2:18" x14ac:dyDescent="0.3">
      <c r="B10" s="24" t="s">
        <v>11</v>
      </c>
      <c r="C10" s="2">
        <v>24</v>
      </c>
      <c r="D10" s="1" t="str">
        <f t="shared" si="0"/>
        <v>COOL</v>
      </c>
      <c r="E10" s="8" t="str">
        <f t="shared" si="1"/>
        <v/>
      </c>
    </row>
    <row r="11" spans="2:18" ht="14.4" customHeight="1" x14ac:dyDescent="0.3">
      <c r="B11" s="25" t="s">
        <v>13</v>
      </c>
      <c r="C11" s="12">
        <v>29</v>
      </c>
      <c r="D11" s="4" t="str">
        <f t="shared" si="0"/>
        <v>FAIR</v>
      </c>
      <c r="E11" s="8">
        <f t="shared" si="1"/>
        <v>1</v>
      </c>
      <c r="H11" t="s">
        <v>20</v>
      </c>
      <c r="K11" s="32" t="s">
        <v>63</v>
      </c>
      <c r="L11" s="33"/>
      <c r="M11" s="33"/>
      <c r="N11" s="33"/>
      <c r="O11" s="33"/>
      <c r="P11" s="33"/>
      <c r="Q11" s="33"/>
      <c r="R11" s="34"/>
    </row>
    <row r="12" spans="2:18" x14ac:dyDescent="0.3">
      <c r="B12" s="25"/>
      <c r="C12" s="12"/>
      <c r="D12" s="13" t="s">
        <v>21</v>
      </c>
      <c r="E12" s="14">
        <f>COUNT(E3:E11)</f>
        <v>6</v>
      </c>
    </row>
    <row r="13" spans="2:18" x14ac:dyDescent="0.3">
      <c r="B13" s="25"/>
      <c r="C13" s="12"/>
      <c r="D13" s="13" t="s">
        <v>22</v>
      </c>
      <c r="E13" s="14">
        <f>COUNT(E3:E11)-1</f>
        <v>5</v>
      </c>
      <c r="F13" t="s">
        <v>20</v>
      </c>
    </row>
    <row r="14" spans="2:18" x14ac:dyDescent="0.3">
      <c r="D14" s="21"/>
      <c r="E14" s="21"/>
    </row>
    <row r="15" spans="2:18" hidden="1" x14ac:dyDescent="0.3"/>
    <row r="16" spans="2:18" hidden="1" x14ac:dyDescent="0.3">
      <c r="B16" s="29" t="s">
        <v>28</v>
      </c>
      <c r="C16" s="29"/>
      <c r="D16" s="29"/>
      <c r="E16" s="29"/>
      <c r="F16" s="29"/>
      <c r="G16" s="29"/>
      <c r="H16" s="29"/>
    </row>
    <row r="17" spans="2:13" hidden="1" x14ac:dyDescent="0.3">
      <c r="B17" s="3" t="s">
        <v>1</v>
      </c>
      <c r="C17" s="1">
        <v>0</v>
      </c>
      <c r="D17" s="1">
        <v>21</v>
      </c>
      <c r="E17" s="1">
        <v>24</v>
      </c>
      <c r="F17" s="1">
        <v>26</v>
      </c>
      <c r="G17" s="1">
        <v>30</v>
      </c>
      <c r="H17" s="1">
        <v>32</v>
      </c>
    </row>
    <row r="18" spans="2:13" hidden="1" x14ac:dyDescent="0.3">
      <c r="B18" s="3" t="s">
        <v>2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M18" s="15"/>
    </row>
    <row r="19" spans="2:13" hidden="1" x14ac:dyDescent="0.3">
      <c r="B19" s="16"/>
      <c r="C19" s="17"/>
      <c r="D19" s="17"/>
      <c r="E19" s="17"/>
      <c r="F19" s="17"/>
      <c r="G19" s="17"/>
      <c r="H19" s="17"/>
      <c r="M19" s="15"/>
    </row>
    <row r="20" spans="2:13" hidden="1" x14ac:dyDescent="0.3">
      <c r="B20" s="16"/>
      <c r="C20" s="17"/>
      <c r="D20" s="17"/>
      <c r="E20" s="17"/>
      <c r="F20" s="17"/>
      <c r="G20" s="17"/>
      <c r="H20" s="17"/>
    </row>
    <row r="21" spans="2:13" hidden="1" x14ac:dyDescent="0.3">
      <c r="B21" s="20" t="s">
        <v>23</v>
      </c>
      <c r="C21" s="23">
        <v>270</v>
      </c>
      <c r="D21" s="17"/>
      <c r="G21" s="17"/>
      <c r="H21" s="17"/>
    </row>
    <row r="22" spans="2:13" hidden="1" x14ac:dyDescent="0.3">
      <c r="C22" s="22"/>
      <c r="D22" s="17"/>
      <c r="F22" s="15"/>
      <c r="G22" s="17"/>
      <c r="H22" s="17"/>
    </row>
    <row r="23" spans="2:13" hidden="1" x14ac:dyDescent="0.3">
      <c r="B23" s="20" t="s">
        <v>24</v>
      </c>
      <c r="C23" s="23">
        <v>25</v>
      </c>
      <c r="D23" s="17"/>
      <c r="E23" s="17"/>
      <c r="F23" s="17"/>
      <c r="G23" s="17"/>
      <c r="H23" s="17"/>
    </row>
    <row r="24" spans="2:13" hidden="1" x14ac:dyDescent="0.3"/>
    <row r="25" spans="2:13" hidden="1" x14ac:dyDescent="0.3">
      <c r="B25" s="38" t="s">
        <v>29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2:13" hidden="1" x14ac:dyDescent="0.3">
      <c r="B26" s="3" t="s">
        <v>25</v>
      </c>
      <c r="C26" s="1">
        <v>1</v>
      </c>
      <c r="D26" s="1">
        <v>2</v>
      </c>
      <c r="E26" s="1">
        <v>3</v>
      </c>
      <c r="F26" s="1">
        <v>4</v>
      </c>
      <c r="G26" s="1">
        <v>5</v>
      </c>
      <c r="H26" s="1">
        <v>6</v>
      </c>
      <c r="I26" s="1">
        <v>7</v>
      </c>
      <c r="J26" s="1">
        <v>8</v>
      </c>
      <c r="K26" s="1">
        <v>9</v>
      </c>
      <c r="L26" s="1">
        <v>10</v>
      </c>
    </row>
    <row r="27" spans="2:13" hidden="1" x14ac:dyDescent="0.3">
      <c r="B27" s="3" t="s">
        <v>26</v>
      </c>
      <c r="C27" s="26">
        <v>50</v>
      </c>
      <c r="D27" s="26">
        <v>79</v>
      </c>
      <c r="E27" s="26">
        <v>95</v>
      </c>
      <c r="F27" s="26">
        <v>105</v>
      </c>
      <c r="G27" s="26">
        <v>123</v>
      </c>
      <c r="H27" s="26">
        <v>143</v>
      </c>
      <c r="I27" s="26">
        <v>169</v>
      </c>
      <c r="J27" s="26">
        <v>174</v>
      </c>
      <c r="K27" s="26">
        <v>186</v>
      </c>
      <c r="L27" s="26">
        <v>205</v>
      </c>
    </row>
    <row r="29" spans="2:13" ht="17.399999999999999" x14ac:dyDescent="0.3">
      <c r="B29" s="43" t="s">
        <v>30</v>
      </c>
      <c r="C29" s="29"/>
    </row>
    <row r="30" spans="2:13" x14ac:dyDescent="0.3">
      <c r="B30" s="27" t="s">
        <v>27</v>
      </c>
      <c r="C30" s="28">
        <f>C21+C23+HLOOKUP(E12,HOTEL,2)</f>
        <v>438</v>
      </c>
    </row>
    <row r="31" spans="2:13" x14ac:dyDescent="0.3">
      <c r="B31"/>
    </row>
  </sheetData>
  <sheetProtection algorithmName="SHA-512" hashValue="hWWEWfFQoxq8gsXpQb98c8fCAgxG9VNFuKAPMc+UN18hp+IWAPf6/Ju5wIb0YO/4KxxhRp06bxtvdTw7KLn29g==" saltValue="/7vY96SkDDQsi++T0jndjw==" spinCount="100000" sheet="1" objects="1" scenarios="1"/>
  <mergeCells count="9">
    <mergeCell ref="B16:H16"/>
    <mergeCell ref="B25:L25"/>
    <mergeCell ref="B29:C29"/>
    <mergeCell ref="K2:R2"/>
    <mergeCell ref="K4:R5"/>
    <mergeCell ref="K6:R7"/>
    <mergeCell ref="K8:R9"/>
    <mergeCell ref="K3:R3"/>
    <mergeCell ref="K11:R1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B6D29-1A8C-4ABA-9311-C004F86E3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Task 3.0 TOURING HOLIDAY</vt:lpstr>
      <vt:lpstr>Task 3.1</vt:lpstr>
      <vt:lpstr>Task 3.2</vt:lpstr>
      <vt:lpstr>Task 3.3</vt:lpstr>
      <vt:lpstr>Task 3.4</vt:lpstr>
      <vt:lpstr>FORECAST</vt:lpstr>
      <vt:lpstr>'Task 3.3'!HOTEL</vt:lpstr>
      <vt:lpstr>'Task 3.4'!HOTEL</vt:lpstr>
      <vt:lpstr>HOTEL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PAWAR</dc:creator>
  <cp:lastModifiedBy>YASH PAWAR</cp:lastModifiedBy>
  <dcterms:created xsi:type="dcterms:W3CDTF">2024-08-03T15:03:15Z</dcterms:created>
  <dcterms:modified xsi:type="dcterms:W3CDTF">2024-08-17T22:35:08Z</dcterms:modified>
</cp:coreProperties>
</file>